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B7F3F07E-C815-46EB-BF7F-C10069078B4A}" xr6:coauthVersionLast="47" xr6:coauthVersionMax="47" xr10:uidLastSave="{00000000-0000-0000-0000-000000000000}"/>
  <bookViews>
    <workbookView xWindow="-108" yWindow="-108" windowWidth="23256" windowHeight="12456" tabRatio="645" xr2:uid="{736B0272-5BE6-4C78-B11F-6C97EE74D8D6}"/>
  </bookViews>
  <sheets>
    <sheet name="2026 Payment Summary" sheetId="15" r:id="rId1"/>
    <sheet name="Pivots_Backend" sheetId="7" state="hidden" r:id="rId2"/>
    <sheet name="Dashboard_Data" sheetId="17" state="hidden" r:id="rId3"/>
    <sheet name="Data_Consolidated" sheetId="6" state="hidden" r:id="rId4"/>
    <sheet name="Resort 1" sheetId="1" r:id="rId5"/>
    <sheet name="Resort 2" sheetId="2" r:id="rId6"/>
    <sheet name="Resort 3" sheetId="3" r:id="rId7"/>
  </sheets>
  <definedNames>
    <definedName name="_xlnm._FilterDatabase" localSheetId="4" hidden="1">'Resort 1'!$A$1:$L$428</definedName>
    <definedName name="_xlnm._FilterDatabase" localSheetId="5" hidden="1">'Resort 2'!$A$1:$L$495</definedName>
    <definedName name="_xlnm._FilterDatabase" localSheetId="6" hidden="1">'Resort 3'!$A$1:$L$80</definedName>
    <definedName name="ExternalData_1" localSheetId="3" hidden="1">Data_Consolidated!$A$1:$P$1001</definedName>
    <definedName name="Slicer_Month">#N/A</definedName>
    <definedName name="Slicer_Resort">#N/A</definedName>
  </definedNames>
  <calcPr calcId="191029"/>
  <pivotCaches>
    <pivotCache cacheId="5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6" l="1"/>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E4" i="17"/>
  <c r="E5" i="17"/>
  <c r="E3" i="17"/>
  <c r="D4" i="17"/>
  <c r="D5" i="17"/>
  <c r="D3" i="17"/>
  <c r="C4" i="17"/>
  <c r="C5" i="17"/>
  <c r="C3" i="17"/>
  <c r="B4" i="17"/>
  <c r="B5" i="17"/>
  <c r="B3" i="17"/>
  <c r="E6" i="17"/>
  <c r="D6" i="17"/>
  <c r="C6" i="17"/>
  <c r="B6"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006583-FBB6-4AA0-8B17-05813F02B8BB}"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A08D370B-8CBF-464A-939F-1FC039973E8F}" keepAlive="1" name="Query - tblSheet1" description="Connection to the 'tblSheet1' query in the workbook." type="5" refreshedVersion="0" background="1">
    <dbPr connection="Provider=Microsoft.Mashup.OleDb.1;Data Source=$Workbook$;Location=tblSheet1;Extended Properties=&quot;&quot;" command="SELECT * FROM [tblSheet1]"/>
  </connection>
  <connection id="3" xr16:uid="{976673EF-7D94-4419-8562-FC881C71C76C}" keepAlive="1" name="Query - tblSheet2" description="Connection to the 'tblSheet2' query in the workbook." type="5" refreshedVersion="0" background="1">
    <dbPr connection="Provider=Microsoft.Mashup.OleDb.1;Data Source=$Workbook$;Location=tblSheet2;Extended Properties=&quot;&quot;" command="SELECT * FROM [tblSheet2]"/>
  </connection>
  <connection id="4" xr16:uid="{32163876-932D-4997-8DF5-1E91553E88EB}" keepAlive="1" name="Query - tblSheet3" description="Connection to the 'tblSheet3' query in the workbook." type="5" refreshedVersion="0" background="1">
    <dbPr connection="Provider=Microsoft.Mashup.OleDb.1;Data Source=$Workbook$;Location=tblSheet3;Extended Properties=&quot;&quot;" command="SELECT * FROM [tblSheet3]"/>
  </connection>
</connections>
</file>

<file path=xl/sharedStrings.xml><?xml version="1.0" encoding="utf-8"?>
<sst xmlns="http://schemas.openxmlformats.org/spreadsheetml/2006/main" count="7557" uniqueCount="104">
  <si>
    <t>DPR</t>
  </si>
  <si>
    <t>Russia</t>
  </si>
  <si>
    <t>UNITED KINGDOM</t>
  </si>
  <si>
    <t>TENT</t>
  </si>
  <si>
    <t>TEN</t>
  </si>
  <si>
    <t>Singapore</t>
  </si>
  <si>
    <t>Thailand</t>
  </si>
  <si>
    <t>NOG</t>
  </si>
  <si>
    <t>India</t>
  </si>
  <si>
    <t>Unknown</t>
  </si>
  <si>
    <t>Greece</t>
  </si>
  <si>
    <t>COG</t>
  </si>
  <si>
    <t>France</t>
  </si>
  <si>
    <t>Germany</t>
  </si>
  <si>
    <t>Japan</t>
  </si>
  <si>
    <t>United States</t>
  </si>
  <si>
    <t>United Arab Emirates</t>
  </si>
  <si>
    <t>Austria</t>
  </si>
  <si>
    <t>Switzerland</t>
  </si>
  <si>
    <t>Kuwait</t>
  </si>
  <si>
    <t>Argentina</t>
  </si>
  <si>
    <t>Finland</t>
  </si>
  <si>
    <t>Sweden</t>
  </si>
  <si>
    <t>TOG</t>
  </si>
  <si>
    <t>Denmark</t>
  </si>
  <si>
    <t>Turkey</t>
  </si>
  <si>
    <t>Brazil</t>
  </si>
  <si>
    <t>Spain</t>
  </si>
  <si>
    <t>Poland</t>
  </si>
  <si>
    <t>Bulgaria</t>
  </si>
  <si>
    <t>Hong Kong SAR of China</t>
  </si>
  <si>
    <t>China</t>
  </si>
  <si>
    <t>Korea (South)</t>
  </si>
  <si>
    <t>Netherlands</t>
  </si>
  <si>
    <t>Kazakhstan</t>
  </si>
  <si>
    <t>Ireland</t>
  </si>
  <si>
    <t>Portugal</t>
  </si>
  <si>
    <t>Ukraine</t>
  </si>
  <si>
    <t>Australia</t>
  </si>
  <si>
    <t>Cyprus</t>
  </si>
  <si>
    <t>Italy</t>
  </si>
  <si>
    <t>Canada</t>
  </si>
  <si>
    <t>Slovakia</t>
  </si>
  <si>
    <t>Saudi Arabia</t>
  </si>
  <si>
    <t>Chinese Taiwan</t>
  </si>
  <si>
    <t>Philippines</t>
  </si>
  <si>
    <t>Resort</t>
  </si>
  <si>
    <t>Arrival</t>
  </si>
  <si>
    <t>Departure</t>
  </si>
  <si>
    <t>No of nights</t>
  </si>
  <si>
    <t>Room Revenue</t>
  </si>
  <si>
    <t>Opera Status</t>
  </si>
  <si>
    <t>Date Entered</t>
  </si>
  <si>
    <t>Country</t>
  </si>
  <si>
    <t>Invoice Amount</t>
  </si>
  <si>
    <t>Payment Received</t>
  </si>
  <si>
    <t>Balance</t>
  </si>
  <si>
    <t>Pakistan</t>
  </si>
  <si>
    <t>Macau - SAR of China</t>
  </si>
  <si>
    <t>Indonesia</t>
  </si>
  <si>
    <t>Malaysia</t>
  </si>
  <si>
    <t>Bermuda</t>
  </si>
  <si>
    <t>Vietnam</t>
  </si>
  <si>
    <t>South Africa</t>
  </si>
  <si>
    <t>Norway</t>
  </si>
  <si>
    <t>Senegal</t>
  </si>
  <si>
    <t>Qatar</t>
  </si>
  <si>
    <t>Luxembourg</t>
  </si>
  <si>
    <t>Do Not Use</t>
  </si>
  <si>
    <t>Payment Status</t>
  </si>
  <si>
    <t>Fully Paid</t>
  </si>
  <si>
    <t>Due Date</t>
  </si>
  <si>
    <t>Deposit Paid</t>
  </si>
  <si>
    <t>Comp</t>
  </si>
  <si>
    <t>Tentative</t>
  </si>
  <si>
    <t>Not paid yet</t>
  </si>
  <si>
    <t>90 days pta</t>
  </si>
  <si>
    <t>30 days pta</t>
  </si>
  <si>
    <t>Deposit paid</t>
  </si>
  <si>
    <t>Credit facility</t>
  </si>
  <si>
    <t>Against VCC</t>
  </si>
  <si>
    <t>Credit Facility</t>
  </si>
  <si>
    <t>Payment on Arrival</t>
  </si>
  <si>
    <t>Month</t>
  </si>
  <si>
    <t>Month Number</t>
  </si>
  <si>
    <t>Year</t>
  </si>
  <si>
    <t>Payment Type</t>
  </si>
  <si>
    <t>(blank)</t>
  </si>
  <si>
    <t>Grand Total</t>
  </si>
  <si>
    <t>Sum of Invoice Amount</t>
  </si>
  <si>
    <t>Collection by Resort</t>
  </si>
  <si>
    <t>(All)</t>
  </si>
  <si>
    <t>Deposit</t>
  </si>
  <si>
    <t>Full Payment</t>
  </si>
  <si>
    <t>Total Invoice</t>
  </si>
  <si>
    <t>Total Room Revenue</t>
  </si>
  <si>
    <t>Deposit Received</t>
  </si>
  <si>
    <t xml:space="preserve"> </t>
  </si>
  <si>
    <t>Invoice Percentage</t>
  </si>
  <si>
    <t>Balance (Final Invoice)</t>
  </si>
  <si>
    <t>Deposit/Full</t>
  </si>
  <si>
    <t>Resort 1</t>
  </si>
  <si>
    <t>Resort 2</t>
  </si>
  <si>
    <t>Resort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</si>
</sst>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_-[$$-409]* #,##0.00_ ;_-[$$-409]* \-#,##0.00\ ;_-[$$-409]* &quot;-&quot;??_ ;_-@_ "/>
    <numFmt numFmtId="165" formatCode="_([$$-409]* #,##0.00_);_([$$-409]* \(#,##0.00\);_([$$-409]* &quot;-&quot;??_);_(@_)"/>
    <numFmt numFmtId="166" formatCode="[$$-409]#,##0.00"/>
    <numFmt numFmtId="167" formatCode="[$$-C09]#,##0.00"/>
    <numFmt numFmtId="168" formatCode="0.0%"/>
    <numFmt numFmtId="169" formatCode="dd\-mmm\-yy"/>
  </numFmts>
  <fonts count="11"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1"/>
      <color theme="1"/>
      <name val="Aptos Narrow"/>
      <family val="2"/>
      <scheme val="minor"/>
    </font>
    <font>
      <sz val="11"/>
      <name val="Calibri"/>
      <family val="2"/>
    </font>
    <font>
      <b/>
      <sz val="11"/>
      <color rgb="FF000000"/>
      <name val="Arial"/>
      <family val="2"/>
    </font>
    <font>
      <sz val="8"/>
      <name val="Aptos Narrow"/>
      <family val="2"/>
      <scheme val="minor"/>
    </font>
    <font>
      <sz val="11"/>
      <color rgb="FF188038"/>
      <name val="Courier New"/>
      <family val="3"/>
    </font>
    <font>
      <b/>
      <sz val="13"/>
      <color rgb="FF000000"/>
      <name val="Arial"/>
      <family val="2"/>
    </font>
    <font>
      <b/>
      <sz val="11"/>
      <color theme="0"/>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1" tint="4.9989318521683403E-2"/>
        <bgColor indexed="64"/>
      </patternFill>
    </fill>
    <fill>
      <patternFill patternType="solid">
        <fgColor theme="2" tint="-0.499984740745262"/>
        <bgColor indexed="64"/>
      </patternFill>
    </fill>
    <fill>
      <patternFill patternType="solid">
        <fgColor theme="2"/>
        <bgColor indexed="64"/>
      </patternFill>
    </fill>
    <fill>
      <patternFill patternType="solid">
        <fgColor rgb="FFFCF7F2"/>
        <bgColor indexed="64"/>
      </patternFill>
    </fill>
    <fill>
      <patternFill patternType="solid">
        <fgColor rgb="FF7CC5D9"/>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indexed="64"/>
      </left>
      <right/>
      <top style="thin">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s>
  <cellStyleXfs count="2">
    <xf numFmtId="0" fontId="0" fillId="0" borderId="0"/>
    <xf numFmtId="44" fontId="4" fillId="0" borderId="0" applyFont="0" applyFill="0" applyBorder="0" applyAlignment="0" applyProtection="0"/>
  </cellStyleXfs>
  <cellXfs count="91">
    <xf numFmtId="0" fontId="0" fillId="0" borderId="0" xfId="0"/>
    <xf numFmtId="164" fontId="0" fillId="0" borderId="0" xfId="0" applyNumberFormat="1"/>
    <xf numFmtId="0" fontId="1" fillId="0" borderId="0" xfId="0" applyFont="1"/>
    <xf numFmtId="165" fontId="2" fillId="0" borderId="1" xfId="0" applyNumberFormat="1" applyFont="1" applyBorder="1"/>
    <xf numFmtId="0" fontId="0" fillId="0" borderId="1" xfId="0" applyBorder="1"/>
    <xf numFmtId="164" fontId="0" fillId="0" borderId="1" xfId="0" applyNumberFormat="1" applyBorder="1"/>
    <xf numFmtId="15" fontId="0" fillId="0" borderId="1" xfId="0" applyNumberFormat="1" applyBorder="1"/>
    <xf numFmtId="165" fontId="0" fillId="0" borderId="1" xfId="0" applyNumberFormat="1" applyBorder="1"/>
    <xf numFmtId="0" fontId="0" fillId="2" borderId="1" xfId="0" applyFill="1" applyBorder="1"/>
    <xf numFmtId="165" fontId="2" fillId="2" borderId="1" xfId="0" applyNumberFormat="1" applyFont="1" applyFill="1" applyBorder="1"/>
    <xf numFmtId="15" fontId="0" fillId="2" borderId="1" xfId="0" applyNumberFormat="1" applyFill="1" applyBorder="1"/>
    <xf numFmtId="165" fontId="2" fillId="2" borderId="1" xfId="0" applyNumberFormat="1" applyFont="1" applyFill="1" applyBorder="1" applyAlignment="1">
      <alignment horizontal="center" vertical="center"/>
    </xf>
    <xf numFmtId="165" fontId="2" fillId="0" borderId="1" xfId="0" applyNumberFormat="1" applyFont="1" applyBorder="1" applyAlignment="1">
      <alignment horizontal="center" vertical="center"/>
    </xf>
    <xf numFmtId="0" fontId="3" fillId="2" borderId="0" xfId="0" applyFont="1" applyFill="1"/>
    <xf numFmtId="0" fontId="2" fillId="2" borderId="1" xfId="0" applyFont="1" applyFill="1" applyBorder="1"/>
    <xf numFmtId="15" fontId="2" fillId="2" borderId="1" xfId="0" applyNumberFormat="1" applyFont="1" applyFill="1" applyBorder="1"/>
    <xf numFmtId="164" fontId="2" fillId="2" borderId="1" xfId="0" applyNumberFormat="1" applyFont="1" applyFill="1" applyBorder="1"/>
    <xf numFmtId="0" fontId="2" fillId="2" borderId="0" xfId="0" applyFont="1" applyFill="1"/>
    <xf numFmtId="165" fontId="2" fillId="2" borderId="1" xfId="0" applyNumberFormat="1" applyFont="1" applyFill="1" applyBorder="1" applyAlignment="1">
      <alignment horizontal="left" vertical="center"/>
    </xf>
    <xf numFmtId="165" fontId="2" fillId="2" borderId="1" xfId="0" applyNumberFormat="1" applyFont="1" applyFill="1" applyBorder="1" applyAlignment="1">
      <alignment vertical="center"/>
    </xf>
    <xf numFmtId="4" fontId="2" fillId="2" borderId="1" xfId="0" applyNumberFormat="1" applyFont="1" applyFill="1" applyBorder="1"/>
    <xf numFmtId="165" fontId="2" fillId="2" borderId="0" xfId="0" applyNumberFormat="1" applyFont="1" applyFill="1"/>
    <xf numFmtId="164" fontId="2" fillId="2" borderId="0" xfId="0" applyNumberFormat="1" applyFont="1" applyFill="1"/>
    <xf numFmtId="165" fontId="2" fillId="2" borderId="1" xfId="0" applyNumberFormat="1" applyFont="1" applyFill="1" applyBorder="1" applyAlignment="1">
      <alignment wrapText="1"/>
    </xf>
    <xf numFmtId="165" fontId="5" fillId="0" borderId="1" xfId="1" applyNumberFormat="1" applyFont="1" applyFill="1" applyBorder="1" applyAlignment="1">
      <alignment vertical="center"/>
    </xf>
    <xf numFmtId="165" fontId="5" fillId="0" borderId="1" xfId="1" applyNumberFormat="1" applyFont="1" applyFill="1" applyBorder="1" applyAlignment="1">
      <alignment horizontal="center" vertical="center"/>
    </xf>
    <xf numFmtId="0" fontId="6" fillId="0" borderId="0" xfId="0" applyFont="1"/>
    <xf numFmtId="0" fontId="2" fillId="2" borderId="2" xfId="0" applyFont="1" applyFill="1" applyBorder="1"/>
    <xf numFmtId="0" fontId="2" fillId="2" borderId="3" xfId="0" applyFont="1" applyFill="1" applyBorder="1"/>
    <xf numFmtId="0" fontId="3" fillId="2" borderId="4" xfId="0" applyFont="1" applyFill="1" applyBorder="1"/>
    <xf numFmtId="0" fontId="3" fillId="2" borderId="5" xfId="0" applyFont="1" applyFill="1" applyBorder="1"/>
    <xf numFmtId="164" fontId="3" fillId="2" borderId="5" xfId="0" applyNumberFormat="1" applyFont="1" applyFill="1" applyBorder="1"/>
    <xf numFmtId="165" fontId="3" fillId="2" borderId="5" xfId="0" applyNumberFormat="1" applyFont="1" applyFill="1" applyBorder="1"/>
    <xf numFmtId="0" fontId="3" fillId="2" borderId="6" xfId="0" applyFont="1" applyFill="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164" fontId="1" fillId="0" borderId="5" xfId="0" applyNumberFormat="1" applyFont="1" applyBorder="1"/>
    <xf numFmtId="0" fontId="1" fillId="0" borderId="6" xfId="0" applyFont="1" applyBorder="1"/>
    <xf numFmtId="0" fontId="0" fillId="0" borderId="5" xfId="0" applyBorder="1"/>
    <xf numFmtId="166" fontId="1" fillId="0" borderId="5" xfId="0" applyNumberFormat="1" applyFont="1" applyBorder="1"/>
    <xf numFmtId="166" fontId="0" fillId="0" borderId="5" xfId="0" applyNumberFormat="1" applyBorder="1"/>
    <xf numFmtId="166" fontId="0" fillId="0" borderId="1" xfId="0" applyNumberFormat="1" applyBorder="1"/>
    <xf numFmtId="166" fontId="0" fillId="0" borderId="0" xfId="0" applyNumberFormat="1"/>
    <xf numFmtId="15" fontId="1" fillId="0" borderId="5" xfId="0" applyNumberFormat="1" applyFont="1" applyBorder="1"/>
    <xf numFmtId="15"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0" fillId="0" borderId="9" xfId="0" applyBorder="1"/>
    <xf numFmtId="166" fontId="0" fillId="0" borderId="9" xfId="0" applyNumberFormat="1" applyBorder="1"/>
    <xf numFmtId="0" fontId="0" fillId="0" borderId="0" xfId="0" pivotButton="1" applyAlignment="1">
      <alignment horizontal="center" vertical="center" wrapText="1"/>
    </xf>
    <xf numFmtId="0" fontId="0" fillId="0" borderId="0" xfId="0" applyAlignment="1">
      <alignment horizontal="center" vertical="center" wrapText="1"/>
    </xf>
    <xf numFmtId="166" fontId="0" fillId="0" borderId="4" xfId="0" applyNumberFormat="1" applyBorder="1"/>
    <xf numFmtId="166" fontId="0" fillId="0" borderId="10" xfId="0" applyNumberFormat="1" applyBorder="1"/>
    <xf numFmtId="166" fontId="0" fillId="0" borderId="11" xfId="0" applyNumberFormat="1" applyBorder="1"/>
    <xf numFmtId="0" fontId="10" fillId="4" borderId="15" xfId="0" applyFont="1" applyFill="1" applyBorder="1"/>
    <xf numFmtId="0" fontId="10" fillId="4" borderId="16" xfId="0" applyFont="1" applyFill="1" applyBorder="1"/>
    <xf numFmtId="0" fontId="10" fillId="4" borderId="10" xfId="0" applyFont="1" applyFill="1" applyBorder="1"/>
    <xf numFmtId="0" fontId="10" fillId="4" borderId="11" xfId="0" applyFont="1" applyFill="1" applyBorder="1"/>
    <xf numFmtId="0" fontId="1" fillId="5" borderId="17" xfId="0" applyFont="1" applyFill="1" applyBorder="1"/>
    <xf numFmtId="0" fontId="1" fillId="5" borderId="18" xfId="0" applyFont="1" applyFill="1" applyBorder="1"/>
    <xf numFmtId="0" fontId="1" fillId="5" borderId="15" xfId="0" applyFont="1" applyFill="1" applyBorder="1"/>
    <xf numFmtId="0" fontId="0" fillId="6" borderId="0" xfId="0" applyFill="1"/>
    <xf numFmtId="0" fontId="0" fillId="7" borderId="0" xfId="0" applyFill="1"/>
    <xf numFmtId="0" fontId="2" fillId="2" borderId="8" xfId="0" applyFont="1" applyFill="1" applyBorder="1"/>
    <xf numFmtId="0" fontId="2" fillId="2" borderId="9" xfId="0" applyFont="1" applyFill="1" applyBorder="1"/>
    <xf numFmtId="164" fontId="2" fillId="2" borderId="9" xfId="0" applyNumberFormat="1" applyFont="1" applyFill="1" applyBorder="1"/>
    <xf numFmtId="15" fontId="2" fillId="2" borderId="9" xfId="0" applyNumberFormat="1" applyFont="1" applyFill="1" applyBorder="1"/>
    <xf numFmtId="165" fontId="2" fillId="2" borderId="9" xfId="0" applyNumberFormat="1" applyFont="1" applyFill="1" applyBorder="1"/>
    <xf numFmtId="0" fontId="2" fillId="2" borderId="7" xfId="0" applyFont="1" applyFill="1" applyBorder="1"/>
    <xf numFmtId="0" fontId="9" fillId="0" borderId="0" xfId="0" applyFont="1" applyAlignment="1">
      <alignment horizontal="center"/>
    </xf>
    <xf numFmtId="0" fontId="10" fillId="3" borderId="12"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0" fillId="0" borderId="2" xfId="0" applyNumberFormat="1" applyBorder="1"/>
    <xf numFmtId="0" fontId="0" fillId="0" borderId="4" xfId="0" applyNumberFormat="1" applyBorder="1"/>
    <xf numFmtId="0" fontId="0" fillId="0" borderId="8" xfId="0" applyNumberFormat="1" applyBorder="1"/>
    <xf numFmtId="0" fontId="0" fillId="0" borderId="1" xfId="0" applyNumberFormat="1" applyBorder="1"/>
    <xf numFmtId="0" fontId="0" fillId="0" borderId="5" xfId="0" applyNumberFormat="1" applyBorder="1"/>
    <xf numFmtId="0" fontId="0" fillId="0" borderId="9" xfId="0" applyNumberFormat="1" applyBorder="1"/>
    <xf numFmtId="169" fontId="0" fillId="0" borderId="1" xfId="0" applyNumberFormat="1" applyBorder="1"/>
    <xf numFmtId="169" fontId="0" fillId="0" borderId="5" xfId="0" applyNumberFormat="1" applyBorder="1"/>
    <xf numFmtId="169" fontId="0" fillId="0" borderId="9" xfId="0" applyNumberFormat="1" applyBorder="1"/>
    <xf numFmtId="0" fontId="8" fillId="0" borderId="5" xfId="0" applyNumberFormat="1" applyFont="1" applyBorder="1"/>
    <xf numFmtId="0" fontId="0" fillId="0" borderId="3" xfId="0" applyNumberFormat="1" applyBorder="1"/>
    <xf numFmtId="0" fontId="0" fillId="0" borderId="6" xfId="0" applyNumberFormat="1" applyBorder="1"/>
    <xf numFmtId="0" fontId="0" fillId="0" borderId="7" xfId="0" applyNumberFormat="1" applyBorder="1"/>
    <xf numFmtId="9" fontId="0" fillId="0" borderId="0" xfId="0" applyNumberFormat="1"/>
  </cellXfs>
  <cellStyles count="2">
    <cellStyle name="Currency" xfId="1" builtinId="4"/>
    <cellStyle name="Normal" xfId="0" builtinId="0"/>
  </cellStyles>
  <dxfs count="486">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numFmt numFmtId="168" formatCode="0.0%"/>
    </dxf>
    <dxf>
      <numFmt numFmtId="13" formatCode="0%"/>
    </dxf>
    <dxf>
      <alignment vertical="center"/>
    </dxf>
    <dxf>
      <alignment vertical="center"/>
    </dxf>
    <dxf>
      <alignment horizontal="center"/>
    </dxf>
    <dxf>
      <alignment horizontal="center"/>
    </dxf>
    <dxf>
      <alignment wrapText="1"/>
    </dxf>
    <dxf>
      <alignment wrapText="1"/>
    </dxf>
    <dxf>
      <numFmt numFmtId="13" formatCode="0%"/>
    </dxf>
    <dxf>
      <numFmt numFmtId="168" formatCode="0.0%"/>
    </dxf>
    <dxf>
      <alignment vertical="center"/>
    </dxf>
    <dxf>
      <alignment vertical="center"/>
    </dxf>
    <dxf>
      <alignment horizontal="center"/>
    </dxf>
    <dxf>
      <alignment horizontal="center"/>
    </dxf>
    <dxf>
      <alignment wrapText="1"/>
    </dxf>
    <dxf>
      <alignment wrapText="1"/>
    </dxf>
    <dxf>
      <numFmt numFmtId="0" formatCode="General"/>
      <border diagonalUp="0" diagonalDown="0">
        <left style="thin">
          <color auto="1"/>
        </left>
        <right/>
        <top style="thin">
          <color auto="1"/>
        </top>
        <bottom style="thin">
          <color auto="1"/>
        </bottom>
        <vertical/>
        <horizontal/>
      </border>
    </dxf>
    <dxf>
      <numFmt numFmtId="169" formatCode="dd\-mmm\-yy"/>
      <border diagonalUp="0" diagonalDown="0">
        <left style="thin">
          <color auto="1"/>
        </left>
        <right style="thin">
          <color auto="1"/>
        </right>
        <top style="thin">
          <color auto="1"/>
        </top>
        <bottom style="thin">
          <color auto="1"/>
        </bottom>
        <vertical/>
        <horizontal/>
      </border>
    </dxf>
    <dxf>
      <numFmt numFmtId="166" formatCode="[$$-409]#,##0.00"/>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9" formatCode="dd\-mmm\-yy"/>
      <border diagonalUp="0" diagonalDown="0">
        <left style="thin">
          <color auto="1"/>
        </left>
        <right style="thin">
          <color auto="1"/>
        </right>
        <top style="thin">
          <color auto="1"/>
        </top>
        <bottom style="thin">
          <color auto="1"/>
        </bottom>
        <vertical/>
        <horizontal/>
      </border>
    </dxf>
    <dxf>
      <numFmt numFmtId="169" formatCode="dd\-mmm\-yy"/>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166" formatCode="[$$-409]#,##0.00"/>
      <border diagonalUp="0" diagonalDown="0">
        <left style="thin">
          <color auto="1"/>
        </left>
        <right style="thin">
          <color auto="1"/>
        </right>
        <top style="thin">
          <color auto="1"/>
        </top>
        <bottom style="thin">
          <color auto="1"/>
        </bottom>
        <vertical/>
        <horizontal/>
      </border>
    </dxf>
    <dxf>
      <numFmt numFmtId="166" formatCode="[$$-409]#,##0.00"/>
      <border diagonalUp="0" diagonalDown="0">
        <left style="thin">
          <color auto="1"/>
        </left>
        <right style="thin">
          <color auto="1"/>
        </right>
        <top style="thin">
          <color auto="1"/>
        </top>
        <bottom style="thin">
          <color auto="1"/>
        </bottom>
        <vertical/>
        <horizontal/>
      </border>
    </dxf>
    <dxf>
      <numFmt numFmtId="166" formatCode="[$$-409]#,##0.00"/>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numFmt numFmtId="169" formatCode="dd\-mmm\-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9" formatCode="dd\-mmm\-yy"/>
      <border diagonalUp="0" diagonalDown="0">
        <left style="thin">
          <color auto="1"/>
        </left>
        <right style="thin">
          <color auto="1"/>
        </right>
        <top style="thin">
          <color auto="1"/>
        </top>
        <bottom style="thin">
          <color auto="1"/>
        </bottom>
        <vertical/>
        <horizontal/>
      </border>
    </dxf>
    <dxf>
      <numFmt numFmtId="169" formatCode="dd\-mmm\-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_-[$$-409]* #,##0.00_ ;_-[$$-409]* \-#,##0.00\ ;_-[$$-409]* &quot;-&quot;??_ ;_-@_ "/>
      <border diagonalUp="0" diagonalDown="0">
        <left style="thin">
          <color auto="1"/>
        </left>
        <right style="thin">
          <color auto="1"/>
        </right>
        <top style="thin">
          <color auto="1"/>
        </top>
        <bottom style="thin">
          <color auto="1"/>
        </bottom>
        <vertical/>
        <horizontal/>
      </border>
    </dxf>
    <dxf>
      <numFmt numFmtId="164" formatCode="_-[$$-409]* #,##0.00_ ;_-[$$-409]* \-#,##0.00\ ;_-[$$-409]* &quot;-&quot;??_ ;_-@_ "/>
      <border diagonalUp="0" diagonalDown="0">
        <left style="thin">
          <color auto="1"/>
        </left>
        <right style="thin">
          <color auto="1"/>
        </right>
        <top style="thin">
          <color auto="1"/>
        </top>
        <bottom style="thin">
          <color auto="1"/>
        </bottom>
        <vertical/>
        <horizontal/>
      </border>
    </dxf>
    <dxf>
      <numFmt numFmtId="164" formatCode="_-[$$-409]* #,##0.00_ ;_-[$$-409]* \-#,##0.00\ ;_-[$$-409]* &quot;-&quot;??_ ;_-@_ "/>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Aptos Narrow"/>
        <family val="2"/>
        <scheme val="minor"/>
      </font>
      <border diagonalUp="0" diagonalDown="0" outline="0">
        <left style="thin">
          <color auto="1"/>
        </left>
        <right style="thin">
          <color auto="1"/>
        </right>
        <top/>
        <bottom/>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9" formatCode="dd\-mmm\-yy"/>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4" formatCode="_-[$$-409]* #,##0.00_ ;_-[$$-409]* \-#,##0.00\ ;_-[$$-409]* &quot;-&quot;??_ ;_-@_ "/>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9" formatCode="dd\-mmm\-yy"/>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9" formatCode="dd\-mmm\-yy"/>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5" formatCode="_([$$-409]* #,##0.00_);_([$$-409]* \(#,##0.00\);_([$$-409]*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5" formatCode="_([$$-409]* #,##0.00_);_([$$-409]* \(#,##0.00\);_([$$-409]*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5" formatCode="_([$$-409]* #,##0.00_);_([$$-409]* \(#,##0.00\);_([$$-409]*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dxf>
    <dxf>
      <border outline="0">
        <bottom style="thin">
          <color auto="1"/>
        </bottom>
      </border>
    </dxf>
    <dxf>
      <font>
        <b/>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outline="0">
        <left style="thin">
          <color auto="1"/>
        </left>
        <right style="thin">
          <color auto="1"/>
        </right>
        <top/>
        <bottom/>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9" formatCode="dd\-mmm\-yy"/>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5" formatCode="_([$$-409]* #,##0.00_);_([$$-409]* \(#,##0.00\);_([$$-409]* &quot;-&quot;??_);_(@_)"/>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9" formatCode="dd\-mmm\-yy"/>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9" formatCode="dd\-mmm\-yy"/>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4" formatCode="_-[$$-409]* #,##0.00_ ;_-[$$-409]* \-#,##0.00\ ;_-[$$-409]* &quot;-&quot;??_ ;_-@_ "/>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4" formatCode="_-[$$-409]* #,##0.00_ ;_-[$$-409]* \-#,##0.00\ ;_-[$$-409]* &quot;-&quot;??_ ;_-@_ "/>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numFmt numFmtId="164" formatCode="_-[$$-409]* #,##0.00_ ;_-[$$-409]* \-#,##0.00\ ;_-[$$-409]* &quot;-&quot;??_ ;_-@_ "/>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dxf>
    <dxf>
      <border outline="0">
        <bottom style="thin">
          <color auto="1"/>
        </bottom>
      </border>
    </dxf>
    <dxf>
      <font>
        <b/>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outline="0">
        <left style="thin">
          <color auto="1"/>
        </left>
        <right style="thin">
          <color auto="1"/>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font>
      <border diagonalUp="0" diagonalDown="0" outline="0">
        <left style="thin">
          <color indexed="64"/>
        </left>
        <right style="thin">
          <color indexed="64"/>
        </right>
        <top/>
        <bottom/>
      </border>
    </dxf>
    <dxf>
      <alignment wrapText="1"/>
    </dxf>
    <dxf>
      <alignment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font>
        <b/>
      </font>
    </dxf>
    <dxf>
      <font>
        <b/>
      </font>
    </dxf>
    <dxf>
      <alignment horizontal="center"/>
    </dxf>
    <dxf>
      <alignment horizontal="center"/>
    </dxf>
    <dxf>
      <alignment vertical="center"/>
    </dxf>
    <dxf>
      <alignment vertical="center"/>
    </dxf>
    <dxf>
      <alignment wrapText="1"/>
    </dxf>
    <dxf>
      <alignment wrapText="1"/>
    </dxf>
    <dxf>
      <alignment wrapText="1"/>
    </dxf>
    <dxf>
      <alignment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wrapText="1"/>
    </dxf>
    <dxf>
      <alignment wrapText="1"/>
    </dxf>
  </dxfs>
  <tableStyles count="0" defaultTableStyle="TableStyleMedium2" defaultPivotStyle="PivotStyleLight16"/>
  <colors>
    <mruColors>
      <color rgb="FFFCF7F2"/>
      <color rgb="FF595959"/>
      <color rgb="FF663300"/>
      <color rgb="FFCBB89B"/>
      <color rgb="FF6A4320"/>
      <color rgb="FFF5E9DE"/>
      <color rgb="FFEBD9C0"/>
      <color rgb="FFE0CBA8"/>
      <color rgb="FF7D7D7D"/>
      <color rgb="FFFDF9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[resort_excel_dashboard-2.xlsx]Pivots_Backend!pvt_DepositVsFull</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PH" sz="1600" b="1" i="0" u="none" strike="noStrike" cap="all" baseline="0">
                <a:effectLst/>
              </a:rPr>
              <a:t> Deposit vs. Full </a:t>
            </a:r>
            <a:br>
              <a:rPr lang="en-PH" sz="1600" b="1" i="0" u="none" strike="noStrike" cap="all" baseline="0">
                <a:effectLst/>
              </a:rPr>
            </a:br>
            <a:r>
              <a:rPr lang="en-PH" sz="1200" b="1" i="0" u="none" strike="noStrike" cap="all" baseline="0">
                <a:effectLst/>
              </a:rPr>
              <a:t>(Payment)</a:t>
            </a:r>
            <a:endParaRPr lang="en-US" b="1"/>
          </a:p>
        </c:rich>
      </c:tx>
      <c:layout>
        <c:manualLayout>
          <c:xMode val="edge"/>
          <c:yMode val="edge"/>
          <c:x val="0.34574468509035844"/>
          <c:y val="8.5983929258485414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pivotFmt>
      <c:pivotFmt>
        <c:idx val="6"/>
        <c:spPr>
          <a:solidFill>
            <a:schemeClr val="accent2"/>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31380162983920779"/>
          <c:y val="0.35816823318481472"/>
          <c:w val="0.38251401630328397"/>
          <c:h val="0.57590985402839956"/>
        </c:manualLayout>
      </c:layout>
      <c:pieChart>
        <c:varyColors val="1"/>
        <c:ser>
          <c:idx val="0"/>
          <c:order val="0"/>
          <c:tx>
            <c:strRef>
              <c:f>Pivots_Backend!$E$30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A9F-49BF-8285-A86D490F7791}"/>
              </c:ext>
            </c:extLst>
          </c:dPt>
          <c:dPt>
            <c:idx val="1"/>
            <c:bubble3D val="0"/>
            <c:explosion val="9"/>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A9F-49BF-8285-A86D490F779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Pivots_Backend!$D$31:$D$33</c:f>
              <c:strCache>
                <c:ptCount val="2"/>
                <c:pt idx="0">
                  <c:v>Deposit</c:v>
                </c:pt>
                <c:pt idx="1">
                  <c:v>Full Payment</c:v>
                </c:pt>
              </c:strCache>
            </c:strRef>
          </c:cat>
          <c:val>
            <c:numRef>
              <c:f>Pivots_Backend!$E$31:$E$33</c:f>
              <c:numCache>
                <c:formatCode>[$$-409]#,##0.00</c:formatCode>
                <c:ptCount val="2"/>
                <c:pt idx="0">
                  <c:v>22959656.140000008</c:v>
                </c:pt>
                <c:pt idx="1">
                  <c:v>6362892.0099999998</c:v>
                </c:pt>
              </c:numCache>
            </c:numRef>
          </c:val>
          <c:extLst>
            <c:ext xmlns:c16="http://schemas.microsoft.com/office/drawing/2014/chart" uri="{C3380CC4-5D6E-409C-BE32-E72D297353CC}">
              <c16:uniqueId val="{00000004-CA9F-49BF-8285-A86D490F7791}"/>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[resort_excel_dashboard-2.xlsx]Pivots_Backend!pvt_PaymentStatus</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Payment Status</a:t>
            </a:r>
          </a:p>
        </c:rich>
      </c:tx>
      <c:layout>
        <c:manualLayout>
          <c:xMode val="edge"/>
          <c:yMode val="edge"/>
          <c:x val="0.36338679865382034"/>
          <c:y val="5.5465562754979603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3"/>
          </a:solidFill>
          <a:ln>
            <a:noFill/>
          </a:ln>
          <a:effectLst>
            <a:outerShdw blurRad="63500" sx="102000" sy="102000" algn="ctr" rotWithShape="0">
              <a:prstClr val="black">
                <a:alpha val="20000"/>
              </a:prstClr>
            </a:outerShdw>
          </a:effectLst>
        </c:spPr>
      </c:pivotFmt>
      <c:pivotFmt>
        <c:idx val="13"/>
        <c:spPr>
          <a:solidFill>
            <a:schemeClr val="accent1"/>
          </a:solidFill>
          <a:ln>
            <a:noFill/>
          </a:ln>
          <a:effectLst>
            <a:outerShdw blurRad="63500" sx="102000" sy="102000" algn="ctr" rotWithShape="0">
              <a:prstClr val="black">
                <a:alpha val="20000"/>
              </a:prstClr>
            </a:outerShdw>
          </a:effectLst>
        </c:spPr>
      </c:pivotFmt>
      <c:pivotFmt>
        <c:idx val="14"/>
        <c:spPr>
          <a:solidFill>
            <a:schemeClr val="accent2"/>
          </a:solidFill>
          <a:ln>
            <a:noFill/>
          </a:ln>
          <a:effectLst>
            <a:outerShdw blurRad="63500" sx="102000" sy="102000" algn="ctr" rotWithShape="0">
              <a:prstClr val="black">
                <a:alpha val="20000"/>
              </a:prstClr>
            </a:outerShdw>
          </a:effectLst>
        </c:spPr>
      </c:pivotFmt>
      <c:pivotFmt>
        <c:idx val="15"/>
        <c:spPr>
          <a:solidFill>
            <a:schemeClr val="accent4"/>
          </a:solidFill>
          <a:ln>
            <a:noFill/>
          </a:ln>
          <a:effectLst>
            <a:outerShdw blurRad="63500" sx="102000" sy="102000" algn="ctr" rotWithShape="0">
              <a:prstClr val="black">
                <a:alpha val="20000"/>
              </a:prstClr>
            </a:outerShdw>
          </a:effectLst>
        </c:spPr>
      </c:pivotFmt>
      <c:pivotFmt>
        <c:idx val="16"/>
        <c:spPr>
          <a:solidFill>
            <a:schemeClr val="accent5"/>
          </a:solidFill>
          <a:ln>
            <a:noFill/>
          </a:ln>
          <a:effectLst>
            <a:outerShdw blurRad="63500" sx="102000" sy="102000" algn="ctr" rotWithShape="0">
              <a:prstClr val="black">
                <a:alpha val="20000"/>
              </a:prstClr>
            </a:outerShdw>
          </a:effectLst>
        </c:spPr>
      </c:pivotFmt>
      <c:pivotFmt>
        <c:idx val="17"/>
        <c:spPr>
          <a:solidFill>
            <a:schemeClr val="accent6"/>
          </a:solidFill>
          <a:ln>
            <a:noFill/>
          </a:ln>
          <a:effectLst>
            <a:outerShdw blurRad="63500" sx="102000" sy="102000" algn="ctr" rotWithShape="0">
              <a:prstClr val="black">
                <a:alpha val="20000"/>
              </a:prstClr>
            </a:outerShdw>
          </a:effectLst>
        </c:spPr>
      </c:pivotFmt>
      <c:pivotFmt>
        <c:idx val="18"/>
        <c:spPr>
          <a:solidFill>
            <a:schemeClr val="accent2">
              <a:lumMod val="60000"/>
            </a:schemeClr>
          </a:solidFill>
          <a:ln>
            <a:noFill/>
          </a:ln>
          <a:effectLst>
            <a:outerShdw blurRad="63500" sx="102000" sy="102000" algn="ctr" rotWithShape="0">
              <a:prstClr val="black">
                <a:alpha val="20000"/>
              </a:prstClr>
            </a:outerShdw>
          </a:effectLst>
        </c:spPr>
      </c:pivotFmt>
      <c:pivotFmt>
        <c:idx val="19"/>
        <c:spPr>
          <a:solidFill>
            <a:schemeClr val="accent1">
              <a:lumMod val="60000"/>
            </a:schemeClr>
          </a:solidFill>
          <a:ln>
            <a:noFill/>
          </a:ln>
          <a:effectLst>
            <a:outerShdw blurRad="63500" sx="102000" sy="102000" algn="ctr" rotWithShape="0">
              <a:prstClr val="black">
                <a:alpha val="20000"/>
              </a:prstClr>
            </a:outerShdw>
          </a:effectLst>
        </c:spPr>
      </c:pivotFmt>
      <c:pivotFmt>
        <c:idx val="20"/>
        <c:spPr>
          <a:solidFill>
            <a:schemeClr val="accent3">
              <a:lumMod val="60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31134869489689798"/>
          <c:y val="0.29903107751379887"/>
          <c:w val="0.41527004311745114"/>
          <c:h val="0.62502999760019207"/>
        </c:manualLayout>
      </c:layout>
      <c:pieChart>
        <c:varyColors val="1"/>
        <c:ser>
          <c:idx val="0"/>
          <c:order val="0"/>
          <c:tx>
            <c:strRef>
              <c:f>Pivots_Backend!$E$13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91B-4A31-B05D-CF2B8BA17DA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91B-4A31-B05D-CF2B8BA17DA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91B-4A31-B05D-CF2B8BA17DA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91B-4A31-B05D-CF2B8BA17DA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91B-4A31-B05D-CF2B8BA17DA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091B-4A31-B05D-CF2B8BA17DA9}"/>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091B-4A31-B05D-CF2B8BA17DA9}"/>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091B-4A31-B05D-CF2B8BA17DA9}"/>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091B-4A31-B05D-CF2B8BA17DA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Pivots_Backend!$D$14:$D$23</c:f>
              <c:strCache>
                <c:ptCount val="9"/>
                <c:pt idx="0">
                  <c:v>Not paid yet</c:v>
                </c:pt>
                <c:pt idx="1">
                  <c:v>Deposit Paid</c:v>
                </c:pt>
                <c:pt idx="2">
                  <c:v>Fully Paid</c:v>
                </c:pt>
                <c:pt idx="3">
                  <c:v>Credit facility</c:v>
                </c:pt>
                <c:pt idx="4">
                  <c:v>Against VCC</c:v>
                </c:pt>
                <c:pt idx="5">
                  <c:v>(blank)</c:v>
                </c:pt>
                <c:pt idx="6">
                  <c:v>Payment on Arrival</c:v>
                </c:pt>
                <c:pt idx="7">
                  <c:v>Comp</c:v>
                </c:pt>
                <c:pt idx="8">
                  <c:v>Tentative</c:v>
                </c:pt>
              </c:strCache>
            </c:strRef>
          </c:cat>
          <c:val>
            <c:numRef>
              <c:f>Pivots_Backend!$E$14:$E$23</c:f>
              <c:numCache>
                <c:formatCode>[$$-409]#,##0.00</c:formatCode>
                <c:ptCount val="9"/>
                <c:pt idx="0">
                  <c:v>13520991.050000003</c:v>
                </c:pt>
                <c:pt idx="1">
                  <c:v>8432884.8000000026</c:v>
                </c:pt>
                <c:pt idx="2">
                  <c:v>6227911.2699999996</c:v>
                </c:pt>
                <c:pt idx="3">
                  <c:v>589432.94000000006</c:v>
                </c:pt>
                <c:pt idx="4">
                  <c:v>487764.13</c:v>
                </c:pt>
                <c:pt idx="5">
                  <c:v>30773.279999999999</c:v>
                </c:pt>
                <c:pt idx="6">
                  <c:v>19329</c:v>
                </c:pt>
                <c:pt idx="7">
                  <c:v>13461.68</c:v>
                </c:pt>
                <c:pt idx="8">
                  <c:v>0</c:v>
                </c:pt>
              </c:numCache>
            </c:numRef>
          </c:val>
          <c:extLst>
            <c:ext xmlns:c16="http://schemas.microsoft.com/office/drawing/2014/chart" uri="{C3380CC4-5D6E-409C-BE32-E72D297353CC}">
              <c16:uniqueId val="{00000012-091B-4A31-B05D-CF2B8BA17DA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[resort_excel_dashboard-2.xlsx]Pivots_Backend!PivotTable1</c:name>
    <c:fmtId val="3"/>
  </c:pivotSource>
  <c:chart>
    <c:title>
      <c:tx>
        <c:rich>
          <a:bodyPr rot="0" spcFirstLastPara="1" vertOverflow="ellipsis" vert="horz" wrap="square" anchor="ctr" anchorCtr="1"/>
          <a:lstStyle/>
          <a:p>
            <a:pPr algn="ctr" rtl="0">
              <a:defRPr lang="en-US" sz="1600" b="1" i="0" u="none" strike="noStrike" kern="1200" cap="all" baseline="0">
                <a:solidFill>
                  <a:sysClr val="windowText" lastClr="000000">
                    <a:lumMod val="65000"/>
                    <a:lumOff val="35000"/>
                  </a:sysClr>
                </a:solidFill>
                <a:latin typeface="+mn-lt"/>
                <a:ea typeface="+mn-ea"/>
                <a:cs typeface="+mn-cs"/>
              </a:defRPr>
            </a:pPr>
            <a:r>
              <a:rPr lang="en-US" sz="1600" b="1" i="0" u="none" strike="noStrike" kern="1200" cap="all" baseline="0">
                <a:solidFill>
                  <a:sysClr val="windowText" lastClr="000000">
                    <a:lumMod val="65000"/>
                    <a:lumOff val="35000"/>
                  </a:sysClr>
                </a:solidFill>
                <a:latin typeface="+mn-lt"/>
                <a:ea typeface="+mn-ea"/>
                <a:cs typeface="+mn-cs"/>
              </a:rPr>
              <a:t>TOP 10 COUNTRIES</a:t>
            </a:r>
          </a:p>
        </c:rich>
      </c:tx>
      <c:layout>
        <c:manualLayout>
          <c:xMode val="edge"/>
          <c:yMode val="edge"/>
          <c:x val="0.35593913908608421"/>
          <c:y val="4.4247732539935206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19512597515856"/>
          <c:y val="0.28463452722982735"/>
          <c:w val="0.58267939232618904"/>
          <c:h val="0.56031581333134195"/>
        </c:manualLayout>
      </c:layout>
      <c:barChart>
        <c:barDir val="bar"/>
        <c:grouping val="clustered"/>
        <c:varyColors val="0"/>
        <c:ser>
          <c:idx val="0"/>
          <c:order val="0"/>
          <c:tx>
            <c:strRef>
              <c:f>Pivots_Backend!$E$40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Pivots_Backend!$D$41:$D$51</c:f>
              <c:strCache>
                <c:ptCount val="10"/>
                <c:pt idx="0">
                  <c:v>UNITED KINGDOM</c:v>
                </c:pt>
                <c:pt idx="1">
                  <c:v>United States</c:v>
                </c:pt>
                <c:pt idx="2">
                  <c:v>Germany</c:v>
                </c:pt>
                <c:pt idx="3">
                  <c:v>Russia</c:v>
                </c:pt>
                <c:pt idx="4">
                  <c:v>China</c:v>
                </c:pt>
                <c:pt idx="5">
                  <c:v>Switzerland</c:v>
                </c:pt>
                <c:pt idx="6">
                  <c:v>Denmark</c:v>
                </c:pt>
                <c:pt idx="7">
                  <c:v>Australia</c:v>
                </c:pt>
                <c:pt idx="8">
                  <c:v>United Arab Emirates</c:v>
                </c:pt>
                <c:pt idx="9">
                  <c:v>Unknown</c:v>
                </c:pt>
              </c:strCache>
            </c:strRef>
          </c:cat>
          <c:val>
            <c:numRef>
              <c:f>Pivots_Backend!$E$41:$E$51</c:f>
              <c:numCache>
                <c:formatCode>0%</c:formatCode>
                <c:ptCount val="10"/>
                <c:pt idx="0">
                  <c:v>0.31419759166296085</c:v>
                </c:pt>
                <c:pt idx="1">
                  <c:v>0.15091704317235963</c:v>
                </c:pt>
                <c:pt idx="2">
                  <c:v>0.10929833683912667</c:v>
                </c:pt>
                <c:pt idx="3">
                  <c:v>0.10141993216460932</c:v>
                </c:pt>
                <c:pt idx="4">
                  <c:v>9.5731613310772901E-2</c:v>
                </c:pt>
                <c:pt idx="5">
                  <c:v>5.3696371967716795E-2</c:v>
                </c:pt>
                <c:pt idx="6">
                  <c:v>5.1552824874429623E-2</c:v>
                </c:pt>
                <c:pt idx="7">
                  <c:v>5.0123851370226145E-2</c:v>
                </c:pt>
                <c:pt idx="8">
                  <c:v>3.8020813919476842E-2</c:v>
                </c:pt>
                <c:pt idx="9">
                  <c:v>3.5041620718321162E-2</c:v>
                </c:pt>
              </c:numCache>
            </c:numRef>
          </c:val>
          <c:extLst>
            <c:ext xmlns:c16="http://schemas.microsoft.com/office/drawing/2014/chart" uri="{C3380CC4-5D6E-409C-BE32-E72D297353CC}">
              <c16:uniqueId val="{00000000-7E6B-4B96-BD4E-92575FD04E24}"/>
            </c:ext>
          </c:extLst>
        </c:ser>
        <c:dLbls>
          <c:showLegendKey val="0"/>
          <c:showVal val="0"/>
          <c:showCatName val="0"/>
          <c:showSerName val="0"/>
          <c:showPercent val="0"/>
          <c:showBubbleSize val="0"/>
        </c:dLbls>
        <c:gapWidth val="115"/>
        <c:overlap val="-20"/>
        <c:axId val="1419974448"/>
        <c:axId val="1419979728"/>
      </c:barChart>
      <c:catAx>
        <c:axId val="14199744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979728"/>
        <c:crosses val="autoZero"/>
        <c:auto val="1"/>
        <c:lblAlgn val="ctr"/>
        <c:lblOffset val="100"/>
        <c:noMultiLvlLbl val="0"/>
      </c:catAx>
      <c:valAx>
        <c:axId val="1419979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97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0</xdr:row>
      <xdr:rowOff>104774</xdr:rowOff>
    </xdr:from>
    <xdr:to>
      <xdr:col>13</xdr:col>
      <xdr:colOff>31127</xdr:colOff>
      <xdr:row>61</xdr:row>
      <xdr:rowOff>171741</xdr:rowOff>
    </xdr:to>
    <xdr:grpSp>
      <xdr:nvGrpSpPr>
        <xdr:cNvPr id="73" name="Group 72">
          <a:extLst>
            <a:ext uri="{FF2B5EF4-FFF2-40B4-BE49-F238E27FC236}">
              <a16:creationId xmlns:a16="http://schemas.microsoft.com/office/drawing/2014/main" id="{C62F4609-7620-79BE-71BD-635895EE75D4}"/>
            </a:ext>
          </a:extLst>
        </xdr:cNvPr>
        <xdr:cNvGrpSpPr/>
      </xdr:nvGrpSpPr>
      <xdr:grpSpPr>
        <a:xfrm>
          <a:off x="342900" y="104774"/>
          <a:ext cx="12413627" cy="11222647"/>
          <a:chOff x="342900" y="104774"/>
          <a:chExt cx="12032796" cy="11735092"/>
        </a:xfrm>
      </xdr:grpSpPr>
      <xdr:sp macro="" textlink="">
        <xdr:nvSpPr>
          <xdr:cNvPr id="62" name="Rectangle: Rounded Corners 61">
            <a:extLst>
              <a:ext uri="{FF2B5EF4-FFF2-40B4-BE49-F238E27FC236}">
                <a16:creationId xmlns:a16="http://schemas.microsoft.com/office/drawing/2014/main" id="{1C4D6187-6F45-4381-8BA9-739AB01689B3}"/>
              </a:ext>
            </a:extLst>
          </xdr:cNvPr>
          <xdr:cNvSpPr/>
        </xdr:nvSpPr>
        <xdr:spPr>
          <a:xfrm>
            <a:off x="6589012" y="4255511"/>
            <a:ext cx="5748585" cy="3560618"/>
          </a:xfrm>
          <a:prstGeom prst="roundRect">
            <a:avLst/>
          </a:prstGeom>
          <a:solidFill>
            <a:srgbClr val="FCF7F2"/>
          </a:solidFill>
          <a:ln>
            <a:no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PH" sz="1100"/>
          </a:p>
        </xdr:txBody>
      </xdr:sp>
      <xdr:sp macro="" textlink="">
        <xdr:nvSpPr>
          <xdr:cNvPr id="25" name="Rectangle: Rounded Corners 24">
            <a:extLst>
              <a:ext uri="{FF2B5EF4-FFF2-40B4-BE49-F238E27FC236}">
                <a16:creationId xmlns:a16="http://schemas.microsoft.com/office/drawing/2014/main" id="{4687EED4-4609-4BA2-BB2C-6766CEE88315}"/>
              </a:ext>
            </a:extLst>
          </xdr:cNvPr>
          <xdr:cNvSpPr/>
        </xdr:nvSpPr>
        <xdr:spPr>
          <a:xfrm>
            <a:off x="6602600" y="8266929"/>
            <a:ext cx="5739079" cy="3560400"/>
          </a:xfrm>
          <a:prstGeom prst="roundRect">
            <a:avLst/>
          </a:prstGeom>
          <a:solidFill>
            <a:srgbClr val="FCF7F2"/>
          </a:solidFill>
          <a:ln>
            <a:no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PH" sz="1100"/>
          </a:p>
        </xdr:txBody>
      </xdr:sp>
      <xdr:sp macro="" textlink="">
        <xdr:nvSpPr>
          <xdr:cNvPr id="2" name="Rectangle: Rounded Corners 1">
            <a:extLst>
              <a:ext uri="{FF2B5EF4-FFF2-40B4-BE49-F238E27FC236}">
                <a16:creationId xmlns:a16="http://schemas.microsoft.com/office/drawing/2014/main" id="{CC16D390-614E-4679-B252-115E8003BC5C}"/>
              </a:ext>
            </a:extLst>
          </xdr:cNvPr>
          <xdr:cNvSpPr/>
        </xdr:nvSpPr>
        <xdr:spPr>
          <a:xfrm>
            <a:off x="342900" y="104774"/>
            <a:ext cx="12032796" cy="923925"/>
          </a:xfrm>
          <a:prstGeom prst="roundRect">
            <a:avLst/>
          </a:prstGeom>
          <a:solidFill>
            <a:srgbClr val="FDF9F5"/>
          </a:solidFill>
          <a:ln>
            <a:no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PH" sz="1100"/>
          </a:p>
        </xdr:txBody>
      </xdr:sp>
      <xdr:sp macro="" textlink="">
        <xdr:nvSpPr>
          <xdr:cNvPr id="3" name="TextBox 2">
            <a:extLst>
              <a:ext uri="{FF2B5EF4-FFF2-40B4-BE49-F238E27FC236}">
                <a16:creationId xmlns:a16="http://schemas.microsoft.com/office/drawing/2014/main" id="{E8EEDC1D-02E7-4CA9-9C4D-56A0EDE36D3E}"/>
              </a:ext>
            </a:extLst>
          </xdr:cNvPr>
          <xdr:cNvSpPr txBox="1"/>
        </xdr:nvSpPr>
        <xdr:spPr>
          <a:xfrm>
            <a:off x="561975" y="219074"/>
            <a:ext cx="11703121"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800" b="1">
                <a:solidFill>
                  <a:srgbClr val="595959"/>
                </a:solidFill>
              </a:rPr>
              <a:t>PAYMENT SUMMARY DASHBOARD</a:t>
            </a:r>
          </a:p>
        </xdr:txBody>
      </xdr:sp>
      <xdr:sp macro="" textlink="">
        <xdr:nvSpPr>
          <xdr:cNvPr id="4" name="TextBox 3">
            <a:extLst>
              <a:ext uri="{FF2B5EF4-FFF2-40B4-BE49-F238E27FC236}">
                <a16:creationId xmlns:a16="http://schemas.microsoft.com/office/drawing/2014/main" id="{AE340040-535D-48BB-B34D-9BCF01DD958C}"/>
              </a:ext>
            </a:extLst>
          </xdr:cNvPr>
          <xdr:cNvSpPr txBox="1"/>
        </xdr:nvSpPr>
        <xdr:spPr>
          <a:xfrm>
            <a:off x="556778" y="617393"/>
            <a:ext cx="11687018" cy="32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b="1">
                <a:solidFill>
                  <a:srgbClr val="7D7D7D"/>
                </a:solidFill>
                <a:effectLst/>
                <a:latin typeface="+mn-lt"/>
                <a:ea typeface="+mn-ea"/>
                <a:cs typeface="+mn-cs"/>
              </a:rPr>
              <a:t>ALL RESORTS</a:t>
            </a:r>
          </a:p>
        </xdr:txBody>
      </xdr:sp>
      <xdr:sp macro="" textlink="">
        <xdr:nvSpPr>
          <xdr:cNvPr id="18" name="Rectangle: Rounded Corners 17">
            <a:extLst>
              <a:ext uri="{FF2B5EF4-FFF2-40B4-BE49-F238E27FC236}">
                <a16:creationId xmlns:a16="http://schemas.microsoft.com/office/drawing/2014/main" id="{EA3A9D5F-9493-4E3A-BC7D-9F7586CB98D4}"/>
              </a:ext>
            </a:extLst>
          </xdr:cNvPr>
          <xdr:cNvSpPr/>
        </xdr:nvSpPr>
        <xdr:spPr>
          <a:xfrm>
            <a:off x="352859" y="4245986"/>
            <a:ext cx="5749944" cy="3560618"/>
          </a:xfrm>
          <a:prstGeom prst="roundRect">
            <a:avLst/>
          </a:prstGeom>
          <a:solidFill>
            <a:srgbClr val="FCF7F2"/>
          </a:solidFill>
          <a:ln>
            <a:no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0" name="Chart 19">
            <a:extLst>
              <a:ext uri="{FF2B5EF4-FFF2-40B4-BE49-F238E27FC236}">
                <a16:creationId xmlns:a16="http://schemas.microsoft.com/office/drawing/2014/main" id="{FB1C46DC-AD15-463D-81AF-3DCC0C5D6B92}"/>
              </a:ext>
            </a:extLst>
          </xdr:cNvPr>
          <xdr:cNvGraphicFramePr>
            <a:graphicFrameLocks/>
          </xdr:cNvGraphicFramePr>
        </xdr:nvGraphicFramePr>
        <xdr:xfrm>
          <a:off x="714375" y="4378470"/>
          <a:ext cx="5016658" cy="3332018"/>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graphicFrame macro="">
            <xdr:nvGraphicFramePr>
              <xdr:cNvPr id="21" name="Month 1">
                <a:extLst>
                  <a:ext uri="{FF2B5EF4-FFF2-40B4-BE49-F238E27FC236}">
                    <a16:creationId xmlns:a16="http://schemas.microsoft.com/office/drawing/2014/main" id="{6CB47F91-431B-402F-A7C6-82E4D724347C}"/>
                  </a:ext>
                </a:extLst>
              </xdr:cNvPr>
              <xdr:cNvGraphicFramePr/>
            </xdr:nvGraphicFramePr>
            <xdr:xfrm>
              <a:off x="7183154" y="4619956"/>
              <a:ext cx="2202442" cy="2904532"/>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399644" y="4422788"/>
                <a:ext cx="2272148" cy="2777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3" name="Rectangle: Rounded Corners 22">
            <a:extLst>
              <a:ext uri="{FF2B5EF4-FFF2-40B4-BE49-F238E27FC236}">
                <a16:creationId xmlns:a16="http://schemas.microsoft.com/office/drawing/2014/main" id="{9CB1EEC3-E7D8-4FDD-A7F2-06C757DA3027}"/>
              </a:ext>
            </a:extLst>
          </xdr:cNvPr>
          <xdr:cNvSpPr/>
        </xdr:nvSpPr>
        <xdr:spPr>
          <a:xfrm>
            <a:off x="344860" y="8279466"/>
            <a:ext cx="5746365" cy="3560400"/>
          </a:xfrm>
          <a:prstGeom prst="roundRect">
            <a:avLst/>
          </a:prstGeom>
          <a:solidFill>
            <a:srgbClr val="FCF7F2"/>
          </a:solidFill>
          <a:ln>
            <a:no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4" name="Chart 23">
            <a:extLst>
              <a:ext uri="{FF2B5EF4-FFF2-40B4-BE49-F238E27FC236}">
                <a16:creationId xmlns:a16="http://schemas.microsoft.com/office/drawing/2014/main" id="{ACB58EF2-E15F-4201-9662-1C4158C91787}"/>
              </a:ext>
            </a:extLst>
          </xdr:cNvPr>
          <xdr:cNvGraphicFramePr>
            <a:graphicFrameLocks/>
          </xdr:cNvGraphicFramePr>
        </xdr:nvGraphicFramePr>
        <xdr:xfrm>
          <a:off x="710273" y="8372984"/>
          <a:ext cx="5017458" cy="333360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graphicFrame macro="">
            <xdr:nvGraphicFramePr>
              <xdr:cNvPr id="5" name="Resort 1">
                <a:extLst>
                  <a:ext uri="{FF2B5EF4-FFF2-40B4-BE49-F238E27FC236}">
                    <a16:creationId xmlns:a16="http://schemas.microsoft.com/office/drawing/2014/main" id="{699C88EC-187B-422F-BACE-3B1E58F4E397}"/>
                  </a:ext>
                </a:extLst>
              </xdr:cNvPr>
              <xdr:cNvGraphicFramePr/>
            </xdr:nvGraphicFramePr>
            <xdr:xfrm>
              <a:off x="9498939" y="4606069"/>
              <a:ext cx="2240266" cy="1403085"/>
            </xdr:xfrm>
            <a:graphic>
              <a:graphicData uri="http://schemas.microsoft.com/office/drawing/2010/slicer">
                <sle:slicer xmlns:sle="http://schemas.microsoft.com/office/drawing/2010/slicer" name="Resort 1"/>
              </a:graphicData>
            </a:graphic>
          </xdr:graphicFrame>
        </mc:Choice>
        <mc:Fallback>
          <xdr:sp macro="" textlink="">
            <xdr:nvSpPr>
              <xdr:cNvPr id="0" name=""/>
              <xdr:cNvSpPr>
                <a:spLocks noTextEdit="1"/>
              </xdr:cNvSpPr>
            </xdr:nvSpPr>
            <xdr:spPr>
              <a:xfrm>
                <a:off x="9788722" y="4409508"/>
                <a:ext cx="2311169" cy="1341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 name="Rectangle: Rounded Corners 5">
            <a:extLst>
              <a:ext uri="{FF2B5EF4-FFF2-40B4-BE49-F238E27FC236}">
                <a16:creationId xmlns:a16="http://schemas.microsoft.com/office/drawing/2014/main" id="{69C1920F-9F6A-490A-ACFC-FDCC6B650439}"/>
              </a:ext>
            </a:extLst>
          </xdr:cNvPr>
          <xdr:cNvSpPr/>
        </xdr:nvSpPr>
        <xdr:spPr>
          <a:xfrm>
            <a:off x="381001" y="1304924"/>
            <a:ext cx="11956597" cy="2562226"/>
          </a:xfrm>
          <a:prstGeom prst="roundRect">
            <a:avLst/>
          </a:prstGeom>
          <a:solidFill>
            <a:srgbClr val="FCF7F2"/>
          </a:solidFill>
          <a:ln>
            <a:no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PH" sz="1100"/>
          </a:p>
        </xdr:txBody>
      </xdr:sp>
      <xdr:sp macro="" textlink="">
        <xdr:nvSpPr>
          <xdr:cNvPr id="7" name="Rectangle 6">
            <a:extLst>
              <a:ext uri="{FF2B5EF4-FFF2-40B4-BE49-F238E27FC236}">
                <a16:creationId xmlns:a16="http://schemas.microsoft.com/office/drawing/2014/main" id="{7A8D8D8F-CC3A-EEF7-5AFB-BAA0592B2F2A}"/>
              </a:ext>
            </a:extLst>
          </xdr:cNvPr>
          <xdr:cNvSpPr/>
        </xdr:nvSpPr>
        <xdr:spPr>
          <a:xfrm>
            <a:off x="962025" y="1714500"/>
            <a:ext cx="10765971" cy="1762125"/>
          </a:xfrm>
          <a:prstGeom prst="rect">
            <a:avLst/>
          </a:prstGeom>
          <a:solidFill>
            <a:srgbClr val="FCF7F2"/>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9" name="TextBox 8">
            <a:extLst>
              <a:ext uri="{FF2B5EF4-FFF2-40B4-BE49-F238E27FC236}">
                <a16:creationId xmlns:a16="http://schemas.microsoft.com/office/drawing/2014/main" id="{E8BC76B0-27DE-4624-ADC7-6DBC4A63B68F}"/>
              </a:ext>
            </a:extLst>
          </xdr:cNvPr>
          <xdr:cNvSpPr txBox="1"/>
        </xdr:nvSpPr>
        <xdr:spPr>
          <a:xfrm>
            <a:off x="962025" y="1357745"/>
            <a:ext cx="10761916"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800" b="1">
                <a:solidFill>
                  <a:srgbClr val="595959"/>
                </a:solidFill>
              </a:rPr>
              <a:t>COLLECTION BY RESORT</a:t>
            </a:r>
          </a:p>
        </xdr:txBody>
      </xdr:sp>
      <xdr:sp macro="" textlink="">
        <xdr:nvSpPr>
          <xdr:cNvPr id="28" name="Rectangle 27">
            <a:extLst>
              <a:ext uri="{FF2B5EF4-FFF2-40B4-BE49-F238E27FC236}">
                <a16:creationId xmlns:a16="http://schemas.microsoft.com/office/drawing/2014/main" id="{121E5DD1-AB2C-57FB-930D-E018140864AD}"/>
              </a:ext>
            </a:extLst>
          </xdr:cNvPr>
          <xdr:cNvSpPr/>
        </xdr:nvSpPr>
        <xdr:spPr>
          <a:xfrm>
            <a:off x="962025" y="1714500"/>
            <a:ext cx="10765971" cy="350475"/>
          </a:xfrm>
          <a:prstGeom prst="rect">
            <a:avLst/>
          </a:prstGeom>
          <a:solidFill>
            <a:srgbClr val="CBB89B"/>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63" name="Rectangle 62">
            <a:extLst>
              <a:ext uri="{FF2B5EF4-FFF2-40B4-BE49-F238E27FC236}">
                <a16:creationId xmlns:a16="http://schemas.microsoft.com/office/drawing/2014/main" id="{C8B29797-4D91-EE74-D12B-7EB937F57549}"/>
              </a:ext>
            </a:extLst>
          </xdr:cNvPr>
          <xdr:cNvSpPr/>
        </xdr:nvSpPr>
        <xdr:spPr>
          <a:xfrm>
            <a:off x="9493709" y="6098800"/>
            <a:ext cx="2256703" cy="1389531"/>
          </a:xfrm>
          <a:prstGeom prst="rect">
            <a:avLst/>
          </a:prstGeom>
          <a:no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64" name="TextBox 63">
            <a:extLst>
              <a:ext uri="{FF2B5EF4-FFF2-40B4-BE49-F238E27FC236}">
                <a16:creationId xmlns:a16="http://schemas.microsoft.com/office/drawing/2014/main" id="{802189F5-D0DA-DC50-5100-520BE3151A66}"/>
              </a:ext>
            </a:extLst>
          </xdr:cNvPr>
          <xdr:cNvSpPr txBox="1"/>
        </xdr:nvSpPr>
        <xdr:spPr>
          <a:xfrm>
            <a:off x="9482499" y="6098800"/>
            <a:ext cx="1318851"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900" b="1"/>
              <a:t>Last Data</a:t>
            </a:r>
            <a:r>
              <a:rPr lang="en-PH" sz="900" b="1" baseline="0"/>
              <a:t> Refresh: </a:t>
            </a:r>
            <a:endParaRPr lang="en-PH" sz="900" b="1"/>
          </a:p>
        </xdr:txBody>
      </xdr:sp>
      <xdr:sp macro="" textlink="">
        <xdr:nvSpPr>
          <xdr:cNvPr id="65" name="TextBox 64">
            <a:extLst>
              <a:ext uri="{FF2B5EF4-FFF2-40B4-BE49-F238E27FC236}">
                <a16:creationId xmlns:a16="http://schemas.microsoft.com/office/drawing/2014/main" id="{3F350283-64B0-4B07-953C-A55EFE4A0571}"/>
              </a:ext>
            </a:extLst>
          </xdr:cNvPr>
          <xdr:cNvSpPr txBox="1"/>
        </xdr:nvSpPr>
        <xdr:spPr>
          <a:xfrm>
            <a:off x="9506230" y="6390155"/>
            <a:ext cx="1295120"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900" b="1"/>
              <a:t>Last Data</a:t>
            </a:r>
            <a:r>
              <a:rPr lang="en-PH" sz="900" b="1" baseline="0"/>
              <a:t> Update:</a:t>
            </a:r>
            <a:endParaRPr lang="en-PH" sz="900" b="1"/>
          </a:p>
        </xdr:txBody>
      </xdr:sp>
      <xdr:sp macro="" textlink="">
        <xdr:nvSpPr>
          <xdr:cNvPr id="66" name="TextBox 65">
            <a:extLst>
              <a:ext uri="{FF2B5EF4-FFF2-40B4-BE49-F238E27FC236}">
                <a16:creationId xmlns:a16="http://schemas.microsoft.com/office/drawing/2014/main" id="{91C3CDF0-23A0-4E0C-9794-642CDBCF0637}"/>
              </a:ext>
            </a:extLst>
          </xdr:cNvPr>
          <xdr:cNvSpPr txBox="1"/>
        </xdr:nvSpPr>
        <xdr:spPr>
          <a:xfrm>
            <a:off x="9556089" y="6845973"/>
            <a:ext cx="2139374" cy="631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00" b="1" i="1">
                <a:solidFill>
                  <a:sysClr val="windowText" lastClr="000000"/>
                </a:solidFill>
              </a:rPr>
              <a:t>Reminder: </a:t>
            </a:r>
            <a:br>
              <a:rPr lang="en-PH" sz="1000" i="1">
                <a:solidFill>
                  <a:schemeClr val="bg2">
                    <a:lumMod val="25000"/>
                  </a:schemeClr>
                </a:solidFill>
              </a:rPr>
            </a:br>
            <a:r>
              <a:rPr lang="en-PH" sz="1000" i="1">
                <a:solidFill>
                  <a:schemeClr val="bg2">
                    <a:lumMod val="25000"/>
                  </a:schemeClr>
                </a:solidFill>
              </a:rPr>
              <a:t>Enter new data inside the tables only to keep the dashboard auto-updating.</a:t>
            </a:r>
          </a:p>
        </xdr:txBody>
      </xdr:sp>
      <xdr:grpSp>
        <xdr:nvGrpSpPr>
          <xdr:cNvPr id="11" name="Group 10">
            <a:extLst>
              <a:ext uri="{FF2B5EF4-FFF2-40B4-BE49-F238E27FC236}">
                <a16:creationId xmlns:a16="http://schemas.microsoft.com/office/drawing/2014/main" id="{D3FAA16F-C61B-38C4-58CA-8A2E34251EE7}"/>
              </a:ext>
            </a:extLst>
          </xdr:cNvPr>
          <xdr:cNvGrpSpPr/>
        </xdr:nvGrpSpPr>
        <xdr:grpSpPr>
          <a:xfrm>
            <a:off x="962025" y="1714500"/>
            <a:ext cx="10765971" cy="1771650"/>
            <a:chOff x="962025" y="1714500"/>
            <a:chExt cx="10765971" cy="1771650"/>
          </a:xfrm>
        </xdr:grpSpPr>
        <xdr:sp macro="" textlink="">
          <xdr:nvSpPr>
            <xdr:cNvPr id="32" name="Rectangle 31">
              <a:extLst>
                <a:ext uri="{FF2B5EF4-FFF2-40B4-BE49-F238E27FC236}">
                  <a16:creationId xmlns:a16="http://schemas.microsoft.com/office/drawing/2014/main" id="{287CEB45-C67F-4DDC-A459-1C41B5AC73DF}"/>
                </a:ext>
              </a:extLst>
            </xdr:cNvPr>
            <xdr:cNvSpPr/>
          </xdr:nvSpPr>
          <xdr:spPr>
            <a:xfrm>
              <a:off x="962025" y="2064975"/>
              <a:ext cx="10765971" cy="350475"/>
            </a:xfrm>
            <a:prstGeom prst="rect">
              <a:avLst/>
            </a:prstGeom>
            <a:no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3" name="Rectangle 32">
              <a:extLst>
                <a:ext uri="{FF2B5EF4-FFF2-40B4-BE49-F238E27FC236}">
                  <a16:creationId xmlns:a16="http://schemas.microsoft.com/office/drawing/2014/main" id="{EA641371-CC50-4AF9-9758-0165AD158C8E}"/>
                </a:ext>
              </a:extLst>
            </xdr:cNvPr>
            <xdr:cNvSpPr/>
          </xdr:nvSpPr>
          <xdr:spPr>
            <a:xfrm>
              <a:off x="962025" y="2415450"/>
              <a:ext cx="10765971" cy="350475"/>
            </a:xfrm>
            <a:prstGeom prst="rect">
              <a:avLst/>
            </a:prstGeom>
            <a:solidFill>
              <a:srgbClr val="F5E9DE"/>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4" name="Rectangle 33">
              <a:extLst>
                <a:ext uri="{FF2B5EF4-FFF2-40B4-BE49-F238E27FC236}">
                  <a16:creationId xmlns:a16="http://schemas.microsoft.com/office/drawing/2014/main" id="{AEE260E0-54A9-48F3-9841-2C79B6DEE46E}"/>
                </a:ext>
              </a:extLst>
            </xdr:cNvPr>
            <xdr:cNvSpPr/>
          </xdr:nvSpPr>
          <xdr:spPr>
            <a:xfrm>
              <a:off x="962025" y="3126150"/>
              <a:ext cx="10765971" cy="350475"/>
            </a:xfrm>
            <a:prstGeom prst="rect">
              <a:avLst/>
            </a:prstGeom>
            <a:solidFill>
              <a:srgbClr val="E0CBA8"/>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5" name="Rectangle 34">
              <a:extLst>
                <a:ext uri="{FF2B5EF4-FFF2-40B4-BE49-F238E27FC236}">
                  <a16:creationId xmlns:a16="http://schemas.microsoft.com/office/drawing/2014/main" id="{484BD9DC-E40A-4743-BD26-DA58653B5B02}"/>
                </a:ext>
              </a:extLst>
            </xdr:cNvPr>
            <xdr:cNvSpPr/>
          </xdr:nvSpPr>
          <xdr:spPr>
            <a:xfrm>
              <a:off x="962025" y="2765925"/>
              <a:ext cx="10765971" cy="360225"/>
            </a:xfrm>
            <a:prstGeom prst="rect">
              <a:avLst/>
            </a:prstGeom>
            <a:no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xnSp macro="">
          <xdr:nvCxnSpPr>
            <xdr:cNvPr id="12" name="Straight Connector 11">
              <a:extLst>
                <a:ext uri="{FF2B5EF4-FFF2-40B4-BE49-F238E27FC236}">
                  <a16:creationId xmlns:a16="http://schemas.microsoft.com/office/drawing/2014/main" id="{8E147D9D-E4A8-2E72-967F-1767594B732A}"/>
                </a:ext>
              </a:extLst>
            </xdr:cNvPr>
            <xdr:cNvCxnSpPr/>
          </xdr:nvCxnSpPr>
          <xdr:spPr>
            <a:xfrm>
              <a:off x="3120118" y="1724025"/>
              <a:ext cx="0" cy="1762125"/>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D90751E0-2ED0-4357-B8CD-BA0C6581CC58}"/>
                </a:ext>
              </a:extLst>
            </xdr:cNvPr>
            <xdr:cNvCxnSpPr/>
          </xdr:nvCxnSpPr>
          <xdr:spPr>
            <a:xfrm>
              <a:off x="5281478" y="1714500"/>
              <a:ext cx="0" cy="1762125"/>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9" name="Straight Connector 18">
              <a:extLst>
                <a:ext uri="{FF2B5EF4-FFF2-40B4-BE49-F238E27FC236}">
                  <a16:creationId xmlns:a16="http://schemas.microsoft.com/office/drawing/2014/main" id="{41F1D29D-303B-4DCE-8758-275AD8C442CA}"/>
                </a:ext>
              </a:extLst>
            </xdr:cNvPr>
            <xdr:cNvCxnSpPr/>
          </xdr:nvCxnSpPr>
          <xdr:spPr>
            <a:xfrm>
              <a:off x="7445561" y="1714500"/>
              <a:ext cx="0" cy="1762125"/>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2" name="Straight Connector 21">
              <a:extLst>
                <a:ext uri="{FF2B5EF4-FFF2-40B4-BE49-F238E27FC236}">
                  <a16:creationId xmlns:a16="http://schemas.microsoft.com/office/drawing/2014/main" id="{2A58A9FD-E0F9-4BF6-B38F-4284EA608526}"/>
                </a:ext>
              </a:extLst>
            </xdr:cNvPr>
            <xdr:cNvCxnSpPr/>
          </xdr:nvCxnSpPr>
          <xdr:spPr>
            <a:xfrm>
              <a:off x="9611004" y="1714500"/>
              <a:ext cx="0" cy="1762125"/>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grpSp>
      <xdr:grpSp>
        <xdr:nvGrpSpPr>
          <xdr:cNvPr id="10" name="Group 9">
            <a:extLst>
              <a:ext uri="{FF2B5EF4-FFF2-40B4-BE49-F238E27FC236}">
                <a16:creationId xmlns:a16="http://schemas.microsoft.com/office/drawing/2014/main" id="{A7C926BE-9BE1-B393-2E16-9B00F76E316C}"/>
              </a:ext>
            </a:extLst>
          </xdr:cNvPr>
          <xdr:cNvGrpSpPr/>
        </xdr:nvGrpSpPr>
        <xdr:grpSpPr>
          <a:xfrm>
            <a:off x="951140" y="1732189"/>
            <a:ext cx="10780125" cy="1781175"/>
            <a:chOff x="13416643" y="1528082"/>
            <a:chExt cx="10816864" cy="1787979"/>
          </a:xfrm>
        </xdr:grpSpPr>
        <xdr:sp macro="" textlink="">
          <xdr:nvSpPr>
            <xdr:cNvPr id="37" name="TextBox 36">
              <a:extLst>
                <a:ext uri="{FF2B5EF4-FFF2-40B4-BE49-F238E27FC236}">
                  <a16:creationId xmlns:a16="http://schemas.microsoft.com/office/drawing/2014/main" id="{BB6FD9B0-7B9E-46CF-B8AA-88A8BC0597F3}"/>
                </a:ext>
              </a:extLst>
            </xdr:cNvPr>
            <xdr:cNvSpPr txBox="1"/>
          </xdr:nvSpPr>
          <xdr:spPr>
            <a:xfrm>
              <a:off x="13416643" y="1534142"/>
              <a:ext cx="2155372"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2">
                      <a:lumMod val="25000"/>
                    </a:schemeClr>
                  </a:solidFill>
                </a:rPr>
                <a:t>Resort</a:t>
              </a:r>
            </a:p>
          </xdr:txBody>
        </xdr:sp>
        <xdr:grpSp>
          <xdr:nvGrpSpPr>
            <xdr:cNvPr id="8" name="Group 7">
              <a:extLst>
                <a:ext uri="{FF2B5EF4-FFF2-40B4-BE49-F238E27FC236}">
                  <a16:creationId xmlns:a16="http://schemas.microsoft.com/office/drawing/2014/main" id="{ACD55BD4-8563-D802-3CE2-6BDB12969309}"/>
                </a:ext>
              </a:extLst>
            </xdr:cNvPr>
            <xdr:cNvGrpSpPr/>
          </xdr:nvGrpSpPr>
          <xdr:grpSpPr>
            <a:xfrm>
              <a:off x="13416643" y="1528082"/>
              <a:ext cx="10816864" cy="1787979"/>
              <a:chOff x="13416643" y="1528082"/>
              <a:chExt cx="10816864" cy="1787979"/>
            </a:xfrm>
          </xdr:grpSpPr>
          <xdr:sp macro="" textlink="">
            <xdr:nvSpPr>
              <xdr:cNvPr id="38" name="TextBox 37">
                <a:extLst>
                  <a:ext uri="{FF2B5EF4-FFF2-40B4-BE49-F238E27FC236}">
                    <a16:creationId xmlns:a16="http://schemas.microsoft.com/office/drawing/2014/main" id="{8BDEECEC-3F9A-4D3F-A683-6CF59800766C}"/>
                  </a:ext>
                </a:extLst>
              </xdr:cNvPr>
              <xdr:cNvSpPr txBox="1"/>
            </xdr:nvSpPr>
            <xdr:spPr>
              <a:xfrm>
                <a:off x="15579365" y="1537607"/>
                <a:ext cx="2159453"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2">
                        <a:lumMod val="25000"/>
                      </a:schemeClr>
                    </a:solidFill>
                  </a:rPr>
                  <a:t>Total Invoice</a:t>
                </a:r>
              </a:p>
            </xdr:txBody>
          </xdr:sp>
          <xdr:sp macro="" textlink="">
            <xdr:nvSpPr>
              <xdr:cNvPr id="39" name="TextBox 38">
                <a:extLst>
                  <a:ext uri="{FF2B5EF4-FFF2-40B4-BE49-F238E27FC236}">
                    <a16:creationId xmlns:a16="http://schemas.microsoft.com/office/drawing/2014/main" id="{F8492ADC-C34D-44EE-988F-2AD57D2B24A4}"/>
                  </a:ext>
                </a:extLst>
              </xdr:cNvPr>
              <xdr:cNvSpPr txBox="1"/>
            </xdr:nvSpPr>
            <xdr:spPr>
              <a:xfrm>
                <a:off x="17738818" y="1531327"/>
                <a:ext cx="2141765"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2">
                        <a:lumMod val="25000"/>
                      </a:schemeClr>
                    </a:solidFill>
                  </a:rPr>
                  <a:t>Total Room Revenue</a:t>
                </a:r>
              </a:p>
            </xdr:txBody>
          </xdr:sp>
          <xdr:sp macro="" textlink="">
            <xdr:nvSpPr>
              <xdr:cNvPr id="40" name="TextBox 39">
                <a:extLst>
                  <a:ext uri="{FF2B5EF4-FFF2-40B4-BE49-F238E27FC236}">
                    <a16:creationId xmlns:a16="http://schemas.microsoft.com/office/drawing/2014/main" id="{F6172A21-CCAB-4E16-87B9-C3E95323949E}"/>
                  </a:ext>
                </a:extLst>
              </xdr:cNvPr>
              <xdr:cNvSpPr txBox="1"/>
            </xdr:nvSpPr>
            <xdr:spPr>
              <a:xfrm>
                <a:off x="19904808" y="1537607"/>
                <a:ext cx="2162175"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2">
                        <a:lumMod val="25000"/>
                      </a:schemeClr>
                    </a:solidFill>
                  </a:rPr>
                  <a:t>Deposit Received</a:t>
                </a:r>
              </a:p>
            </xdr:txBody>
          </xdr:sp>
          <xdr:sp macro="" textlink="">
            <xdr:nvSpPr>
              <xdr:cNvPr id="41" name="TextBox 40">
                <a:extLst>
                  <a:ext uri="{FF2B5EF4-FFF2-40B4-BE49-F238E27FC236}">
                    <a16:creationId xmlns:a16="http://schemas.microsoft.com/office/drawing/2014/main" id="{F01585B0-C66F-487E-8AD0-5A5AA85518E2}"/>
                  </a:ext>
                </a:extLst>
              </xdr:cNvPr>
              <xdr:cNvSpPr txBox="1"/>
            </xdr:nvSpPr>
            <xdr:spPr>
              <a:xfrm>
                <a:off x="22066983" y="1528082"/>
                <a:ext cx="2130599"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2">
                        <a:lumMod val="25000"/>
                      </a:schemeClr>
                    </a:solidFill>
                  </a:rPr>
                  <a:t>Balance</a:t>
                </a:r>
                <a:r>
                  <a:rPr lang="en-PH" sz="1200" b="1" baseline="0">
                    <a:solidFill>
                      <a:schemeClr val="bg2">
                        <a:lumMod val="25000"/>
                      </a:schemeClr>
                    </a:solidFill>
                  </a:rPr>
                  <a:t> (Final Invoice)</a:t>
                </a:r>
                <a:endParaRPr lang="en-PH" sz="1200" b="1">
                  <a:solidFill>
                    <a:schemeClr val="bg2">
                      <a:lumMod val="25000"/>
                    </a:schemeClr>
                  </a:solidFill>
                </a:endParaRPr>
              </a:p>
            </xdr:txBody>
          </xdr:sp>
          <xdr:sp macro="" textlink="">
            <xdr:nvSpPr>
              <xdr:cNvPr id="42" name="TextBox 41">
                <a:extLst>
                  <a:ext uri="{FF2B5EF4-FFF2-40B4-BE49-F238E27FC236}">
                    <a16:creationId xmlns:a16="http://schemas.microsoft.com/office/drawing/2014/main" id="{04C1F016-49F9-4AC6-8B95-AEC5FBAB76EB}"/>
                  </a:ext>
                </a:extLst>
              </xdr:cNvPr>
              <xdr:cNvSpPr txBox="1"/>
            </xdr:nvSpPr>
            <xdr:spPr>
              <a:xfrm>
                <a:off x="13423993" y="1896957"/>
                <a:ext cx="2155372"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rgbClr val="6A4320"/>
                    </a:solidFill>
                  </a:rPr>
                  <a:t>Resort 1</a:t>
                </a:r>
              </a:p>
            </xdr:txBody>
          </xdr:sp>
          <xdr:sp macro="" textlink="">
            <xdr:nvSpPr>
              <xdr:cNvPr id="43" name="TextBox 42">
                <a:extLst>
                  <a:ext uri="{FF2B5EF4-FFF2-40B4-BE49-F238E27FC236}">
                    <a16:creationId xmlns:a16="http://schemas.microsoft.com/office/drawing/2014/main" id="{8A1C46ED-4C9E-4EAF-A36C-77EAD2D3B51D}"/>
                  </a:ext>
                </a:extLst>
              </xdr:cNvPr>
              <xdr:cNvSpPr txBox="1"/>
            </xdr:nvSpPr>
            <xdr:spPr>
              <a:xfrm>
                <a:off x="13416643" y="2238557"/>
                <a:ext cx="2155372"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rgbClr val="6A4320"/>
                    </a:solidFill>
                  </a:rPr>
                  <a:t>Resort 2</a:t>
                </a:r>
              </a:p>
            </xdr:txBody>
          </xdr:sp>
          <xdr:sp macro="" textlink="">
            <xdr:nvSpPr>
              <xdr:cNvPr id="44" name="TextBox 43">
                <a:extLst>
                  <a:ext uri="{FF2B5EF4-FFF2-40B4-BE49-F238E27FC236}">
                    <a16:creationId xmlns:a16="http://schemas.microsoft.com/office/drawing/2014/main" id="{47DE60C5-75AA-4872-8F3C-BA230CBA201A}"/>
                  </a:ext>
                </a:extLst>
              </xdr:cNvPr>
              <xdr:cNvSpPr txBox="1"/>
            </xdr:nvSpPr>
            <xdr:spPr>
              <a:xfrm>
                <a:off x="13416643" y="2595312"/>
                <a:ext cx="2155372" cy="363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rgbClr val="663300"/>
                    </a:solidFill>
                  </a:rPr>
                  <a:t>Resort 3</a:t>
                </a:r>
              </a:p>
            </xdr:txBody>
          </xdr:sp>
          <xdr:sp macro="" textlink="">
            <xdr:nvSpPr>
              <xdr:cNvPr id="45" name="TextBox 44">
                <a:extLst>
                  <a:ext uri="{FF2B5EF4-FFF2-40B4-BE49-F238E27FC236}">
                    <a16:creationId xmlns:a16="http://schemas.microsoft.com/office/drawing/2014/main" id="{AAFFF8A3-CCA3-4459-AFF9-E17A659EC784}"/>
                  </a:ext>
                </a:extLst>
              </xdr:cNvPr>
              <xdr:cNvSpPr txBox="1"/>
            </xdr:nvSpPr>
            <xdr:spPr>
              <a:xfrm>
                <a:off x="13423993" y="2956061"/>
                <a:ext cx="2155372"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2">
                        <a:lumMod val="25000"/>
                      </a:schemeClr>
                    </a:solidFill>
                  </a:rPr>
                  <a:t>Total</a:t>
                </a:r>
              </a:p>
            </xdr:txBody>
          </xdr:sp>
          <xdr:sp macro="" textlink="Dashboard_Data!B3">
            <xdr:nvSpPr>
              <xdr:cNvPr id="46" name="TextBox 45">
                <a:extLst>
                  <a:ext uri="{FF2B5EF4-FFF2-40B4-BE49-F238E27FC236}">
                    <a16:creationId xmlns:a16="http://schemas.microsoft.com/office/drawing/2014/main" id="{D916A7ED-8FD1-4D63-A0E6-DF7742174DAF}"/>
                  </a:ext>
                </a:extLst>
              </xdr:cNvPr>
              <xdr:cNvSpPr txBox="1"/>
            </xdr:nvSpPr>
            <xdr:spPr>
              <a:xfrm>
                <a:off x="15579365" y="1890677"/>
                <a:ext cx="2159453"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410BF6-0601-4339-A101-2E614AAF7772}" type="TxLink">
                  <a:rPr lang="en-US" sz="1050" b="1" i="0" u="none" strike="noStrike">
                    <a:solidFill>
                      <a:srgbClr val="6A4320"/>
                    </a:solidFill>
                    <a:latin typeface="Aptos Narrow"/>
                  </a:rPr>
                  <a:pPr algn="ctr"/>
                  <a:t>$15,729,668.61</a:t>
                </a:fld>
                <a:endParaRPr lang="en-US" sz="1050" b="1">
                  <a:solidFill>
                    <a:srgbClr val="6A4320"/>
                  </a:solidFill>
                </a:endParaRPr>
              </a:p>
            </xdr:txBody>
          </xdr:sp>
          <xdr:sp macro="" textlink="Dashboard_Data!B4">
            <xdr:nvSpPr>
              <xdr:cNvPr id="47" name="TextBox 46">
                <a:extLst>
                  <a:ext uri="{FF2B5EF4-FFF2-40B4-BE49-F238E27FC236}">
                    <a16:creationId xmlns:a16="http://schemas.microsoft.com/office/drawing/2014/main" id="{E518CEEF-6EC1-47AB-A8E3-7AD8BDCF8F0E}"/>
                  </a:ext>
                </a:extLst>
              </xdr:cNvPr>
              <xdr:cNvSpPr txBox="1"/>
            </xdr:nvSpPr>
            <xdr:spPr>
              <a:xfrm>
                <a:off x="15572015" y="2232277"/>
                <a:ext cx="2159453"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5CA888-568B-4ABC-95AD-D929E698606D}" type="TxLink">
                  <a:rPr lang="en-US" sz="1050" b="1" i="0" u="none" strike="noStrike">
                    <a:solidFill>
                      <a:srgbClr val="6A4320"/>
                    </a:solidFill>
                    <a:latin typeface="Aptos Narrow"/>
                  </a:rPr>
                  <a:pPr algn="ctr"/>
                  <a:t>$11,586,879.51</a:t>
                </a:fld>
                <a:endParaRPr lang="en-PH" sz="1400" b="1">
                  <a:solidFill>
                    <a:srgbClr val="6A4320"/>
                  </a:solidFill>
                </a:endParaRPr>
              </a:p>
            </xdr:txBody>
          </xdr:sp>
          <xdr:sp macro="" textlink="Dashboard_Data!B5">
            <xdr:nvSpPr>
              <xdr:cNvPr id="48" name="TextBox 47">
                <a:extLst>
                  <a:ext uri="{FF2B5EF4-FFF2-40B4-BE49-F238E27FC236}">
                    <a16:creationId xmlns:a16="http://schemas.microsoft.com/office/drawing/2014/main" id="{52E60CE5-DA2B-49EF-92BF-3E5EB115DF25}"/>
                  </a:ext>
                </a:extLst>
              </xdr:cNvPr>
              <xdr:cNvSpPr txBox="1"/>
            </xdr:nvSpPr>
            <xdr:spPr>
              <a:xfrm>
                <a:off x="15572015" y="2589032"/>
                <a:ext cx="2159453" cy="363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85440B-DFE3-469C-BDA5-66EF631B2949}" type="TxLink">
                  <a:rPr lang="en-US" sz="1050" b="1" i="0" u="none" strike="noStrike">
                    <a:solidFill>
                      <a:srgbClr val="6A4320"/>
                    </a:solidFill>
                    <a:latin typeface="Aptos Narrow"/>
                  </a:rPr>
                  <a:pPr algn="ctr"/>
                  <a:t>$2,006,000.03</a:t>
                </a:fld>
                <a:endParaRPr lang="en-PH" sz="1400" b="1">
                  <a:solidFill>
                    <a:srgbClr val="6A4320"/>
                  </a:solidFill>
                </a:endParaRPr>
              </a:p>
            </xdr:txBody>
          </xdr:sp>
          <xdr:sp macro="" textlink="Dashboard_Data!B6">
            <xdr:nvSpPr>
              <xdr:cNvPr id="49" name="TextBox 48">
                <a:extLst>
                  <a:ext uri="{FF2B5EF4-FFF2-40B4-BE49-F238E27FC236}">
                    <a16:creationId xmlns:a16="http://schemas.microsoft.com/office/drawing/2014/main" id="{8662133A-7A29-434A-B19E-59E6770FDA27}"/>
                  </a:ext>
                </a:extLst>
              </xdr:cNvPr>
              <xdr:cNvSpPr txBox="1"/>
            </xdr:nvSpPr>
            <xdr:spPr>
              <a:xfrm>
                <a:off x="15579365" y="2949781"/>
                <a:ext cx="2159453"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C25FBD-1F90-4BCF-A5F2-3AC8063C1704}" type="TxLink">
                  <a:rPr lang="en-US" sz="1050" b="1" i="0" u="none" strike="noStrike">
                    <a:solidFill>
                      <a:schemeClr val="bg2">
                        <a:lumMod val="25000"/>
                      </a:schemeClr>
                    </a:solidFill>
                    <a:latin typeface="Aptos Narrow"/>
                  </a:rPr>
                  <a:pPr algn="ctr"/>
                  <a:t>$29,322,548.15</a:t>
                </a:fld>
                <a:endParaRPr lang="en-PH" sz="1400" b="1">
                  <a:solidFill>
                    <a:schemeClr val="bg2">
                      <a:lumMod val="25000"/>
                    </a:schemeClr>
                  </a:solidFill>
                </a:endParaRPr>
              </a:p>
            </xdr:txBody>
          </xdr:sp>
          <xdr:sp macro="" textlink="Dashboard_Data!C3">
            <xdr:nvSpPr>
              <xdr:cNvPr id="50" name="TextBox 49">
                <a:extLst>
                  <a:ext uri="{FF2B5EF4-FFF2-40B4-BE49-F238E27FC236}">
                    <a16:creationId xmlns:a16="http://schemas.microsoft.com/office/drawing/2014/main" id="{6DBCFD28-CDA7-43C9-A603-60D1A82E8888}"/>
                  </a:ext>
                </a:extLst>
              </xdr:cNvPr>
              <xdr:cNvSpPr txBox="1"/>
            </xdr:nvSpPr>
            <xdr:spPr>
              <a:xfrm>
                <a:off x="17757868" y="1890677"/>
                <a:ext cx="2141765"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A0D2E9-D1AA-4EEB-8252-9D98E1DF3EDD}" type="TxLink">
                  <a:rPr lang="en-US" sz="1050" b="1" i="0" u="none" strike="noStrike">
                    <a:solidFill>
                      <a:srgbClr val="6A4320"/>
                    </a:solidFill>
                    <a:latin typeface="Aptos Narrow"/>
                  </a:rPr>
                  <a:pPr algn="ctr"/>
                  <a:t>$8,152,194.37</a:t>
                </a:fld>
                <a:endParaRPr lang="en-PH" sz="1400" b="1">
                  <a:solidFill>
                    <a:srgbClr val="6A4320"/>
                  </a:solidFill>
                </a:endParaRPr>
              </a:p>
            </xdr:txBody>
          </xdr:sp>
          <xdr:sp macro="" textlink="Dashboard_Data!C4">
            <xdr:nvSpPr>
              <xdr:cNvPr id="51" name="TextBox 50">
                <a:extLst>
                  <a:ext uri="{FF2B5EF4-FFF2-40B4-BE49-F238E27FC236}">
                    <a16:creationId xmlns:a16="http://schemas.microsoft.com/office/drawing/2014/main" id="{C9F4B1B1-A121-4F1C-A288-8FF354605F5E}"/>
                  </a:ext>
                </a:extLst>
              </xdr:cNvPr>
              <xdr:cNvSpPr txBox="1"/>
            </xdr:nvSpPr>
            <xdr:spPr>
              <a:xfrm>
                <a:off x="17750518" y="2232277"/>
                <a:ext cx="2141765"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099E4B-F99F-4039-83AA-5EB5F8729C3E}" type="TxLink">
                  <a:rPr lang="en-US" sz="1050" b="1" i="0" u="none" strike="noStrike">
                    <a:solidFill>
                      <a:srgbClr val="6A4320"/>
                    </a:solidFill>
                    <a:latin typeface="Aptos Narrow"/>
                  </a:rPr>
                  <a:pPr algn="ctr"/>
                  <a:t>$6,380,161.77</a:t>
                </a:fld>
                <a:endParaRPr lang="en-PH" sz="1400" b="1">
                  <a:solidFill>
                    <a:srgbClr val="6A4320"/>
                  </a:solidFill>
                </a:endParaRPr>
              </a:p>
            </xdr:txBody>
          </xdr:sp>
          <xdr:sp macro="" textlink="Dashboard_Data!C5">
            <xdr:nvSpPr>
              <xdr:cNvPr id="52" name="TextBox 51">
                <a:extLst>
                  <a:ext uri="{FF2B5EF4-FFF2-40B4-BE49-F238E27FC236}">
                    <a16:creationId xmlns:a16="http://schemas.microsoft.com/office/drawing/2014/main" id="{3460DD4C-DF19-494F-9DC5-E7D919049E1F}"/>
                  </a:ext>
                </a:extLst>
              </xdr:cNvPr>
              <xdr:cNvSpPr txBox="1"/>
            </xdr:nvSpPr>
            <xdr:spPr>
              <a:xfrm>
                <a:off x="17750518" y="2589032"/>
                <a:ext cx="2141765" cy="363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525061-7DC2-4803-8BB5-2A49DEB763D0}" type="TxLink">
                  <a:rPr lang="en-US" sz="1050" b="1" i="0" u="none" strike="noStrike">
                    <a:solidFill>
                      <a:srgbClr val="6A4320"/>
                    </a:solidFill>
                    <a:latin typeface="Aptos Narrow"/>
                  </a:rPr>
                  <a:pPr algn="ctr"/>
                  <a:t>$0.00</a:t>
                </a:fld>
                <a:endParaRPr lang="en-PH" sz="1400" b="1">
                  <a:solidFill>
                    <a:srgbClr val="6A4320"/>
                  </a:solidFill>
                </a:endParaRPr>
              </a:p>
            </xdr:txBody>
          </xdr:sp>
          <xdr:sp macro="" textlink="Dashboard_Data!C6">
            <xdr:nvSpPr>
              <xdr:cNvPr id="53" name="TextBox 52">
                <a:extLst>
                  <a:ext uri="{FF2B5EF4-FFF2-40B4-BE49-F238E27FC236}">
                    <a16:creationId xmlns:a16="http://schemas.microsoft.com/office/drawing/2014/main" id="{2BB336E9-8F17-43CE-AFC8-BB2AAE4E49EA}"/>
                  </a:ext>
                </a:extLst>
              </xdr:cNvPr>
              <xdr:cNvSpPr txBox="1"/>
            </xdr:nvSpPr>
            <xdr:spPr>
              <a:xfrm>
                <a:off x="17757868" y="2949781"/>
                <a:ext cx="2141765"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A77E43-70B4-4371-8E8A-AE3276201E4F}" type="TxLink">
                  <a:rPr lang="en-US" sz="1050" b="1" i="0" u="none" strike="noStrike">
                    <a:solidFill>
                      <a:schemeClr val="bg2">
                        <a:lumMod val="25000"/>
                      </a:schemeClr>
                    </a:solidFill>
                    <a:latin typeface="Aptos Narrow"/>
                  </a:rPr>
                  <a:pPr algn="ctr"/>
                  <a:t>$14,532,356.14</a:t>
                </a:fld>
                <a:endParaRPr lang="en-PH" sz="1400" b="1">
                  <a:solidFill>
                    <a:schemeClr val="bg2">
                      <a:lumMod val="25000"/>
                    </a:schemeClr>
                  </a:solidFill>
                </a:endParaRPr>
              </a:p>
            </xdr:txBody>
          </xdr:sp>
          <xdr:sp macro="" textlink="Dashboard_Data!D3">
            <xdr:nvSpPr>
              <xdr:cNvPr id="54" name="TextBox 53">
                <a:extLst>
                  <a:ext uri="{FF2B5EF4-FFF2-40B4-BE49-F238E27FC236}">
                    <a16:creationId xmlns:a16="http://schemas.microsoft.com/office/drawing/2014/main" id="{3BD98A32-E24E-4694-B2C2-CAB53E3D4240}"/>
                  </a:ext>
                </a:extLst>
              </xdr:cNvPr>
              <xdr:cNvSpPr txBox="1"/>
            </xdr:nvSpPr>
            <xdr:spPr>
              <a:xfrm>
                <a:off x="19899633" y="1890677"/>
                <a:ext cx="2162175"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BF07B6-DD15-488D-B0EA-31B03C24D6A7}" type="TxLink">
                  <a:rPr lang="en-US" sz="1050" b="1" i="0" u="none" strike="noStrike">
                    <a:solidFill>
                      <a:srgbClr val="6A4320"/>
                    </a:solidFill>
                    <a:latin typeface="Aptos Narrow"/>
                  </a:rPr>
                  <a:pPr algn="ctr"/>
                  <a:t>$5,133,921.79</a:t>
                </a:fld>
                <a:endParaRPr lang="en-PH" sz="1400" b="1">
                  <a:solidFill>
                    <a:srgbClr val="6A4320"/>
                  </a:solidFill>
                </a:endParaRPr>
              </a:p>
            </xdr:txBody>
          </xdr:sp>
          <xdr:sp macro="" textlink="Dashboard_Data!D4">
            <xdr:nvSpPr>
              <xdr:cNvPr id="55" name="TextBox 54">
                <a:extLst>
                  <a:ext uri="{FF2B5EF4-FFF2-40B4-BE49-F238E27FC236}">
                    <a16:creationId xmlns:a16="http://schemas.microsoft.com/office/drawing/2014/main" id="{893051AC-1D0C-405C-9B8D-F1A8A981E47B}"/>
                  </a:ext>
                </a:extLst>
              </xdr:cNvPr>
              <xdr:cNvSpPr txBox="1"/>
            </xdr:nvSpPr>
            <xdr:spPr>
              <a:xfrm>
                <a:off x="19892283" y="2232277"/>
                <a:ext cx="2162175"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08A0B7-E69E-4082-9EF3-5F278F5ADA8F}" type="TxLink">
                  <a:rPr lang="en-US" sz="1050" b="1" i="0" u="none" strike="noStrike">
                    <a:solidFill>
                      <a:srgbClr val="6A4320"/>
                    </a:solidFill>
                    <a:latin typeface="Aptos Narrow"/>
                  </a:rPr>
                  <a:pPr algn="ctr"/>
                  <a:t>$2,984,393.77</a:t>
                </a:fld>
                <a:endParaRPr lang="en-PH" sz="1400" b="1">
                  <a:solidFill>
                    <a:srgbClr val="6A4320"/>
                  </a:solidFill>
                </a:endParaRPr>
              </a:p>
            </xdr:txBody>
          </xdr:sp>
          <xdr:sp macro="" textlink="Dashboard_Data!D5">
            <xdr:nvSpPr>
              <xdr:cNvPr id="56" name="TextBox 55">
                <a:extLst>
                  <a:ext uri="{FF2B5EF4-FFF2-40B4-BE49-F238E27FC236}">
                    <a16:creationId xmlns:a16="http://schemas.microsoft.com/office/drawing/2014/main" id="{D63BACCA-C1BD-41A6-93BB-02AF1E8F7701}"/>
                  </a:ext>
                </a:extLst>
              </xdr:cNvPr>
              <xdr:cNvSpPr txBox="1"/>
            </xdr:nvSpPr>
            <xdr:spPr>
              <a:xfrm>
                <a:off x="19892283" y="2589032"/>
                <a:ext cx="2162175" cy="363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6A6CE2-CA34-41DD-96E6-576A6CCA60EF}" type="TxLink">
                  <a:rPr lang="en-US" sz="1050" b="1" i="0" u="none" strike="noStrike">
                    <a:solidFill>
                      <a:srgbClr val="6A4320"/>
                    </a:solidFill>
                    <a:latin typeface="Aptos Narrow"/>
                  </a:rPr>
                  <a:pPr algn="ctr"/>
                  <a:t>$862,637.57</a:t>
                </a:fld>
                <a:endParaRPr lang="en-PH" sz="1400" b="1">
                  <a:solidFill>
                    <a:srgbClr val="6A4320"/>
                  </a:solidFill>
                </a:endParaRPr>
              </a:p>
            </xdr:txBody>
          </xdr:sp>
          <xdr:sp macro="" textlink="Dashboard_Data!D6">
            <xdr:nvSpPr>
              <xdr:cNvPr id="57" name="TextBox 56">
                <a:extLst>
                  <a:ext uri="{FF2B5EF4-FFF2-40B4-BE49-F238E27FC236}">
                    <a16:creationId xmlns:a16="http://schemas.microsoft.com/office/drawing/2014/main" id="{FBD70C7A-1E3E-410A-960F-8642F7378420}"/>
                  </a:ext>
                </a:extLst>
              </xdr:cNvPr>
              <xdr:cNvSpPr txBox="1"/>
            </xdr:nvSpPr>
            <xdr:spPr>
              <a:xfrm>
                <a:off x="19899633" y="2949781"/>
                <a:ext cx="2162175"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3AC2D0-A23D-4C2E-9F38-22E687ECA610}" type="TxLink">
                  <a:rPr lang="en-US" sz="1050" b="1" i="0" u="none" strike="noStrike">
                    <a:solidFill>
                      <a:schemeClr val="bg2">
                        <a:lumMod val="25000"/>
                      </a:schemeClr>
                    </a:solidFill>
                    <a:latin typeface="Aptos Narrow"/>
                  </a:rPr>
                  <a:pPr algn="ctr"/>
                  <a:t>$8,980,953.13</a:t>
                </a:fld>
                <a:endParaRPr lang="en-PH" sz="1400" b="1">
                  <a:solidFill>
                    <a:schemeClr val="bg2">
                      <a:lumMod val="25000"/>
                    </a:schemeClr>
                  </a:solidFill>
                </a:endParaRPr>
              </a:p>
            </xdr:txBody>
          </xdr:sp>
          <xdr:sp macro="" textlink="Dashboard_Data!E3">
            <xdr:nvSpPr>
              <xdr:cNvPr id="58" name="TextBox 57">
                <a:extLst>
                  <a:ext uri="{FF2B5EF4-FFF2-40B4-BE49-F238E27FC236}">
                    <a16:creationId xmlns:a16="http://schemas.microsoft.com/office/drawing/2014/main" id="{83C9305F-FC1D-4973-A1D1-0C441CD848E0}"/>
                  </a:ext>
                </a:extLst>
              </xdr:cNvPr>
              <xdr:cNvSpPr txBox="1"/>
            </xdr:nvSpPr>
            <xdr:spPr>
              <a:xfrm>
                <a:off x="22061808" y="1900202"/>
                <a:ext cx="2171699"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B1A41D-832F-4D8F-BFE4-49BC5FFBE73E}" type="TxLink">
                  <a:rPr lang="en-US" sz="1000" b="1" i="0" u="none" strike="noStrike">
                    <a:solidFill>
                      <a:srgbClr val="6A4320"/>
                    </a:solidFill>
                    <a:latin typeface="Aptos Narrow"/>
                  </a:rPr>
                  <a:pPr algn="ctr"/>
                  <a:t>$10,603,621.44</a:t>
                </a:fld>
                <a:endParaRPr lang="en-PH" sz="1200" b="1">
                  <a:solidFill>
                    <a:srgbClr val="6A4320"/>
                  </a:solidFill>
                </a:endParaRPr>
              </a:p>
            </xdr:txBody>
          </xdr:sp>
          <xdr:sp macro="" textlink="Dashboard_Data!E4">
            <xdr:nvSpPr>
              <xdr:cNvPr id="59" name="TextBox 58">
                <a:extLst>
                  <a:ext uri="{FF2B5EF4-FFF2-40B4-BE49-F238E27FC236}">
                    <a16:creationId xmlns:a16="http://schemas.microsoft.com/office/drawing/2014/main" id="{6FA5A342-09E6-4292-A846-5E925084D6BC}"/>
                  </a:ext>
                </a:extLst>
              </xdr:cNvPr>
              <xdr:cNvSpPr txBox="1"/>
            </xdr:nvSpPr>
            <xdr:spPr>
              <a:xfrm>
                <a:off x="22054458" y="2241802"/>
                <a:ext cx="2171699"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A9A840-A33B-4609-8254-9D47CD602FD4}" type="TxLink">
                  <a:rPr lang="en-US" sz="1050" b="1" i="0" u="none" strike="noStrike">
                    <a:solidFill>
                      <a:srgbClr val="6A4320"/>
                    </a:solidFill>
                    <a:latin typeface="Aptos Narrow"/>
                  </a:rPr>
                  <a:pPr algn="ctr"/>
                  <a:t>$8,615,913.22</a:t>
                </a:fld>
                <a:endParaRPr lang="en-PH" sz="1400" b="1">
                  <a:solidFill>
                    <a:srgbClr val="6A4320"/>
                  </a:solidFill>
                </a:endParaRPr>
              </a:p>
            </xdr:txBody>
          </xdr:sp>
          <xdr:sp macro="" textlink="Dashboard_Data!E5">
            <xdr:nvSpPr>
              <xdr:cNvPr id="60" name="TextBox 59">
                <a:extLst>
                  <a:ext uri="{FF2B5EF4-FFF2-40B4-BE49-F238E27FC236}">
                    <a16:creationId xmlns:a16="http://schemas.microsoft.com/office/drawing/2014/main" id="{32FC04C3-C95B-4485-919E-093C0E58EDDD}"/>
                  </a:ext>
                </a:extLst>
              </xdr:cNvPr>
              <xdr:cNvSpPr txBox="1"/>
            </xdr:nvSpPr>
            <xdr:spPr>
              <a:xfrm>
                <a:off x="22054458" y="2598557"/>
                <a:ext cx="2171699" cy="363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1F1C14-1C57-40BC-8755-0D7B5F82D259}" type="TxLink">
                  <a:rPr lang="en-US" sz="1050" b="1" i="0" u="none" strike="noStrike">
                    <a:solidFill>
                      <a:srgbClr val="6A4320"/>
                    </a:solidFill>
                    <a:latin typeface="Aptos Narrow"/>
                  </a:rPr>
                  <a:pPr algn="ctr"/>
                  <a:t>$1,143,362.46</a:t>
                </a:fld>
                <a:endParaRPr lang="en-PH" sz="1400" b="1">
                  <a:solidFill>
                    <a:srgbClr val="6A4320"/>
                  </a:solidFill>
                </a:endParaRPr>
              </a:p>
            </xdr:txBody>
          </xdr:sp>
          <xdr:sp macro="" textlink="Dashboard_Data!E6">
            <xdr:nvSpPr>
              <xdr:cNvPr id="61" name="TextBox 60">
                <a:extLst>
                  <a:ext uri="{FF2B5EF4-FFF2-40B4-BE49-F238E27FC236}">
                    <a16:creationId xmlns:a16="http://schemas.microsoft.com/office/drawing/2014/main" id="{23F480F7-CD88-4E70-95CB-3AB3E3F9D7A4}"/>
                  </a:ext>
                </a:extLst>
              </xdr:cNvPr>
              <xdr:cNvSpPr txBox="1"/>
            </xdr:nvSpPr>
            <xdr:spPr>
              <a:xfrm>
                <a:off x="22061808" y="2959306"/>
                <a:ext cx="2171699" cy="35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052CAE-E836-413C-A5AC-9A93CA7FAD16}" type="TxLink">
                  <a:rPr lang="en-US" sz="1050" b="1" i="0" u="none" strike="noStrike">
                    <a:solidFill>
                      <a:schemeClr val="bg2">
                        <a:lumMod val="25000"/>
                      </a:schemeClr>
                    </a:solidFill>
                    <a:latin typeface="Aptos Narrow"/>
                  </a:rPr>
                  <a:pPr algn="ctr"/>
                  <a:t>$20,362,897.12</a:t>
                </a:fld>
                <a:endParaRPr lang="en-PH" sz="1400" b="1">
                  <a:solidFill>
                    <a:schemeClr val="bg2">
                      <a:lumMod val="25000"/>
                    </a:schemeClr>
                  </a:solidFill>
                </a:endParaRPr>
              </a:p>
            </xdr:txBody>
          </xdr:sp>
        </xdr:grpSp>
      </xdr:grpSp>
      <xdr:cxnSp macro="">
        <xdr:nvCxnSpPr>
          <xdr:cNvPr id="13" name="Straight Connector 12">
            <a:extLst>
              <a:ext uri="{FF2B5EF4-FFF2-40B4-BE49-F238E27FC236}">
                <a16:creationId xmlns:a16="http://schemas.microsoft.com/office/drawing/2014/main" id="{1A137E4D-9E71-4D73-84F2-6EC85351DE6A}"/>
              </a:ext>
            </a:extLst>
          </xdr:cNvPr>
          <xdr:cNvCxnSpPr/>
        </xdr:nvCxnSpPr>
        <xdr:spPr>
          <a:xfrm flipV="1">
            <a:off x="684440" y="571500"/>
            <a:ext cx="3543300" cy="19050"/>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37BB67CA-AE05-4B80-B9C9-0CDC97B203D3}"/>
              </a:ext>
            </a:extLst>
          </xdr:cNvPr>
          <xdr:cNvCxnSpPr/>
        </xdr:nvCxnSpPr>
        <xdr:spPr>
          <a:xfrm>
            <a:off x="8478150" y="571500"/>
            <a:ext cx="3256650" cy="0"/>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4185B20B-EFD9-4384-B2EA-F4C3D4340040}"/>
              </a:ext>
            </a:extLst>
          </xdr:cNvPr>
          <xdr:cNvCxnSpPr/>
        </xdr:nvCxnSpPr>
        <xdr:spPr>
          <a:xfrm>
            <a:off x="9611004" y="6845973"/>
            <a:ext cx="2084459" cy="0"/>
          </a:xfrm>
          <a:prstGeom prst="line">
            <a:avLst/>
          </a:prstGeom>
          <a:ln w="9525">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71" name="TextBox 70">
            <a:extLst>
              <a:ext uri="{FF2B5EF4-FFF2-40B4-BE49-F238E27FC236}">
                <a16:creationId xmlns:a16="http://schemas.microsoft.com/office/drawing/2014/main" id="{96AEDCEC-2CA6-4B9E-AA11-65E588F92E4D}"/>
              </a:ext>
            </a:extLst>
          </xdr:cNvPr>
          <xdr:cNvSpPr txBox="1"/>
        </xdr:nvSpPr>
        <xdr:spPr>
          <a:xfrm>
            <a:off x="10431561" y="6098800"/>
            <a:ext cx="1318851"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00" b="0" i="1">
                <a:solidFill>
                  <a:schemeClr val="bg2">
                    <a:lumMod val="25000"/>
                  </a:schemeClr>
                </a:solidFill>
              </a:rPr>
              <a:t>December 17, 2025</a:t>
            </a:r>
          </a:p>
        </xdr:txBody>
      </xdr:sp>
      <xdr:sp macro="" textlink="">
        <xdr:nvSpPr>
          <xdr:cNvPr id="72" name="TextBox 71">
            <a:extLst>
              <a:ext uri="{FF2B5EF4-FFF2-40B4-BE49-F238E27FC236}">
                <a16:creationId xmlns:a16="http://schemas.microsoft.com/office/drawing/2014/main" id="{4A85EB5C-C14E-4B73-8E33-409A478396AD}"/>
              </a:ext>
            </a:extLst>
          </xdr:cNvPr>
          <xdr:cNvSpPr txBox="1"/>
        </xdr:nvSpPr>
        <xdr:spPr>
          <a:xfrm>
            <a:off x="10415949" y="6390155"/>
            <a:ext cx="1318851"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00" b="0" i="1">
                <a:solidFill>
                  <a:schemeClr val="bg2">
                    <a:lumMod val="25000"/>
                  </a:schemeClr>
                </a:solidFill>
              </a:rPr>
              <a:t>December 17, 2025</a:t>
            </a:r>
          </a:p>
        </xdr:txBody>
      </xdr:sp>
    </xdr:grpSp>
    <xdr:clientData/>
  </xdr:twoCellAnchor>
  <xdr:twoCellAnchor>
    <xdr:from>
      <xdr:col>6</xdr:col>
      <xdr:colOff>1114246</xdr:colOff>
      <xdr:row>44</xdr:row>
      <xdr:rowOff>29235</xdr:rowOff>
    </xdr:from>
    <xdr:to>
      <xdr:col>12</xdr:col>
      <xdr:colOff>366623</xdr:colOff>
      <xdr:row>61</xdr:row>
      <xdr:rowOff>14378</xdr:rowOff>
    </xdr:to>
    <xdr:graphicFrame macro="">
      <xdr:nvGraphicFramePr>
        <xdr:cNvPr id="14" name="Chart 13">
          <a:extLst>
            <a:ext uri="{FF2B5EF4-FFF2-40B4-BE49-F238E27FC236}">
              <a16:creationId xmlns:a16="http://schemas.microsoft.com/office/drawing/2014/main" id="{C18EFAC6-C5B4-433B-8B03-F461FFEC5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10886</xdr:colOff>
      <xdr:row>10</xdr:row>
      <xdr:rowOff>20166</xdr:rowOff>
    </xdr:from>
    <xdr:to>
      <xdr:col>8</xdr:col>
      <xdr:colOff>0</xdr:colOff>
      <xdr:row>17</xdr:row>
      <xdr:rowOff>71873</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D698294F-82A0-6CF6-BE76-A8CA4EC19B6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665031" y="1848966"/>
              <a:ext cx="3646714" cy="1312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7299</xdr:colOff>
      <xdr:row>22</xdr:row>
      <xdr:rowOff>10638</xdr:rowOff>
    </xdr:from>
    <xdr:to>
      <xdr:col>8</xdr:col>
      <xdr:colOff>54924</xdr:colOff>
      <xdr:row>30</xdr:row>
      <xdr:rowOff>108609</xdr:rowOff>
    </xdr:to>
    <mc:AlternateContent xmlns:mc="http://schemas.openxmlformats.org/markup-compatibility/2006">
      <mc:Choice xmlns:a14="http://schemas.microsoft.com/office/drawing/2010/main" Requires="a14">
        <xdr:graphicFrame macro="">
          <xdr:nvGraphicFramePr>
            <xdr:cNvPr id="2" name="Resort">
              <a:extLst>
                <a:ext uri="{FF2B5EF4-FFF2-40B4-BE49-F238E27FC236}">
                  <a16:creationId xmlns:a16="http://schemas.microsoft.com/office/drawing/2014/main" id="{833446B3-0761-5194-B6BF-D52B55F18A86}"/>
                </a:ext>
              </a:extLst>
            </xdr:cNvPr>
            <xdr:cNvGraphicFramePr/>
          </xdr:nvGraphicFramePr>
          <xdr:xfrm>
            <a:off x="0" y="0"/>
            <a:ext cx="0" cy="0"/>
          </xdr:xfrm>
          <a:graphic>
            <a:graphicData uri="http://schemas.microsoft.com/office/drawing/2010/slicer">
              <sle:slicer xmlns:sle="http://schemas.microsoft.com/office/drawing/2010/slicer" name="Resort"/>
            </a:graphicData>
          </a:graphic>
        </xdr:graphicFrame>
      </mc:Choice>
      <mc:Fallback>
        <xdr:sp macro="" textlink="">
          <xdr:nvSpPr>
            <xdr:cNvPr id="0" name=""/>
            <xdr:cNvSpPr>
              <a:spLocks noTextEdit="1"/>
            </xdr:cNvSpPr>
          </xdr:nvSpPr>
          <xdr:spPr>
            <a:xfrm>
              <a:off x="10661444" y="4000747"/>
              <a:ext cx="3705225" cy="1538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27.077961689814" createdVersion="8" refreshedVersion="8" minRefreshableVersion="3" recordCount="1001" xr:uid="{0EEC3D7A-1C4F-403B-83E9-6B6EFA1BDF16}">
  <cacheSource type="worksheet">
    <worksheetSource ref="A1:P1048576" sheet="Data_Consolidated"/>
  </cacheSource>
  <cacheFields count="25">
    <cacheField name="Resort" numFmtId="0">
      <sharedItems containsBlank="1" count="7">
        <s v="Resort 1"/>
        <m/>
        <s v="Resort 2"/>
        <s v="Resort 3"/>
        <s v="SFR" u="1"/>
        <s v="SJR" u="1"/>
        <s v="SSR24" u="1"/>
      </sharedItems>
    </cacheField>
    <cacheField name="FF Comments" numFmtId="0">
      <sharedItems containsNonDate="0" containsString="0" containsBlank="1"/>
    </cacheField>
    <cacheField name="Reference" numFmtId="0">
      <sharedItems containsNonDate="0" containsString="0" containsBlank="1"/>
    </cacheField>
    <cacheField name="Due Date" numFmtId="0">
      <sharedItems containsBlank="1"/>
    </cacheField>
    <cacheField name="Origin" numFmtId="0">
      <sharedItems containsNonDate="0" containsBlank="1" count="11">
        <m/>
        <s v="TRA" u="1"/>
        <s v="DIRE" u="1"/>
        <s v="COMPL" u="1"/>
        <s v="GDSS" u="1"/>
        <s v="OTAS" u="1"/>
        <s v="AMBA" u="1"/>
        <s v="SON" u="1"/>
        <s v="COMP" u="1"/>
        <s v="TOR" u="1"/>
        <s v="WEBS" u="1"/>
      </sharedItems>
    </cacheField>
    <cacheField name="Invoice Amount" numFmtId="166">
      <sharedItems containsString="0" containsBlank="1" containsNumber="1" minValue="0" maxValue="335455.34999999998"/>
    </cacheField>
    <cacheField name="Payment Received" numFmtId="166">
      <sharedItems containsString="0" containsBlank="1" containsNumber="1" minValue="0" maxValue="335455.34999999998"/>
    </cacheField>
    <cacheField name="Balance" numFmtId="166">
      <sharedItems containsString="0" containsBlank="1" containsNumber="1" minValue="0" maxValue="209586.7"/>
    </cacheField>
    <cacheField name="Payment Status" numFmtId="0">
      <sharedItems containsBlank="1" count="9">
        <s v="Fully Paid"/>
        <s v="Comp"/>
        <s v="Tentative"/>
        <s v="Against VCC"/>
        <s v="Deposit Paid"/>
        <s v="Not paid yet"/>
        <s v="Payment on Arrival"/>
        <s v="Credit facility"/>
        <m/>
      </sharedItems>
    </cacheField>
    <cacheField name="First Name" numFmtId="0">
      <sharedItems containsNonDate="0" containsString="0" containsBlank="1"/>
    </cacheField>
    <cacheField name="Last Name" numFmtId="0">
      <sharedItems containsNonDate="0" containsString="0" containsBlank="1"/>
    </cacheField>
    <cacheField name="Arrival" numFmtId="0">
      <sharedItems containsNonDate="0" containsDate="1" containsString="0" containsBlank="1" minDate="2026-01-01T00:00:00" maxDate="2026-12-28T00:00:00"/>
    </cacheField>
    <cacheField name="Departure" numFmtId="0">
      <sharedItems containsNonDate="0" containsDate="1" containsString="0" containsBlank="1" minDate="2026-01-02T00:00:00" maxDate="2027-01-10T00:00:00"/>
    </cacheField>
    <cacheField name="No of nights" numFmtId="0">
      <sharedItems containsString="0" containsBlank="1" containsNumber="1" containsInteger="1" minValue="1" maxValue="61"/>
    </cacheField>
    <cacheField name="Month" numFmtId="0">
      <sharedItems containsBlank="1" count="13">
        <s v="Jan"/>
        <s v="Feb"/>
        <s v="Mar"/>
        <s v="Apr"/>
        <s v="May"/>
        <s v="Jun"/>
        <s v="Jul"/>
        <s v="Aug"/>
        <s v="Sep"/>
        <s v="Oct"/>
        <s v="Nov"/>
        <s v="Dec"/>
        <m/>
      </sharedItems>
    </cacheField>
    <cacheField name="Month Number" numFmtId="0">
      <sharedItems containsString="0" containsBlank="1" containsNumber="1" containsInteger="1" minValue="1" maxValue="12"/>
    </cacheField>
    <cacheField name="Year" numFmtId="0">
      <sharedItems containsString="0" containsBlank="1" containsNumber="1" containsInteger="1" minValue="1900" maxValue="2026"/>
    </cacheField>
    <cacheField name="Payment Type" numFmtId="0">
      <sharedItems containsBlank="1" count="3">
        <s v="Full Payment"/>
        <s v="Deposit"/>
        <m/>
      </sharedItems>
    </cacheField>
    <cacheField name="Room Revenue" numFmtId="166">
      <sharedItems containsString="0" containsBlank="1" containsNumber="1" minValue="-1144.68" maxValue="212683.2"/>
    </cacheField>
    <cacheField name="Rate Code" numFmtId="0">
      <sharedItems containsNonDate="0" containsBlank="1" count="72">
        <m/>
        <s v="30CON1RBD" u="1"/>
        <s v="BAR1RBD" u="1"/>
        <s v="BAR1RB" u="1"/>
        <s v="PRESSCOMP" u="1"/>
        <s v="301HB" u="1"/>
        <s v="20FO1RB" u="1"/>
        <s v="COMPLURO" u="1"/>
        <s v="30CON1RB" u="1"/>
        <s v="VOWNERCOMP" u="1"/>
        <s v="35CON1RB" u="1"/>
        <s v="30GRES25" u="1"/>
        <s v="30EB1RB" u="1"/>
        <s v="30FNPHB" u="1"/>
        <s v="50GRES25" u="1"/>
        <s v="SIAFB" u="1"/>
        <s v="50GR25HB" u="1"/>
        <s v="30SPNODHB" u="1"/>
        <s v="10FRIERB" u="1"/>
        <s v="COMPAMBA" u="1"/>
        <s v="VOUCHCOMP" u="1"/>
        <s v="30ST5P4RB" u="1"/>
        <s v="TACN2026" u="1"/>
        <s v="HOSTCOMPRO" u="1"/>
        <s v="FAMCOMP" u="1"/>
        <s v="30GR25HB" u="1"/>
        <s v="50EB1RB" u="1"/>
        <s v="BARSIAFB" u="1"/>
        <s v="50RSDGR25BB" u="1"/>
        <s v="TACNEB26" u="1"/>
        <s v="30RSDGR25BB" u="1"/>
        <s v="40EX1RB" u="1"/>
        <s v="TIR1RB" u="1"/>
        <s v="50ST7P5RB" u="1"/>
        <s v="STARSCOMP" u="1"/>
        <s v="30ST14P10RB" u="1"/>
        <s v="30FO1RB" u="1"/>
        <s v="40AX1RB" u="1"/>
        <s v="35GRES25" u="1"/>
        <s v="40BK1RB" u="1"/>
        <s v="30BSK25" u="1"/>
        <s v="30SUMHB" u="1"/>
        <s v="TRAUMINSEL26" u="1"/>
        <s v="50SUMHB" u="1"/>
        <s v="50RSDGR25HB" u="1"/>
        <s v="35ST10P8HB" u="1"/>
        <s v="35SUMHB" u="1"/>
        <s v="30RSDGR25HB" u="1"/>
        <s v="35CON1RBD" u="1"/>
        <s v="30EBRB" u="1"/>
        <s v="35EB1RB" u="1"/>
        <s v="30ST4P3RB" u="1"/>
        <s v="30ST7P5HB" u="1"/>
        <s v="SACNEB26" u="1"/>
        <s v="40KW1RB" u="1"/>
        <s v="30ST7P5RB" u="1"/>
        <s v="30JP3EBO26" u="1"/>
        <s v="30JP4EBO26" u="1"/>
        <s v="30ST9P7HB" u="1"/>
        <s v="30SFNODHB" u="1"/>
        <s v="40HB1RB" u="1"/>
        <s v="30ST4P3HB" u="1"/>
        <s v="50JP4EBO26" u="1"/>
        <s v="Resort 2TTTHB75" u="1"/>
        <s v="50RSDBB" u="1"/>
        <s v="HOUSEUSE" u="1"/>
        <s v="BAR1FB2" u="1"/>
        <s v="BARTFB" u="1"/>
        <s v="30CON1FB2" u="1"/>
        <s v="50PIONEERFB" u="1"/>
        <s v="30PIONEERFB" u="1"/>
        <s v="SJRTTTHB75" u="1"/>
      </sharedItems>
    </cacheField>
    <cacheField name="Opera Status" numFmtId="0">
      <sharedItems containsBlank="1"/>
    </cacheField>
    <cacheField name="Date Entered" numFmtId="0">
      <sharedItems containsNonDate="0" containsDate="1" containsString="0" containsBlank="1" minDate="2021-09-27T00:00:00" maxDate="2025-12-12T00:00:00"/>
    </cacheField>
    <cacheField name="Source" numFmtId="0">
      <sharedItems containsNonDate="0" containsBlank="1" count="182">
        <m/>
        <s v="Pure Escapes (UK &amp; Russia)" u="1"/>
        <s v="Soneva Reservations Department" u="1"/>
        <s v="Intour Maldives" u="1"/>
        <s v="Scott Dunn" u="1"/>
        <s v="AMERICAN EXPRESS (INDIA)PRIVATE LIMITED" u="1"/>
        <s v="Eurobusinesstour Plus" u="1"/>
        <s v="Fora Travel Inc" u="1"/>
        <s v="Expedia" u="1"/>
        <s v="Strohbeck Reisen" u="1"/>
        <s v="Adventures Kuwait" u="1"/>
        <s v="Travel Beyond Ab" u="1"/>
        <s v="Der Touristik" u="1"/>
        <s v="Pro Travel" u="1"/>
        <s v="Discovery Travel &amp; Peacock Travel" u="1"/>
        <s v="Classic Vacations" u="1"/>
        <s v="Peacocktravel" u="1"/>
        <s v="80 Days" u="1"/>
        <s v="Kangaroo Tours" u="1"/>
        <s v="Turquoise" u="1"/>
        <s v="American Express Europe Llc" u="1"/>
        <s v="Hummingbird Travel Ltd" u="1"/>
        <s v="Radermacher Reisen GmbH" u="1"/>
        <s v="Addicted To Maldives" u="1"/>
        <s v="Itc - Inspiring Travel Company" u="1"/>
        <s v="American Express Tls Hklimited" u="1"/>
        <s v="Arkas Turizm" u="1"/>
        <s v="Aqua Blue Collection (ABC)" u="1"/>
        <s v="Luxury Exclusive" u="1"/>
        <s v="Select Collection (Sweden)" u="1"/>
        <s v="Stop Over Reisen GmbH" u="1"/>
        <s v="Invilia" u="1"/>
        <s v="Blue Marble Private" u="1"/>
        <s v="Cazenove &amp; Loyd" u="1"/>
        <s v="Kluchi" u="1"/>
        <s v="Discovery Travel" u="1"/>
        <s v="Nyhavn Rejser A/s" u="1"/>
        <s v="Bliss Maldives Pvt.Ltd." u="1"/>
        <s v="By Grosen" u="1"/>
        <s v="Pemira Travel" u="1"/>
        <s v="Whale Trip" u="1"/>
        <s v="Beyond Destinations" u="1"/>
        <s v="Journeys By Frost" u="1"/>
        <s v="Runtour Travel International Service" u="1"/>
        <s v="Rejselyst" u="1"/>
        <s v="Desert Gate Tourism" u="1"/>
        <s v="Katie Terrington Private Travel" u="1"/>
        <s v="Adore Maldives Pvt. Ltd." u="1"/>
        <s v="Only Exclusive Travel" u="1"/>
        <s v="360 Private Travel" u="1"/>
        <s v="Dreamsteam" u="1"/>
        <s v="Tzell Holdings Llc" u="1"/>
        <s v="Chendu HD Mama Travel Agency Co., Ltd." u="1"/>
        <s v="Space Travel Llc" u="1"/>
        <s v="Edel Travel" u="1"/>
        <s v="DSI Reisen Gmbh &amp; Co." u="1"/>
        <s v="Bailey Robinson" u="1"/>
        <s v="Original Travel" u="1"/>
        <s v="Lifestyle Capital Partners" u="1"/>
        <s v="Amex Japan" u="1"/>
        <s v="Personne Travel Club" u="1"/>
        <s v="Shenzhen White Horse Travel" u="1"/>
        <s v="Resort Life Maldives Pvt. Ltd." u="1"/>
        <s v="Trauminsel Reisen" u="1"/>
        <s v="Roger Kershaw Custom Travel" u="1"/>
        <s v="Frontiers International Travel" u="1"/>
        <s v="Soneva.Com" u="1"/>
        <s v="Lets Go Maldives Pvt Ltd" u="1"/>
        <s v="Ryoko Maldives Pvt Ltd" u="1"/>
        <s v="Berner Travel GmbH" u="1"/>
        <s v="Elegant Travel GmbH" u="1"/>
        <s v="The Family Project" u="1"/>
        <s v="Luxe Travel" u="1"/>
        <s v="Reiss Reisen" u="1"/>
        <s v="Airtours International" u="1"/>
        <s v="Elevate Travel Dmc" u="1"/>
        <s v="Beijing Ontour International Travel Serv" u="1"/>
        <s v="Extraordinary Escapes Pty Ltd" u="1"/>
        <s v="Elegant Resorts, If Only" u="1"/>
        <s v="Linara Travel" u="1"/>
        <s v="Tropic Breeze" u="1"/>
        <s v="My Perfect Venue" u="1"/>
        <s v="Travelcoup" u="1"/>
        <s v="The Travel Studio" u="1"/>
        <s v="Exciting Maldives Pvt Ltd" u="1"/>
        <s v="Booking.com" u="1"/>
        <s v="Design Reisen" u="1"/>
        <s v="Ultimate Jet Vacations" u="1"/>
        <s v="Maldiviana Llc" u="1"/>
        <s v="Svs Travel Delights GmbH" u="1"/>
        <s v="Carbie Travels" u="1"/>
        <s v="Travel Counsellors Ltd" u="1"/>
        <s v="Reiseagentur Reisser" u="1"/>
        <s v="Lario Tour" u="1"/>
        <s v="Joro Experiences" u="1"/>
        <s v="Illusions Online Arabia Fz Llc" u="1"/>
        <s v="Yoyo Travel" u="1"/>
        <s v="Southern Cross" u="1"/>
        <s v="Sabra Travel" u="1"/>
        <s v="Tailored Escapes" u="1"/>
        <s v="Bluexsea Travel Co.,Ltd." u="1"/>
        <s v="Smith Global Ltd" u="1"/>
        <s v="Id Travel Group" u="1"/>
        <s v="Apaseo Travel Experience" u="1"/>
        <s v="Almont Travel Group" u="1"/>
        <s v="Art Tour" u="1"/>
        <s v="Luxury Escapes" u="1"/>
        <s v="Y Travel" u="1"/>
        <s v="Elysees Tours" u="1"/>
        <s v="Shenzhen Qiqi International" u="1"/>
        <s v="Purely Maldives" u="1"/>
        <s v="Corporate Traveller" u="1"/>
        <s v="Exciting Travel Holidays" u="1"/>
        <s v="AMERICAN EXPRESS (THAI) CO.,LTD." u="1"/>
        <s v="Pearl Travel Service Pvt Ltd" u="1"/>
        <s v="Turquoise Holiday Company" u="1"/>
        <s v="Hannon Travel" u="1"/>
        <s v="Zen Travel. Co. Ltd" u="1"/>
        <s v="Dnata Group(Worldwide)" u="1"/>
        <s v="Carewell Travels &amp; Tours Pvt. Ltd" u="1"/>
        <s v="Beijing Sunshine Holiday" u="1"/>
        <s v="Pure Escapes (Global)" u="1"/>
        <s v="Destinology Ltd." u="1"/>
        <s v="Unique Getaways" u="1"/>
        <s v="Ctrip.Com" u="1"/>
        <s v="Nanjing Tuniu International Travel Servi" u="1"/>
        <s v="Jtb Corp" u="1"/>
        <s v="Eurobusiness Tour" u="1"/>
        <s v="Emirates Holidays" u="1"/>
        <s v="Voyageurs Du Monde (Vdm)" u="1"/>
        <s v="Elegant Resort" u="1"/>
        <s v="Carrier" u="1"/>
        <s v="Experience Travel" u="1"/>
        <s v="Let’s Travel Service Co., Ltd." u="1"/>
        <s v="Travel Channel Hong Kong" u="1"/>
        <s v="Iitour Travel International Service (Hk)" u="1"/>
        <s v="Wander Vacations Sdn Bhd" u="1"/>
        <s v="Shanghai Dongtian International Travel S" u="1"/>
        <s v="Kiwi Collection Inc." u="1"/>
        <s v="AMERICAN EXPRESS INT'L INC" u="1"/>
        <s v="Henan Island Escape International Travel" u="1"/>
        <s v="Avit Lufthansa City Center" u="1"/>
        <s v="Travel Factory Japan Co., Ltd" u="1"/>
        <s v="His-World" u="1"/>
        <s v="Opensky Voyages" u="1"/>
        <s v="The Smart Flyer Inc." u="1"/>
        <s v="Shenzhen Dayang International" u="1"/>
        <s v="Rawnaq Tourism" u="1"/>
        <s v="Capital Travel And Tours" u="1"/>
        <s v="Seascape Escape Travel Service" u="1"/>
        <s v="Amity Travel" u="1"/>
        <s v="Viluxur Holidays (ov Holidays)" u="1"/>
        <s v="Alidays S.P.A." u="1"/>
        <s v="G.Z.Meiya E-Commerce International" u="1"/>
        <s v="Tcs World Travel" u="1"/>
        <s v="A List Travel Group" u="1"/>
        <s v="Inpac Japan Co., Ltd" u="1"/>
        <s v="Hotelbeds" u="1"/>
        <s v="Najid A Partnership AG" u="1"/>
        <s v="The Luxe Connections" u="1"/>
        <s v="Bach Travel Agency" u="1"/>
        <s v="Offgrid Travel" u="1"/>
        <s v="Orinter Tour &amp; Travel" u="1"/>
        <s v="That's My Dream Holiday" u="1"/>
        <s v="The Tynan Travel Co." u="1"/>
        <s v="Concierge Bank" u="1"/>
        <s v="You Trip Travel Ltd Chengdu China" u="1"/>
        <s v="Inteletravel Uk Limited" u="1"/>
        <s v="Eden Luxury Travel" u="1"/>
        <s v="Turquoise Holidays Uk" u="1"/>
        <s v="Harris" u="1"/>
        <s v="Amex Australia" u="1"/>
        <s v="FBT (Fordb Travel)" u="1"/>
        <s v="Friedel Tours" u="1"/>
        <s v="Fly Smoother" u="1"/>
        <s v="Luxury Travel, China" u="1"/>
        <s v="Dmw Travel" u="1"/>
        <s v="Action Turismo Operadora" u="1"/>
        <s v="Dnata Ek Group" u="1"/>
        <s v="Amex" u="1"/>
        <s v="Dreams Travel, s.r.o." u="1"/>
        <s v="Blue Sky Escapes" u="1"/>
      </sharedItems>
    </cacheField>
    <cacheField name="Market" numFmtId="0">
      <sharedItems containsNonDate="0" containsString="0" containsBlank="1"/>
    </cacheField>
    <cacheField name="Country" numFmtId="0">
      <sharedItems containsBlank="1" count="53">
        <s v="Russia"/>
        <s v="UNITED KINGDOM"/>
        <s v="India"/>
        <s v="Greece"/>
        <s v="Thailand"/>
        <s v="Unknown"/>
        <s v="France"/>
        <s v="Germany"/>
        <s v="Japan"/>
        <m/>
        <s v="Switzerland"/>
        <s v="Kuwait"/>
        <s v="Argentina"/>
        <s v="Finland"/>
        <s v="Sweden"/>
        <s v="United States"/>
        <s v="Denmark"/>
        <s v="Turkey"/>
        <s v="Brazil"/>
        <s v="Spain"/>
        <s v="Poland"/>
        <s v="Bulgaria"/>
        <s v="Hong Kong SAR of China"/>
        <s v="China"/>
        <s v="Korea (South)"/>
        <s v="Netherlands"/>
        <s v="Kazakhstan"/>
        <s v="United Arab Emirates"/>
        <s v="Ireland"/>
        <s v="Portugal"/>
        <s v="Austria"/>
        <s v="Australia"/>
        <s v="Cyprus"/>
        <s v="Italy"/>
        <s v="Slovakia"/>
        <s v="Singapore"/>
        <s v="Ukraine"/>
        <s v="Chinese Taiwan"/>
        <s v="Philippines"/>
        <s v="Canada"/>
        <s v="Macau - SAR of China"/>
        <s v="Malaysia"/>
        <s v="Bermuda"/>
        <s v="Saudi Arabia"/>
        <s v="Vietnam"/>
        <s v="Indonesia"/>
        <s v="South Africa"/>
        <s v="Norway"/>
        <s v="Senegal"/>
        <s v="Qatar"/>
        <s v="Luxembourg"/>
        <s v="Pakistan"/>
        <s v="Do Not Use"/>
      </sharedItems>
    </cacheField>
  </cacheFields>
  <extLst>
    <ext xmlns:x14="http://schemas.microsoft.com/office/spreadsheetml/2009/9/main" uri="{725AE2AE-9491-48be-B2B4-4EB974FC3084}">
      <x14:pivotCacheDefinition pivotCacheId="809619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m/>
    <m/>
    <s v="90 days pta"/>
    <x v="0"/>
    <n v="199999.97"/>
    <n v="199999.97"/>
    <m/>
    <x v="0"/>
    <m/>
    <m/>
    <d v="2026-01-01T00:00:00"/>
    <d v="2026-01-08T00:00:00"/>
    <n v="7"/>
    <x v="0"/>
    <n v="1"/>
    <n v="2026"/>
    <x v="0"/>
    <n v="137553.57"/>
    <x v="0"/>
    <m/>
    <d v="2025-10-03T00:00:00"/>
    <x v="0"/>
    <m/>
    <x v="0"/>
  </r>
  <r>
    <x v="0"/>
    <m/>
    <m/>
    <s v="90 days pta"/>
    <x v="0"/>
    <n v="209974.09"/>
    <n v="209974.09"/>
    <m/>
    <x v="0"/>
    <m/>
    <m/>
    <d v="2026-01-01T00:00:00"/>
    <d v="2026-01-08T00:00:00"/>
    <n v="7"/>
    <x v="0"/>
    <n v="1"/>
    <n v="2026"/>
    <x v="0"/>
    <n v="149217.09"/>
    <x v="0"/>
    <m/>
    <d v="2025-07-23T00:00:00"/>
    <x v="0"/>
    <m/>
    <x v="1"/>
  </r>
  <r>
    <x v="0"/>
    <m/>
    <m/>
    <s v="90 days pta"/>
    <x v="0"/>
    <n v="136440"/>
    <n v="136440"/>
    <m/>
    <x v="0"/>
    <m/>
    <m/>
    <d v="2026-01-02T00:00:00"/>
    <d v="2026-01-12T00:00:00"/>
    <n v="10"/>
    <x v="0"/>
    <n v="1"/>
    <n v="2026"/>
    <x v="0"/>
    <n v="95268.04"/>
    <x v="0"/>
    <m/>
    <d v="2025-08-26T00:00:00"/>
    <x v="0"/>
    <m/>
    <x v="0"/>
  </r>
  <r>
    <x v="0"/>
    <m/>
    <m/>
    <s v="90 days pta"/>
    <x v="0"/>
    <n v="131512"/>
    <n v="131512"/>
    <m/>
    <x v="0"/>
    <m/>
    <m/>
    <d v="2026-01-02T00:00:00"/>
    <d v="2026-01-11T00:00:00"/>
    <n v="9"/>
    <x v="0"/>
    <n v="1"/>
    <n v="2026"/>
    <x v="0"/>
    <n v="90370.98"/>
    <x v="0"/>
    <m/>
    <d v="2025-11-12T00:00:00"/>
    <x v="0"/>
    <m/>
    <x v="0"/>
  </r>
  <r>
    <x v="0"/>
    <m/>
    <m/>
    <s v="90 days pta"/>
    <x v="0"/>
    <n v="65778"/>
    <n v="65778"/>
    <m/>
    <x v="0"/>
    <m/>
    <m/>
    <d v="2026-01-03T00:00:00"/>
    <d v="2026-01-10T00:00:00"/>
    <n v="7"/>
    <x v="0"/>
    <n v="1"/>
    <n v="2026"/>
    <x v="0"/>
    <n v="36985.269999999997"/>
    <x v="0"/>
    <m/>
    <d v="2025-03-20T00:00:00"/>
    <x v="0"/>
    <m/>
    <x v="1"/>
  </r>
  <r>
    <x v="0"/>
    <m/>
    <m/>
    <s v="90 days pta"/>
    <x v="0"/>
    <n v="116300"/>
    <n v="116300"/>
    <m/>
    <x v="0"/>
    <m/>
    <m/>
    <d v="2026-01-03T00:00:00"/>
    <d v="2026-01-12T00:00:00"/>
    <n v="9"/>
    <x v="0"/>
    <n v="1"/>
    <n v="2026"/>
    <x v="0"/>
    <n v="84335.67"/>
    <x v="0"/>
    <m/>
    <d v="2025-09-01T00:00:00"/>
    <x v="0"/>
    <m/>
    <x v="0"/>
  </r>
  <r>
    <x v="0"/>
    <m/>
    <m/>
    <s v="90 days pta"/>
    <x v="0"/>
    <n v="78492.39"/>
    <n v="78824.539999999994"/>
    <m/>
    <x v="0"/>
    <m/>
    <m/>
    <d v="2026-01-03T00:00:00"/>
    <d v="2026-01-10T00:00:00"/>
    <n v="7"/>
    <x v="0"/>
    <n v="1"/>
    <n v="2026"/>
    <x v="0"/>
    <n v="57379.839999999997"/>
    <x v="0"/>
    <m/>
    <d v="2025-06-25T00:00:00"/>
    <x v="0"/>
    <m/>
    <x v="0"/>
  </r>
  <r>
    <x v="0"/>
    <m/>
    <m/>
    <s v="90 days pta"/>
    <x v="0"/>
    <n v="20030.88"/>
    <n v="20030.88"/>
    <m/>
    <x v="0"/>
    <m/>
    <m/>
    <d v="2026-01-04T00:00:00"/>
    <d v="2026-01-08T00:00:00"/>
    <n v="4"/>
    <x v="0"/>
    <n v="1"/>
    <n v="2026"/>
    <x v="0"/>
    <n v="11604.76"/>
    <x v="0"/>
    <m/>
    <d v="2025-09-12T00:00:00"/>
    <x v="0"/>
    <m/>
    <x v="2"/>
  </r>
  <r>
    <x v="0"/>
    <m/>
    <m/>
    <s v="90 days pta"/>
    <x v="0"/>
    <n v="85106"/>
    <n v="85106"/>
    <m/>
    <x v="0"/>
    <m/>
    <m/>
    <d v="2026-01-04T00:00:00"/>
    <d v="2026-01-09T00:00:00"/>
    <n v="5"/>
    <x v="0"/>
    <n v="1"/>
    <n v="2026"/>
    <x v="0"/>
    <n v="59803.1"/>
    <x v="0"/>
    <m/>
    <d v="2025-10-03T00:00:00"/>
    <x v="0"/>
    <m/>
    <x v="3"/>
  </r>
  <r>
    <x v="0"/>
    <m/>
    <m/>
    <s v="90 days pta"/>
    <x v="0"/>
    <n v="0"/>
    <n v="0"/>
    <m/>
    <x v="1"/>
    <m/>
    <m/>
    <d v="2026-01-04T00:00:00"/>
    <d v="2026-01-06T00:00:00"/>
    <n v="2"/>
    <x v="0"/>
    <n v="1"/>
    <n v="2026"/>
    <x v="0"/>
    <n v="0"/>
    <x v="0"/>
    <m/>
    <d v="2025-11-12T00:00:00"/>
    <x v="0"/>
    <m/>
    <x v="4"/>
  </r>
  <r>
    <x v="0"/>
    <m/>
    <m/>
    <s v="90 days pta"/>
    <x v="0"/>
    <n v="0"/>
    <n v="0"/>
    <m/>
    <x v="2"/>
    <m/>
    <m/>
    <d v="2026-01-04T00:00:00"/>
    <d v="2026-01-11T00:00:00"/>
    <n v="7"/>
    <x v="0"/>
    <n v="1"/>
    <n v="2026"/>
    <x v="0"/>
    <n v="22696.94"/>
    <x v="0"/>
    <m/>
    <d v="2025-12-10T00:00:00"/>
    <x v="0"/>
    <m/>
    <x v="5"/>
  </r>
  <r>
    <x v="0"/>
    <m/>
    <m/>
    <s v="90 days pta"/>
    <x v="0"/>
    <n v="0"/>
    <n v="0"/>
    <m/>
    <x v="2"/>
    <m/>
    <m/>
    <d v="2026-01-04T00:00:00"/>
    <d v="2026-01-11T00:00:00"/>
    <n v="7"/>
    <x v="0"/>
    <n v="1"/>
    <n v="2026"/>
    <x v="0"/>
    <n v="22696.94"/>
    <x v="0"/>
    <m/>
    <d v="2025-12-10T00:00:00"/>
    <x v="0"/>
    <m/>
    <x v="5"/>
  </r>
  <r>
    <x v="0"/>
    <m/>
    <m/>
    <s v="90 days pta"/>
    <x v="0"/>
    <n v="18682.88"/>
    <n v="18682.88"/>
    <m/>
    <x v="0"/>
    <m/>
    <m/>
    <d v="2026-01-04T00:00:00"/>
    <d v="2026-01-08T00:00:00"/>
    <n v="4"/>
    <x v="0"/>
    <n v="1"/>
    <n v="2026"/>
    <x v="0"/>
    <n v="11766.56"/>
    <x v="0"/>
    <m/>
    <d v="2025-06-29T00:00:00"/>
    <x v="0"/>
    <m/>
    <x v="5"/>
  </r>
  <r>
    <x v="0"/>
    <m/>
    <m/>
    <s v="90 days pta"/>
    <x v="0"/>
    <n v="63049.9"/>
    <n v="2600"/>
    <n v="60449.9"/>
    <x v="3"/>
    <m/>
    <m/>
    <d v="2026-01-05T00:00:00"/>
    <d v="2026-01-14T00:00:00"/>
    <n v="9"/>
    <x v="0"/>
    <n v="1"/>
    <n v="2026"/>
    <x v="1"/>
    <n v="45073.17"/>
    <x v="0"/>
    <m/>
    <d v="2025-10-08T00:00:00"/>
    <x v="0"/>
    <m/>
    <x v="6"/>
  </r>
  <r>
    <x v="0"/>
    <m/>
    <m/>
    <s v="90 days pta"/>
    <x v="0"/>
    <n v="43204"/>
    <n v="43204"/>
    <m/>
    <x v="0"/>
    <m/>
    <m/>
    <d v="2026-01-05T00:00:00"/>
    <d v="2026-01-11T00:00:00"/>
    <n v="6"/>
    <x v="0"/>
    <n v="1"/>
    <n v="2026"/>
    <x v="0"/>
    <n v="30396.3"/>
    <x v="0"/>
    <m/>
    <d v="2025-11-14T00:00:00"/>
    <x v="0"/>
    <m/>
    <x v="7"/>
  </r>
  <r>
    <x v="0"/>
    <m/>
    <m/>
    <s v="90 days pta"/>
    <x v="0"/>
    <n v="30367.55"/>
    <n v="30367.55"/>
    <m/>
    <x v="0"/>
    <m/>
    <m/>
    <d v="2026-01-05T00:00:00"/>
    <d v="2026-01-08T00:00:00"/>
    <n v="3"/>
    <x v="0"/>
    <n v="1"/>
    <n v="2026"/>
    <x v="0"/>
    <n v="21402.3"/>
    <x v="0"/>
    <m/>
    <d v="2025-10-31T00:00:00"/>
    <x v="0"/>
    <m/>
    <x v="8"/>
  </r>
  <r>
    <x v="0"/>
    <m/>
    <m/>
    <s v="90 days pta"/>
    <x v="0"/>
    <n v="56372.1"/>
    <n v="56372.1"/>
    <m/>
    <x v="4"/>
    <m/>
    <m/>
    <d v="2026-01-06T00:00:00"/>
    <d v="2026-01-13T00:00:00"/>
    <n v="7"/>
    <x v="0"/>
    <n v="1"/>
    <n v="2026"/>
    <x v="0"/>
    <n v="38085.53"/>
    <x v="0"/>
    <m/>
    <d v="2025-11-15T00:00:00"/>
    <x v="0"/>
    <m/>
    <x v="0"/>
  </r>
  <r>
    <x v="0"/>
    <m/>
    <m/>
    <s v="90 days pta"/>
    <x v="0"/>
    <n v="0"/>
    <n v="0"/>
    <m/>
    <x v="1"/>
    <m/>
    <m/>
    <d v="2026-01-06T00:00:00"/>
    <d v="2026-01-11T00:00:00"/>
    <n v="5"/>
    <x v="0"/>
    <n v="1"/>
    <n v="2026"/>
    <x v="0"/>
    <n v="0"/>
    <x v="0"/>
    <m/>
    <d v="2025-11-14T00:00:00"/>
    <x v="0"/>
    <m/>
    <x v="0"/>
  </r>
  <r>
    <x v="0"/>
    <m/>
    <m/>
    <s v="90 days pta"/>
    <x v="0"/>
    <m/>
    <m/>
    <m/>
    <x v="1"/>
    <m/>
    <m/>
    <d v="2026-01-07T00:00:00"/>
    <d v="2026-01-14T00:00:00"/>
    <n v="7"/>
    <x v="0"/>
    <n v="1"/>
    <n v="2026"/>
    <x v="0"/>
    <n v="10040.379999999999"/>
    <x v="0"/>
    <m/>
    <m/>
    <x v="0"/>
    <m/>
    <x v="9"/>
  </r>
  <r>
    <x v="0"/>
    <m/>
    <m/>
    <s v="90 days pta"/>
    <x v="0"/>
    <n v="19000"/>
    <n v="11017.78"/>
    <n v="7982.22"/>
    <x v="4"/>
    <m/>
    <m/>
    <d v="2026-01-07T00:00:00"/>
    <d v="2026-01-23T00:00:00"/>
    <n v="16"/>
    <x v="0"/>
    <n v="1"/>
    <n v="2026"/>
    <x v="1"/>
    <n v="0"/>
    <x v="0"/>
    <m/>
    <d v="2025-03-27T00:00:00"/>
    <x v="0"/>
    <m/>
    <x v="10"/>
  </r>
  <r>
    <x v="0"/>
    <m/>
    <m/>
    <s v="90 days pta"/>
    <x v="0"/>
    <n v="52368.800000000003"/>
    <m/>
    <n v="52368.800000000003"/>
    <x v="5"/>
    <m/>
    <m/>
    <d v="2026-01-08T00:00:00"/>
    <d v="2026-01-15T00:00:00"/>
    <n v="7"/>
    <x v="0"/>
    <n v="1"/>
    <n v="2026"/>
    <x v="1"/>
    <n v="37832.76"/>
    <x v="0"/>
    <m/>
    <d v="2025-12-04T00:00:00"/>
    <x v="0"/>
    <m/>
    <x v="11"/>
  </r>
  <r>
    <x v="0"/>
    <m/>
    <m/>
    <s v="90 days pta"/>
    <x v="0"/>
    <m/>
    <m/>
    <m/>
    <x v="2"/>
    <m/>
    <m/>
    <d v="2026-01-08T00:00:00"/>
    <d v="2026-01-24T00:00:00"/>
    <n v="16"/>
    <x v="0"/>
    <n v="1"/>
    <n v="2026"/>
    <x v="0"/>
    <n v="10622.68"/>
    <x v="0"/>
    <m/>
    <d v="2025-10-02T00:00:00"/>
    <x v="0"/>
    <m/>
    <x v="10"/>
  </r>
  <r>
    <x v="0"/>
    <m/>
    <m/>
    <s v="90 days pta"/>
    <x v="0"/>
    <n v="0"/>
    <n v="0"/>
    <m/>
    <x v="1"/>
    <m/>
    <m/>
    <d v="2026-01-09T00:00:00"/>
    <d v="2026-01-16T00:00:00"/>
    <n v="7"/>
    <x v="0"/>
    <n v="1"/>
    <n v="2026"/>
    <x v="0"/>
    <n v="0"/>
    <x v="0"/>
    <m/>
    <d v="2025-01-17T00:00:00"/>
    <x v="0"/>
    <m/>
    <x v="1"/>
  </r>
  <r>
    <x v="0"/>
    <m/>
    <m/>
    <s v="90 days pta"/>
    <x v="0"/>
    <n v="67954.740000000005"/>
    <n v="67954.740000000005"/>
    <m/>
    <x v="0"/>
    <m/>
    <m/>
    <d v="2026-01-09T00:00:00"/>
    <d v="2026-01-17T00:00:00"/>
    <n v="8"/>
    <x v="0"/>
    <n v="1"/>
    <n v="2026"/>
    <x v="0"/>
    <n v="49406.1"/>
    <x v="0"/>
    <m/>
    <d v="2025-11-19T00:00:00"/>
    <x v="0"/>
    <m/>
    <x v="12"/>
  </r>
  <r>
    <x v="0"/>
    <m/>
    <m/>
    <s v="90 days pta"/>
    <x v="0"/>
    <n v="157003.12"/>
    <n v="157003.12"/>
    <m/>
    <x v="0"/>
    <m/>
    <m/>
    <d v="2026-01-10T00:00:00"/>
    <d v="2026-01-18T00:00:00"/>
    <n v="8"/>
    <x v="0"/>
    <n v="1"/>
    <n v="2026"/>
    <x v="0"/>
    <n v="107244.08"/>
    <x v="0"/>
    <m/>
    <d v="2025-05-15T00:00:00"/>
    <x v="0"/>
    <m/>
    <x v="13"/>
  </r>
  <r>
    <x v="0"/>
    <m/>
    <m/>
    <s v="30 days pta"/>
    <x v="0"/>
    <n v="33897"/>
    <n v="33897"/>
    <m/>
    <x v="0"/>
    <m/>
    <m/>
    <d v="2026-01-12T00:00:00"/>
    <d v="2026-01-18T00:00:00"/>
    <n v="6"/>
    <x v="0"/>
    <n v="1"/>
    <n v="2026"/>
    <x v="0"/>
    <n v="20535.72"/>
    <x v="0"/>
    <m/>
    <d v="2025-11-05T00:00:00"/>
    <x v="0"/>
    <m/>
    <x v="0"/>
  </r>
  <r>
    <x v="0"/>
    <m/>
    <m/>
    <s v="30 days pta"/>
    <x v="0"/>
    <n v="41700"/>
    <n v="41700"/>
    <m/>
    <x v="0"/>
    <m/>
    <m/>
    <d v="2026-01-12T00:00:00"/>
    <d v="2026-01-21T00:00:00"/>
    <n v="9"/>
    <x v="0"/>
    <n v="1"/>
    <n v="2026"/>
    <x v="0"/>
    <n v="10003.08"/>
    <x v="0"/>
    <m/>
    <d v="2025-09-11T00:00:00"/>
    <x v="0"/>
    <m/>
    <x v="14"/>
  </r>
  <r>
    <x v="0"/>
    <m/>
    <m/>
    <s v="30 days pta"/>
    <x v="0"/>
    <n v="58243.22"/>
    <m/>
    <n v="58243.22"/>
    <x v="5"/>
    <m/>
    <m/>
    <d v="2026-01-12T00:00:00"/>
    <d v="2026-01-26T00:00:00"/>
    <n v="14"/>
    <x v="0"/>
    <n v="1"/>
    <n v="2026"/>
    <x v="1"/>
    <n v="34161.120000000003"/>
    <x v="0"/>
    <m/>
    <d v="2025-04-30T00:00:00"/>
    <x v="0"/>
    <m/>
    <x v="14"/>
  </r>
  <r>
    <x v="0"/>
    <m/>
    <m/>
    <s v="30 days pta"/>
    <x v="0"/>
    <m/>
    <m/>
    <m/>
    <x v="2"/>
    <m/>
    <m/>
    <d v="2026-01-12T00:00:00"/>
    <d v="2026-01-16T00:00:00"/>
    <n v="4"/>
    <x v="0"/>
    <n v="1"/>
    <n v="2026"/>
    <x v="0"/>
    <m/>
    <x v="0"/>
    <m/>
    <d v="2025-12-11T00:00:00"/>
    <x v="0"/>
    <m/>
    <x v="9"/>
  </r>
  <r>
    <x v="0"/>
    <m/>
    <m/>
    <s v="30 days pta"/>
    <x v="0"/>
    <n v="29085"/>
    <m/>
    <n v="29085"/>
    <x v="5"/>
    <m/>
    <m/>
    <d v="2026-01-13T00:00:00"/>
    <d v="2026-01-18T00:00:00"/>
    <n v="5"/>
    <x v="0"/>
    <n v="1"/>
    <n v="2026"/>
    <x v="1"/>
    <n v="19570.7"/>
    <x v="0"/>
    <m/>
    <d v="2025-12-07T00:00:00"/>
    <x v="0"/>
    <m/>
    <x v="10"/>
  </r>
  <r>
    <x v="0"/>
    <m/>
    <m/>
    <s v="30 days pta"/>
    <x v="0"/>
    <n v="43861.8"/>
    <n v="18861.8"/>
    <n v="25000"/>
    <x v="4"/>
    <m/>
    <m/>
    <d v="2026-01-13T00:00:00"/>
    <d v="2026-01-19T00:00:00"/>
    <n v="6"/>
    <x v="0"/>
    <n v="1"/>
    <n v="2026"/>
    <x v="1"/>
    <n v="32644.74"/>
    <x v="0"/>
    <m/>
    <d v="2025-11-15T00:00:00"/>
    <x v="0"/>
    <m/>
    <x v="0"/>
  </r>
  <r>
    <x v="0"/>
    <m/>
    <m/>
    <s v="30 days pta"/>
    <x v="0"/>
    <n v="127800.88"/>
    <n v="50000"/>
    <n v="77800.88"/>
    <x v="4"/>
    <m/>
    <m/>
    <d v="2026-01-13T00:00:00"/>
    <d v="2026-01-27T00:00:00"/>
    <n v="14"/>
    <x v="0"/>
    <n v="1"/>
    <n v="2026"/>
    <x v="1"/>
    <n v="88943.12"/>
    <x v="0"/>
    <m/>
    <d v="2025-09-17T00:00:00"/>
    <x v="0"/>
    <m/>
    <x v="0"/>
  </r>
  <r>
    <x v="0"/>
    <m/>
    <m/>
    <s v="30 days pta"/>
    <x v="0"/>
    <n v="103950"/>
    <n v="103950"/>
    <m/>
    <x v="0"/>
    <m/>
    <m/>
    <d v="2026-01-13T00:00:00"/>
    <d v="2026-01-23T00:00:00"/>
    <n v="10"/>
    <x v="0"/>
    <n v="1"/>
    <n v="2026"/>
    <x v="0"/>
    <n v="0"/>
    <x v="0"/>
    <m/>
    <d v="2024-09-20T00:00:00"/>
    <x v="0"/>
    <m/>
    <x v="15"/>
  </r>
  <r>
    <x v="0"/>
    <m/>
    <m/>
    <s v="30 days pta"/>
    <x v="0"/>
    <n v="91560"/>
    <m/>
    <n v="91560"/>
    <x v="5"/>
    <m/>
    <m/>
    <d v="2026-01-14T00:00:00"/>
    <d v="2026-02-13T00:00:00"/>
    <n v="30"/>
    <x v="0"/>
    <n v="1"/>
    <n v="2026"/>
    <x v="1"/>
    <n v="47179.5"/>
    <x v="0"/>
    <m/>
    <d v="2025-04-29T00:00:00"/>
    <x v="0"/>
    <m/>
    <x v="16"/>
  </r>
  <r>
    <x v="0"/>
    <m/>
    <m/>
    <s v="30 days pta"/>
    <x v="0"/>
    <n v="136400.34"/>
    <m/>
    <n v="136400.34"/>
    <x v="5"/>
    <m/>
    <m/>
    <d v="2026-01-14T00:00:00"/>
    <d v="2026-02-01T00:00:00"/>
    <n v="18"/>
    <x v="0"/>
    <n v="1"/>
    <n v="2026"/>
    <x v="1"/>
    <n v="87639.12"/>
    <x v="0"/>
    <m/>
    <d v="2025-07-23T00:00:00"/>
    <x v="0"/>
    <m/>
    <x v="12"/>
  </r>
  <r>
    <x v="0"/>
    <m/>
    <m/>
    <s v="30 days pta"/>
    <x v="0"/>
    <m/>
    <m/>
    <m/>
    <x v="2"/>
    <m/>
    <m/>
    <d v="2026-01-15T00:00:00"/>
    <d v="2026-01-24T00:00:00"/>
    <n v="9"/>
    <x v="0"/>
    <n v="1"/>
    <n v="2026"/>
    <x v="0"/>
    <n v="0"/>
    <x v="0"/>
    <m/>
    <d v="2025-09-12T00:00:00"/>
    <x v="0"/>
    <m/>
    <x v="0"/>
  </r>
  <r>
    <x v="0"/>
    <m/>
    <m/>
    <s v="30 days pta"/>
    <x v="0"/>
    <n v="33970"/>
    <n v="33970"/>
    <m/>
    <x v="0"/>
    <m/>
    <m/>
    <d v="2026-01-16T00:00:00"/>
    <d v="2026-01-31T00:00:00"/>
    <n v="15"/>
    <x v="0"/>
    <n v="1"/>
    <n v="2026"/>
    <x v="0"/>
    <n v="12213.9"/>
    <x v="0"/>
    <m/>
    <d v="2024-02-19T00:00:00"/>
    <x v="0"/>
    <m/>
    <x v="17"/>
  </r>
  <r>
    <x v="0"/>
    <m/>
    <m/>
    <s v="30 days pta"/>
    <x v="0"/>
    <n v="83115.100000000006"/>
    <m/>
    <n v="83115.100000000006"/>
    <x v="5"/>
    <m/>
    <m/>
    <d v="2026-01-16T00:00:00"/>
    <d v="2026-01-22T00:00:00"/>
    <n v="6"/>
    <x v="0"/>
    <n v="1"/>
    <n v="2026"/>
    <x v="1"/>
    <n v="52936.44"/>
    <x v="0"/>
    <m/>
    <d v="2025-08-01T00:00:00"/>
    <x v="0"/>
    <m/>
    <x v="15"/>
  </r>
  <r>
    <x v="0"/>
    <m/>
    <m/>
    <s v="30 days pta"/>
    <x v="0"/>
    <n v="22025"/>
    <m/>
    <n v="22025"/>
    <x v="5"/>
    <m/>
    <m/>
    <d v="2026-01-16T00:00:00"/>
    <d v="2026-01-23T00:00:00"/>
    <n v="7"/>
    <x v="0"/>
    <n v="1"/>
    <n v="2026"/>
    <x v="1"/>
    <n v="0"/>
    <x v="0"/>
    <m/>
    <d v="2025-11-28T00:00:00"/>
    <x v="0"/>
    <m/>
    <x v="16"/>
  </r>
  <r>
    <x v="0"/>
    <m/>
    <m/>
    <s v="30 days pta"/>
    <x v="0"/>
    <n v="7420"/>
    <m/>
    <n v="7420"/>
    <x v="5"/>
    <m/>
    <m/>
    <d v="2026-01-16T00:00:00"/>
    <d v="2026-01-26T00:00:00"/>
    <n v="10"/>
    <x v="0"/>
    <n v="1"/>
    <n v="2026"/>
    <x v="1"/>
    <n v="0"/>
    <x v="0"/>
    <m/>
    <d v="2025-10-17T00:00:00"/>
    <x v="0"/>
    <m/>
    <x v="14"/>
  </r>
  <r>
    <x v="0"/>
    <m/>
    <m/>
    <s v="30 days pta"/>
    <x v="0"/>
    <n v="54114.7"/>
    <m/>
    <n v="54114.7"/>
    <x v="5"/>
    <m/>
    <m/>
    <d v="2026-01-17T00:00:00"/>
    <d v="2026-02-05T00:00:00"/>
    <n v="19"/>
    <x v="0"/>
    <n v="1"/>
    <n v="2026"/>
    <x v="1"/>
    <n v="37079.26"/>
    <x v="0"/>
    <m/>
    <d v="2025-09-21T00:00:00"/>
    <x v="0"/>
    <m/>
    <x v="16"/>
  </r>
  <r>
    <x v="0"/>
    <m/>
    <m/>
    <s v="30 days pta"/>
    <x v="0"/>
    <n v="150000"/>
    <m/>
    <n v="150000"/>
    <x v="5"/>
    <m/>
    <m/>
    <d v="2026-01-17T00:00:00"/>
    <d v="2026-01-24T00:00:00"/>
    <n v="7"/>
    <x v="0"/>
    <n v="1"/>
    <n v="2026"/>
    <x v="1"/>
    <n v="54116.51"/>
    <x v="0"/>
    <m/>
    <d v="2025-02-01T00:00:00"/>
    <x v="0"/>
    <m/>
    <x v="16"/>
  </r>
  <r>
    <x v="0"/>
    <m/>
    <m/>
    <s v="30 days pta"/>
    <x v="0"/>
    <n v="66048.639999999999"/>
    <m/>
    <n v="66048.639999999999"/>
    <x v="5"/>
    <m/>
    <m/>
    <d v="2026-01-17T00:00:00"/>
    <d v="2026-02-14T00:00:00"/>
    <n v="28"/>
    <x v="0"/>
    <n v="1"/>
    <n v="2026"/>
    <x v="1"/>
    <n v="30719.919999999998"/>
    <x v="0"/>
    <m/>
    <d v="2025-06-12T00:00:00"/>
    <x v="0"/>
    <m/>
    <x v="16"/>
  </r>
  <r>
    <x v="0"/>
    <m/>
    <m/>
    <s v="30 days pta"/>
    <x v="0"/>
    <n v="26735.68"/>
    <m/>
    <n v="26735.68"/>
    <x v="5"/>
    <m/>
    <m/>
    <d v="2026-01-17T00:00:00"/>
    <d v="2026-01-21T00:00:00"/>
    <n v="4"/>
    <x v="0"/>
    <n v="1"/>
    <n v="2026"/>
    <x v="1"/>
    <n v="16648.099999999999"/>
    <x v="0"/>
    <m/>
    <d v="2025-09-02T00:00:00"/>
    <x v="0"/>
    <m/>
    <x v="2"/>
  </r>
  <r>
    <x v="0"/>
    <m/>
    <m/>
    <s v="30 days pta"/>
    <x v="0"/>
    <n v="912"/>
    <m/>
    <n v="912"/>
    <x v="6"/>
    <m/>
    <m/>
    <d v="2026-01-17T00:00:00"/>
    <d v="2026-02-12T00:00:00"/>
    <n v="26"/>
    <x v="0"/>
    <n v="1"/>
    <n v="2026"/>
    <x v="1"/>
    <n v="0"/>
    <x v="0"/>
    <m/>
    <d v="2025-06-21T00:00:00"/>
    <x v="0"/>
    <m/>
    <x v="1"/>
  </r>
  <r>
    <x v="0"/>
    <m/>
    <m/>
    <s v="30 days pta"/>
    <x v="0"/>
    <n v="49652"/>
    <m/>
    <n v="49652"/>
    <x v="5"/>
    <m/>
    <m/>
    <d v="2026-01-18T00:00:00"/>
    <d v="2026-01-25T00:00:00"/>
    <n v="7"/>
    <x v="0"/>
    <n v="1"/>
    <n v="2026"/>
    <x v="1"/>
    <n v="30213.68"/>
    <x v="0"/>
    <m/>
    <d v="2025-12-05T00:00:00"/>
    <x v="0"/>
    <m/>
    <x v="18"/>
  </r>
  <r>
    <x v="0"/>
    <m/>
    <m/>
    <s v="30 days pta"/>
    <x v="0"/>
    <n v="7284"/>
    <n v="7284"/>
    <m/>
    <x v="0"/>
    <m/>
    <m/>
    <d v="2026-01-18T00:00:00"/>
    <d v="2026-01-25T00:00:00"/>
    <n v="7"/>
    <x v="0"/>
    <n v="1"/>
    <n v="2026"/>
    <x v="0"/>
    <n v="1314.11"/>
    <x v="0"/>
    <m/>
    <d v="2025-04-15T00:00:00"/>
    <x v="0"/>
    <m/>
    <x v="19"/>
  </r>
  <r>
    <x v="0"/>
    <m/>
    <m/>
    <s v="30 days pta"/>
    <x v="0"/>
    <n v="15482"/>
    <m/>
    <n v="15482"/>
    <x v="7"/>
    <m/>
    <m/>
    <d v="2026-01-18T00:00:00"/>
    <d v="2026-01-21T00:00:00"/>
    <n v="3"/>
    <x v="0"/>
    <n v="1"/>
    <n v="2026"/>
    <x v="1"/>
    <n v="9020.9699999999993"/>
    <x v="0"/>
    <m/>
    <d v="2025-11-26T00:00:00"/>
    <x v="0"/>
    <m/>
    <x v="1"/>
  </r>
  <r>
    <x v="0"/>
    <m/>
    <m/>
    <s v="30 days pta"/>
    <x v="0"/>
    <n v="0"/>
    <m/>
    <n v="0"/>
    <x v="1"/>
    <m/>
    <m/>
    <d v="2026-01-18T00:00:00"/>
    <d v="2026-02-01T00:00:00"/>
    <n v="14"/>
    <x v="0"/>
    <n v="1"/>
    <n v="2026"/>
    <x v="0"/>
    <n v="0"/>
    <x v="0"/>
    <m/>
    <d v="2025-10-27T00:00:00"/>
    <x v="0"/>
    <m/>
    <x v="10"/>
  </r>
  <r>
    <x v="0"/>
    <m/>
    <m/>
    <s v="30 days pta"/>
    <x v="0"/>
    <n v="0"/>
    <m/>
    <n v="0"/>
    <x v="1"/>
    <m/>
    <m/>
    <d v="2026-01-19T00:00:00"/>
    <d v="2026-01-26T00:00:00"/>
    <n v="7"/>
    <x v="0"/>
    <n v="1"/>
    <n v="2026"/>
    <x v="0"/>
    <n v="0"/>
    <x v="0"/>
    <m/>
    <d v="2025-02-07T00:00:00"/>
    <x v="0"/>
    <m/>
    <x v="19"/>
  </r>
  <r>
    <x v="0"/>
    <m/>
    <m/>
    <s v="30 days pta"/>
    <x v="0"/>
    <n v="78926.5"/>
    <m/>
    <n v="78926.5"/>
    <x v="5"/>
    <m/>
    <m/>
    <d v="2026-01-19T00:00:00"/>
    <d v="2026-01-26T00:00:00"/>
    <n v="7"/>
    <x v="0"/>
    <n v="1"/>
    <n v="2026"/>
    <x v="1"/>
    <n v="54617.22"/>
    <x v="0"/>
    <m/>
    <d v="2025-05-10T00:00:00"/>
    <x v="0"/>
    <m/>
    <x v="1"/>
  </r>
  <r>
    <x v="0"/>
    <m/>
    <m/>
    <s v="30 days pta"/>
    <x v="0"/>
    <n v="70805"/>
    <n v="22397.78"/>
    <n v="48407.22"/>
    <x v="4"/>
    <m/>
    <m/>
    <d v="2026-01-20T00:00:00"/>
    <d v="2026-01-30T00:00:00"/>
    <n v="10"/>
    <x v="0"/>
    <n v="1"/>
    <n v="2026"/>
    <x v="1"/>
    <n v="38442.5"/>
    <x v="0"/>
    <m/>
    <d v="2025-11-10T00:00:00"/>
    <x v="0"/>
    <m/>
    <x v="20"/>
  </r>
  <r>
    <x v="0"/>
    <m/>
    <m/>
    <s v="30 days pta"/>
    <x v="0"/>
    <n v="25544"/>
    <m/>
    <n v="25544"/>
    <x v="5"/>
    <m/>
    <m/>
    <d v="2026-01-20T00:00:00"/>
    <d v="2026-01-26T00:00:00"/>
    <n v="6"/>
    <x v="0"/>
    <n v="1"/>
    <n v="2026"/>
    <x v="1"/>
    <n v="17109.54"/>
    <x v="0"/>
    <m/>
    <d v="2025-11-10T00:00:00"/>
    <x v="0"/>
    <m/>
    <x v="21"/>
  </r>
  <r>
    <x v="0"/>
    <m/>
    <m/>
    <s v="30 days pta"/>
    <x v="0"/>
    <m/>
    <m/>
    <m/>
    <x v="1"/>
    <m/>
    <m/>
    <d v="2026-01-21T00:00:00"/>
    <d v="2026-01-25T00:00:00"/>
    <n v="4"/>
    <x v="0"/>
    <n v="1"/>
    <n v="2026"/>
    <x v="0"/>
    <m/>
    <x v="0"/>
    <m/>
    <d v="2025-12-11T00:00:00"/>
    <x v="0"/>
    <m/>
    <x v="9"/>
  </r>
  <r>
    <x v="0"/>
    <m/>
    <m/>
    <s v="30 days pta"/>
    <x v="0"/>
    <n v="40086"/>
    <m/>
    <n v="40086"/>
    <x v="5"/>
    <m/>
    <m/>
    <d v="2026-01-21T00:00:00"/>
    <d v="2026-01-28T00:00:00"/>
    <n v="7"/>
    <x v="0"/>
    <n v="1"/>
    <n v="2026"/>
    <x v="1"/>
    <n v="19992.21"/>
    <x v="0"/>
    <m/>
    <d v="2025-10-09T00:00:00"/>
    <x v="0"/>
    <m/>
    <x v="7"/>
  </r>
  <r>
    <x v="0"/>
    <m/>
    <m/>
    <s v="30 days pta"/>
    <x v="0"/>
    <n v="0"/>
    <m/>
    <n v="0"/>
    <x v="1"/>
    <m/>
    <m/>
    <d v="2026-01-21T00:00:00"/>
    <d v="2026-01-28T00:00:00"/>
    <n v="7"/>
    <x v="0"/>
    <n v="1"/>
    <n v="2026"/>
    <x v="0"/>
    <n v="0"/>
    <x v="0"/>
    <m/>
    <d v="2025-07-09T00:00:00"/>
    <x v="0"/>
    <m/>
    <x v="16"/>
  </r>
  <r>
    <x v="0"/>
    <m/>
    <m/>
    <s v="30 days pta"/>
    <x v="0"/>
    <n v="17682"/>
    <m/>
    <n v="17682"/>
    <x v="5"/>
    <m/>
    <m/>
    <d v="2026-01-21T00:00:00"/>
    <d v="2026-01-25T00:00:00"/>
    <n v="4"/>
    <x v="0"/>
    <n v="1"/>
    <n v="2026"/>
    <x v="1"/>
    <n v="11468.52"/>
    <x v="0"/>
    <m/>
    <d v="2025-08-27T00:00:00"/>
    <x v="0"/>
    <m/>
    <x v="15"/>
  </r>
  <r>
    <x v="0"/>
    <m/>
    <m/>
    <s v="30 days pta"/>
    <x v="0"/>
    <n v="22521"/>
    <m/>
    <n v="22521"/>
    <x v="5"/>
    <m/>
    <m/>
    <d v="2026-01-21T00:00:00"/>
    <d v="2026-01-27T00:00:00"/>
    <n v="6"/>
    <x v="0"/>
    <n v="1"/>
    <n v="2026"/>
    <x v="1"/>
    <n v="13487.16"/>
    <x v="0"/>
    <m/>
    <d v="2025-12-09T00:00:00"/>
    <x v="0"/>
    <m/>
    <x v="0"/>
  </r>
  <r>
    <x v="0"/>
    <m/>
    <m/>
    <s v="30 days pta"/>
    <x v="0"/>
    <n v="34520"/>
    <m/>
    <n v="34520"/>
    <x v="5"/>
    <m/>
    <m/>
    <d v="2026-01-22T00:00:00"/>
    <d v="2026-01-27T00:00:00"/>
    <n v="5"/>
    <x v="0"/>
    <n v="1"/>
    <n v="2026"/>
    <x v="1"/>
    <n v="15066.05"/>
    <x v="0"/>
    <m/>
    <d v="2025-01-30T00:00:00"/>
    <x v="0"/>
    <m/>
    <x v="1"/>
  </r>
  <r>
    <x v="0"/>
    <m/>
    <m/>
    <s v="30 days pta"/>
    <x v="0"/>
    <n v="18872.48"/>
    <n v="16272.48"/>
    <n v="2600"/>
    <x v="4"/>
    <m/>
    <m/>
    <d v="2026-01-22T00:00:00"/>
    <d v="2026-01-25T00:00:00"/>
    <n v="3"/>
    <x v="0"/>
    <n v="1"/>
    <n v="2026"/>
    <x v="1"/>
    <n v="12065.37"/>
    <x v="0"/>
    <m/>
    <d v="2025-10-25T00:00:00"/>
    <x v="0"/>
    <m/>
    <x v="22"/>
  </r>
  <r>
    <x v="0"/>
    <m/>
    <m/>
    <s v="30 days pta"/>
    <x v="0"/>
    <n v="72686"/>
    <m/>
    <n v="72686"/>
    <x v="5"/>
    <m/>
    <m/>
    <d v="2026-01-23T00:00:00"/>
    <d v="2026-01-30T00:00:00"/>
    <n v="7"/>
    <x v="0"/>
    <n v="1"/>
    <n v="2026"/>
    <x v="1"/>
    <n v="40194.28"/>
    <x v="0"/>
    <m/>
    <d v="2025-11-13T00:00:00"/>
    <x v="0"/>
    <m/>
    <x v="17"/>
  </r>
  <r>
    <x v="0"/>
    <m/>
    <m/>
    <s v="30 days pta"/>
    <x v="0"/>
    <n v="12816"/>
    <m/>
    <n v="12816"/>
    <x v="5"/>
    <m/>
    <m/>
    <d v="2026-01-23T00:00:00"/>
    <d v="2026-01-25T00:00:00"/>
    <n v="2"/>
    <x v="0"/>
    <n v="1"/>
    <n v="2026"/>
    <x v="1"/>
    <n v="4479.41"/>
    <x v="0"/>
    <m/>
    <d v="2025-11-28T00:00:00"/>
    <x v="0"/>
    <m/>
    <x v="23"/>
  </r>
  <r>
    <x v="0"/>
    <m/>
    <m/>
    <s v="30 days pta"/>
    <x v="0"/>
    <n v="18947.98"/>
    <n v="18947.98"/>
    <m/>
    <x v="0"/>
    <m/>
    <m/>
    <d v="2026-01-24T00:00:00"/>
    <d v="2026-01-28T00:00:00"/>
    <n v="4"/>
    <x v="0"/>
    <n v="1"/>
    <n v="2026"/>
    <x v="0"/>
    <n v="11471.28"/>
    <x v="0"/>
    <m/>
    <d v="2025-05-08T00:00:00"/>
    <x v="0"/>
    <m/>
    <x v="6"/>
  </r>
  <r>
    <x v="0"/>
    <m/>
    <m/>
    <s v="30 days pta"/>
    <x v="0"/>
    <m/>
    <m/>
    <m/>
    <x v="1"/>
    <m/>
    <m/>
    <d v="2026-01-24T00:00:00"/>
    <d v="2026-01-30T00:00:00"/>
    <n v="6"/>
    <x v="0"/>
    <n v="1"/>
    <n v="2026"/>
    <x v="0"/>
    <n v="0"/>
    <x v="0"/>
    <m/>
    <d v="2025-12-04T00:00:00"/>
    <x v="0"/>
    <m/>
    <x v="2"/>
  </r>
  <r>
    <x v="0"/>
    <m/>
    <m/>
    <s v="30 days pta"/>
    <x v="0"/>
    <n v="19224"/>
    <m/>
    <n v="19224"/>
    <x v="5"/>
    <m/>
    <m/>
    <d v="2026-01-25T00:00:00"/>
    <d v="2026-01-28T00:00:00"/>
    <n v="3"/>
    <x v="0"/>
    <n v="1"/>
    <n v="2026"/>
    <x v="1"/>
    <n v="12546.63"/>
    <x v="0"/>
    <m/>
    <d v="2025-11-28T00:00:00"/>
    <x v="0"/>
    <m/>
    <x v="23"/>
  </r>
  <r>
    <x v="0"/>
    <m/>
    <m/>
    <s v="30 days pta"/>
    <x v="0"/>
    <n v="36837.980000000003"/>
    <n v="18419.2"/>
    <n v="18419.2"/>
    <x v="4"/>
    <m/>
    <m/>
    <d v="2026-01-26T00:00:00"/>
    <d v="2026-02-02T00:00:00"/>
    <n v="7"/>
    <x v="0"/>
    <n v="1"/>
    <n v="2026"/>
    <x v="1"/>
    <n v="22634.29"/>
    <x v="0"/>
    <m/>
    <d v="2025-09-11T00:00:00"/>
    <x v="0"/>
    <m/>
    <x v="1"/>
  </r>
  <r>
    <x v="0"/>
    <m/>
    <m/>
    <s v="30 days pta"/>
    <x v="0"/>
    <n v="380"/>
    <m/>
    <n v="380"/>
    <x v="5"/>
    <m/>
    <m/>
    <d v="2026-01-26T00:00:00"/>
    <d v="2026-01-28T00:00:00"/>
    <n v="2"/>
    <x v="0"/>
    <n v="1"/>
    <n v="2026"/>
    <x v="1"/>
    <n v="0"/>
    <x v="0"/>
    <m/>
    <d v="2025-10-09T00:00:00"/>
    <x v="0"/>
    <m/>
    <x v="7"/>
  </r>
  <r>
    <x v="0"/>
    <m/>
    <m/>
    <s v="30 days pta"/>
    <x v="0"/>
    <n v="73887.5"/>
    <n v="73887.5"/>
    <m/>
    <x v="0"/>
    <m/>
    <m/>
    <d v="2026-01-26T00:00:00"/>
    <d v="2026-02-02T00:00:00"/>
    <n v="7"/>
    <x v="0"/>
    <n v="1"/>
    <n v="2026"/>
    <x v="0"/>
    <n v="23605.54"/>
    <x v="0"/>
    <m/>
    <d v="2025-08-10T00:00:00"/>
    <x v="0"/>
    <m/>
    <x v="1"/>
  </r>
  <r>
    <x v="0"/>
    <m/>
    <m/>
    <s v="30 days pta"/>
    <x v="0"/>
    <n v="0"/>
    <m/>
    <n v="0"/>
    <x v="1"/>
    <m/>
    <m/>
    <d v="2026-01-26T00:00:00"/>
    <d v="2026-02-06T00:00:00"/>
    <n v="11"/>
    <x v="0"/>
    <n v="1"/>
    <n v="2026"/>
    <x v="0"/>
    <n v="0"/>
    <x v="0"/>
    <m/>
    <d v="2025-10-07T00:00:00"/>
    <x v="0"/>
    <m/>
    <x v="14"/>
  </r>
  <r>
    <x v="0"/>
    <m/>
    <m/>
    <s v="30 days pta"/>
    <x v="0"/>
    <n v="397"/>
    <m/>
    <n v="397"/>
    <x v="5"/>
    <m/>
    <m/>
    <d v="2026-01-26T00:00:00"/>
    <d v="2026-01-29T00:00:00"/>
    <n v="3"/>
    <x v="0"/>
    <n v="1"/>
    <n v="2026"/>
    <x v="1"/>
    <n v="0"/>
    <x v="0"/>
    <m/>
    <d v="2025-11-20T00:00:00"/>
    <x v="0"/>
    <m/>
    <x v="23"/>
  </r>
  <r>
    <x v="0"/>
    <m/>
    <m/>
    <s v="30 days pta"/>
    <x v="0"/>
    <n v="1200"/>
    <m/>
    <n v="1200"/>
    <x v="5"/>
    <m/>
    <m/>
    <d v="2026-01-26T00:00:00"/>
    <d v="2026-01-29T00:00:00"/>
    <n v="3"/>
    <x v="0"/>
    <n v="1"/>
    <n v="2026"/>
    <x v="1"/>
    <n v="386.91"/>
    <x v="0"/>
    <m/>
    <d v="2025-09-15T00:00:00"/>
    <x v="0"/>
    <m/>
    <x v="23"/>
  </r>
  <r>
    <x v="0"/>
    <m/>
    <m/>
    <s v="30 days pta"/>
    <x v="0"/>
    <n v="13797"/>
    <m/>
    <n v="13797"/>
    <x v="5"/>
    <m/>
    <m/>
    <d v="2026-01-27T00:00:00"/>
    <d v="2026-01-29T00:00:00"/>
    <n v="2"/>
    <x v="0"/>
    <n v="1"/>
    <n v="2026"/>
    <x v="1"/>
    <n v="0"/>
    <x v="0"/>
    <m/>
    <d v="2025-02-01T00:00:00"/>
    <x v="0"/>
    <m/>
    <x v="1"/>
  </r>
  <r>
    <x v="0"/>
    <m/>
    <m/>
    <s v="30 days pta"/>
    <x v="0"/>
    <n v="0"/>
    <m/>
    <n v="0"/>
    <x v="1"/>
    <m/>
    <m/>
    <d v="2026-01-27T00:00:00"/>
    <d v="2026-02-20T00:00:00"/>
    <n v="24"/>
    <x v="0"/>
    <n v="1"/>
    <n v="2026"/>
    <x v="0"/>
    <n v="0"/>
    <x v="0"/>
    <m/>
    <d v="2025-09-18T00:00:00"/>
    <x v="0"/>
    <m/>
    <x v="0"/>
  </r>
  <r>
    <x v="0"/>
    <m/>
    <m/>
    <s v="30 days pta"/>
    <x v="0"/>
    <n v="24252.37"/>
    <m/>
    <n v="24252.37"/>
    <x v="5"/>
    <m/>
    <m/>
    <d v="2026-01-27T00:00:00"/>
    <d v="2026-01-30T00:00:00"/>
    <n v="3"/>
    <x v="0"/>
    <n v="1"/>
    <n v="2026"/>
    <x v="1"/>
    <n v="0"/>
    <x v="0"/>
    <m/>
    <d v="2025-11-05T00:00:00"/>
    <x v="0"/>
    <m/>
    <x v="1"/>
  </r>
  <r>
    <x v="0"/>
    <m/>
    <m/>
    <s v="30 days pta"/>
    <x v="0"/>
    <n v="147338"/>
    <n v="36834.5"/>
    <n v="110503.5"/>
    <x v="4"/>
    <m/>
    <m/>
    <d v="2026-01-28T00:00:00"/>
    <d v="2026-02-04T00:00:00"/>
    <n v="7"/>
    <x v="0"/>
    <n v="1"/>
    <n v="2026"/>
    <x v="1"/>
    <n v="48317.29"/>
    <x v="0"/>
    <m/>
    <d v="2025-11-06T00:00:00"/>
    <x v="0"/>
    <m/>
    <x v="14"/>
  </r>
  <r>
    <x v="0"/>
    <m/>
    <m/>
    <s v="30 days pta"/>
    <x v="0"/>
    <n v="0"/>
    <m/>
    <n v="0"/>
    <x v="1"/>
    <m/>
    <m/>
    <d v="2026-01-28T00:00:00"/>
    <d v="2026-02-04T00:00:00"/>
    <n v="7"/>
    <x v="0"/>
    <n v="1"/>
    <n v="2026"/>
    <x v="0"/>
    <n v="0"/>
    <x v="0"/>
    <m/>
    <d v="2025-10-05T00:00:00"/>
    <x v="0"/>
    <m/>
    <x v="1"/>
  </r>
  <r>
    <x v="0"/>
    <m/>
    <m/>
    <s v="30 days pta"/>
    <x v="0"/>
    <n v="19395.96"/>
    <m/>
    <n v="19395.96"/>
    <x v="5"/>
    <m/>
    <m/>
    <d v="2026-01-29T00:00:00"/>
    <d v="2026-02-04T00:00:00"/>
    <n v="6"/>
    <x v="0"/>
    <n v="1"/>
    <n v="2026"/>
    <x v="1"/>
    <n v="12580.86"/>
    <x v="0"/>
    <m/>
    <d v="2025-12-09T00:00:00"/>
    <x v="0"/>
    <m/>
    <x v="1"/>
  </r>
  <r>
    <x v="0"/>
    <m/>
    <m/>
    <s v="30 days pta"/>
    <x v="0"/>
    <n v="27320"/>
    <m/>
    <n v="27320"/>
    <x v="5"/>
    <m/>
    <m/>
    <d v="2026-01-30T00:00:00"/>
    <d v="2026-02-04T00:00:00"/>
    <n v="5"/>
    <x v="0"/>
    <n v="1"/>
    <n v="2026"/>
    <x v="1"/>
    <n v="17361.099999999999"/>
    <x v="0"/>
    <m/>
    <d v="2025-11-04T00:00:00"/>
    <x v="0"/>
    <m/>
    <x v="7"/>
  </r>
  <r>
    <x v="0"/>
    <m/>
    <m/>
    <s v="30 days pta"/>
    <x v="0"/>
    <n v="325"/>
    <m/>
    <n v="325"/>
    <x v="5"/>
    <m/>
    <m/>
    <d v="2026-01-30T00:00:00"/>
    <d v="2026-02-01T00:00:00"/>
    <n v="2"/>
    <x v="0"/>
    <n v="1"/>
    <n v="2026"/>
    <x v="1"/>
    <n v="-1144.68"/>
    <x v="0"/>
    <m/>
    <d v="2025-11-20T00:00:00"/>
    <x v="0"/>
    <m/>
    <x v="1"/>
  </r>
  <r>
    <x v="0"/>
    <m/>
    <m/>
    <s v="30 days pta"/>
    <x v="0"/>
    <n v="8311.2000000000007"/>
    <m/>
    <n v="8311.2000000000007"/>
    <x v="3"/>
    <m/>
    <m/>
    <d v="2026-01-30T00:00:00"/>
    <d v="2026-01-31T00:00:00"/>
    <n v="1"/>
    <x v="0"/>
    <n v="1"/>
    <n v="2026"/>
    <x v="1"/>
    <n v="4197.7299999999996"/>
    <x v="0"/>
    <m/>
    <d v="2025-11-25T00:00:00"/>
    <x v="0"/>
    <m/>
    <x v="24"/>
  </r>
  <r>
    <x v="0"/>
    <m/>
    <m/>
    <s v="30 days pta"/>
    <x v="0"/>
    <n v="13600"/>
    <m/>
    <n v="13600"/>
    <x v="5"/>
    <m/>
    <m/>
    <d v="2026-01-31T00:00:00"/>
    <d v="2026-02-14T00:00:00"/>
    <n v="14"/>
    <x v="0"/>
    <n v="1"/>
    <n v="2026"/>
    <x v="1"/>
    <n v="0"/>
    <x v="0"/>
    <m/>
    <d v="2025-04-01T00:00:00"/>
    <x v="0"/>
    <m/>
    <x v="16"/>
  </r>
  <r>
    <x v="0"/>
    <m/>
    <m/>
    <s v="30 days pta"/>
    <x v="0"/>
    <n v="35074"/>
    <n v="35074"/>
    <m/>
    <x v="0"/>
    <m/>
    <m/>
    <d v="2026-01-31T00:00:00"/>
    <d v="2026-02-09T00:00:00"/>
    <n v="9"/>
    <x v="0"/>
    <n v="1"/>
    <n v="2026"/>
    <x v="0"/>
    <n v="19842.66"/>
    <x v="0"/>
    <m/>
    <d v="2025-07-11T00:00:00"/>
    <x v="0"/>
    <m/>
    <x v="0"/>
  </r>
  <r>
    <x v="0"/>
    <m/>
    <m/>
    <s v="30 days pta"/>
    <x v="0"/>
    <n v="60160"/>
    <m/>
    <n v="60160"/>
    <x v="5"/>
    <m/>
    <m/>
    <d v="2026-01-31T00:00:00"/>
    <d v="2026-02-09T00:00:00"/>
    <n v="9"/>
    <x v="0"/>
    <n v="1"/>
    <n v="2026"/>
    <x v="1"/>
    <n v="34232.67"/>
    <x v="0"/>
    <m/>
    <d v="2025-04-29T00:00:00"/>
    <x v="0"/>
    <m/>
    <x v="16"/>
  </r>
  <r>
    <x v="0"/>
    <m/>
    <m/>
    <s v="30 days pta"/>
    <x v="0"/>
    <n v="35340"/>
    <m/>
    <n v="35340"/>
    <x v="5"/>
    <m/>
    <m/>
    <d v="2026-01-31T00:00:00"/>
    <d v="2026-02-09T00:00:00"/>
    <n v="9"/>
    <x v="0"/>
    <n v="1"/>
    <n v="2026"/>
    <x v="1"/>
    <n v="16787.79"/>
    <x v="0"/>
    <m/>
    <d v="2025-04-29T00:00:00"/>
    <x v="0"/>
    <m/>
    <x v="16"/>
  </r>
  <r>
    <x v="0"/>
    <m/>
    <m/>
    <s v="30 days pta"/>
    <x v="0"/>
    <n v="35340"/>
    <m/>
    <n v="35340"/>
    <x v="5"/>
    <m/>
    <m/>
    <d v="2026-01-31T00:00:00"/>
    <d v="2026-02-09T00:00:00"/>
    <n v="9"/>
    <x v="0"/>
    <n v="1"/>
    <n v="2026"/>
    <x v="1"/>
    <n v="16787.79"/>
    <x v="0"/>
    <m/>
    <d v="2025-04-29T00:00:00"/>
    <x v="0"/>
    <m/>
    <x v="16"/>
  </r>
  <r>
    <x v="0"/>
    <m/>
    <m/>
    <s v="30 days pta"/>
    <x v="0"/>
    <n v="78903.44"/>
    <m/>
    <n v="78903.44"/>
    <x v="5"/>
    <m/>
    <m/>
    <d v="2026-01-31T00:00:00"/>
    <d v="2026-02-14T00:00:00"/>
    <n v="14"/>
    <x v="0"/>
    <n v="1"/>
    <n v="2026"/>
    <x v="1"/>
    <n v="54363.82"/>
    <x v="0"/>
    <m/>
    <d v="2025-03-19T00:00:00"/>
    <x v="0"/>
    <m/>
    <x v="16"/>
  </r>
  <r>
    <x v="0"/>
    <m/>
    <m/>
    <s v="30 days pta"/>
    <x v="0"/>
    <n v="33144"/>
    <n v="17903.79"/>
    <n v="15240.21"/>
    <x v="4"/>
    <m/>
    <m/>
    <d v="2026-01-31T00:00:00"/>
    <d v="2026-02-06T00:00:00"/>
    <n v="6"/>
    <x v="0"/>
    <n v="1"/>
    <n v="2026"/>
    <x v="1"/>
    <n v="19169.759999999998"/>
    <x v="0"/>
    <m/>
    <d v="2025-03-07T00:00:00"/>
    <x v="0"/>
    <m/>
    <x v="6"/>
  </r>
  <r>
    <x v="0"/>
    <m/>
    <m/>
    <s v="30 days pta"/>
    <x v="0"/>
    <n v="0"/>
    <m/>
    <n v="0"/>
    <x v="1"/>
    <m/>
    <m/>
    <d v="2026-02-01T00:00:00"/>
    <d v="2026-02-08T00:00:00"/>
    <n v="7"/>
    <x v="1"/>
    <n v="2"/>
    <n v="2026"/>
    <x v="0"/>
    <n v="0"/>
    <x v="0"/>
    <m/>
    <d v="2025-06-13T00:00:00"/>
    <x v="0"/>
    <m/>
    <x v="0"/>
  </r>
  <r>
    <x v="0"/>
    <m/>
    <m/>
    <s v="30 days pta"/>
    <x v="0"/>
    <n v="26072"/>
    <n v="6518"/>
    <n v="19554"/>
    <x v="4"/>
    <m/>
    <m/>
    <d v="2026-02-01T00:00:00"/>
    <d v="2026-02-07T00:00:00"/>
    <n v="6"/>
    <x v="1"/>
    <n v="2"/>
    <n v="2026"/>
    <x v="1"/>
    <n v="17206.98"/>
    <x v="0"/>
    <m/>
    <d v="2025-11-23T00:00:00"/>
    <x v="0"/>
    <m/>
    <x v="0"/>
  </r>
  <r>
    <x v="0"/>
    <m/>
    <m/>
    <s v="30 days pta"/>
    <x v="0"/>
    <n v="15118"/>
    <m/>
    <n v="15118"/>
    <x v="5"/>
    <m/>
    <m/>
    <d v="2026-02-01T00:00:00"/>
    <d v="2026-02-08T00:00:00"/>
    <n v="7"/>
    <x v="1"/>
    <n v="2"/>
    <n v="2026"/>
    <x v="1"/>
    <n v="8616.93"/>
    <x v="0"/>
    <m/>
    <d v="2025-09-01T00:00:00"/>
    <x v="0"/>
    <m/>
    <x v="1"/>
  </r>
  <r>
    <x v="0"/>
    <m/>
    <m/>
    <s v="30 days pta"/>
    <x v="0"/>
    <n v="38096"/>
    <m/>
    <n v="38096"/>
    <x v="5"/>
    <m/>
    <m/>
    <d v="2026-02-02T00:00:00"/>
    <d v="2026-02-11T00:00:00"/>
    <n v="9"/>
    <x v="1"/>
    <n v="2"/>
    <n v="2026"/>
    <x v="1"/>
    <n v="26503.47"/>
    <x v="0"/>
    <m/>
    <d v="2025-09-26T00:00:00"/>
    <x v="0"/>
    <m/>
    <x v="1"/>
  </r>
  <r>
    <x v="0"/>
    <m/>
    <m/>
    <s v="30 days pta"/>
    <x v="0"/>
    <n v="73887.5"/>
    <n v="73887.5"/>
    <m/>
    <x v="0"/>
    <m/>
    <m/>
    <d v="2026-02-02T00:00:00"/>
    <d v="2026-02-05T00:00:00"/>
    <n v="3"/>
    <x v="1"/>
    <n v="2"/>
    <n v="2026"/>
    <x v="0"/>
    <n v="0"/>
    <x v="0"/>
    <m/>
    <d v="2025-08-10T00:00:00"/>
    <x v="0"/>
    <m/>
    <x v="1"/>
  </r>
  <r>
    <x v="0"/>
    <m/>
    <m/>
    <s v="30 days pta"/>
    <x v="0"/>
    <n v="19688.2"/>
    <n v="4922.05"/>
    <n v="14766.15"/>
    <x v="4"/>
    <m/>
    <m/>
    <d v="2026-02-02T00:00:00"/>
    <d v="2026-02-06T00:00:00"/>
    <n v="4"/>
    <x v="1"/>
    <n v="2"/>
    <n v="2026"/>
    <x v="1"/>
    <n v="13599.04"/>
    <x v="0"/>
    <m/>
    <d v="2025-10-25T00:00:00"/>
    <x v="0"/>
    <m/>
    <x v="1"/>
  </r>
  <r>
    <x v="0"/>
    <m/>
    <m/>
    <s v="30 days pta"/>
    <x v="0"/>
    <n v="0"/>
    <m/>
    <n v="0"/>
    <x v="1"/>
    <m/>
    <m/>
    <d v="2026-02-02T00:00:00"/>
    <d v="2026-02-09T00:00:00"/>
    <n v="7"/>
    <x v="1"/>
    <n v="2"/>
    <n v="2026"/>
    <x v="0"/>
    <n v="0"/>
    <x v="0"/>
    <m/>
    <d v="2025-11-26T00:00:00"/>
    <x v="0"/>
    <m/>
    <x v="1"/>
  </r>
  <r>
    <x v="0"/>
    <m/>
    <m/>
    <s v="30 days pta"/>
    <x v="0"/>
    <n v="29644"/>
    <m/>
    <n v="29644"/>
    <x v="5"/>
    <m/>
    <m/>
    <d v="2026-02-03T00:00:00"/>
    <d v="2026-02-09T00:00:00"/>
    <n v="6"/>
    <x v="1"/>
    <n v="2"/>
    <n v="2026"/>
    <x v="1"/>
    <n v="18974.34"/>
    <x v="0"/>
    <m/>
    <d v="2025-04-08T00:00:00"/>
    <x v="0"/>
    <m/>
    <x v="1"/>
  </r>
  <r>
    <x v="0"/>
    <m/>
    <m/>
    <s v="30 days pta"/>
    <x v="0"/>
    <n v="900"/>
    <m/>
    <n v="900"/>
    <x v="5"/>
    <m/>
    <m/>
    <d v="2026-02-04T00:00:00"/>
    <d v="2026-02-06T00:00:00"/>
    <n v="2"/>
    <x v="1"/>
    <n v="2"/>
    <n v="2026"/>
    <x v="1"/>
    <n v="0"/>
    <x v="0"/>
    <m/>
    <d v="2025-07-31T00:00:00"/>
    <x v="0"/>
    <m/>
    <x v="0"/>
  </r>
  <r>
    <x v="0"/>
    <m/>
    <m/>
    <s v="30 days pta"/>
    <x v="0"/>
    <n v="85090"/>
    <n v="85090"/>
    <m/>
    <x v="0"/>
    <m/>
    <m/>
    <d v="2026-02-05T00:00:00"/>
    <d v="2026-02-20T00:00:00"/>
    <n v="15"/>
    <x v="1"/>
    <n v="2"/>
    <n v="2026"/>
    <x v="0"/>
    <n v="51024.45"/>
    <x v="0"/>
    <m/>
    <d v="2025-03-26T00:00:00"/>
    <x v="0"/>
    <m/>
    <x v="25"/>
  </r>
  <r>
    <x v="0"/>
    <m/>
    <m/>
    <s v="30 days pta"/>
    <x v="0"/>
    <n v="37015"/>
    <m/>
    <n v="37015"/>
    <x v="5"/>
    <m/>
    <m/>
    <d v="2026-02-05T00:00:00"/>
    <d v="2026-02-15T00:00:00"/>
    <n v="10"/>
    <x v="1"/>
    <n v="2"/>
    <n v="2026"/>
    <x v="1"/>
    <n v="13255.6"/>
    <x v="0"/>
    <m/>
    <d v="2025-07-02T00:00:00"/>
    <x v="0"/>
    <m/>
    <x v="16"/>
  </r>
  <r>
    <x v="0"/>
    <m/>
    <m/>
    <s v="30 days pta"/>
    <x v="0"/>
    <n v="1680"/>
    <m/>
    <n v="1680"/>
    <x v="5"/>
    <m/>
    <m/>
    <d v="2026-02-05T00:00:00"/>
    <d v="2026-03-01T00:00:00"/>
    <n v="24"/>
    <x v="1"/>
    <n v="2"/>
    <n v="2026"/>
    <x v="1"/>
    <n v="0"/>
    <x v="0"/>
    <m/>
    <d v="2025-05-27T00:00:00"/>
    <x v="0"/>
    <m/>
    <x v="7"/>
  </r>
  <r>
    <x v="0"/>
    <m/>
    <m/>
    <s v="30 days pta"/>
    <x v="0"/>
    <n v="15607.49"/>
    <m/>
    <n v="15607.49"/>
    <x v="5"/>
    <m/>
    <m/>
    <d v="2026-02-05T00:00:00"/>
    <d v="2026-02-06T00:00:00"/>
    <n v="1"/>
    <x v="1"/>
    <n v="2"/>
    <n v="2026"/>
    <x v="1"/>
    <n v="7217.64"/>
    <x v="0"/>
    <m/>
    <d v="2025-10-16T00:00:00"/>
    <x v="0"/>
    <m/>
    <x v="1"/>
  </r>
  <r>
    <x v="0"/>
    <m/>
    <m/>
    <s v="30 days pta"/>
    <x v="0"/>
    <n v="39663"/>
    <m/>
    <n v="39663"/>
    <x v="5"/>
    <m/>
    <m/>
    <d v="2026-02-05T00:00:00"/>
    <d v="2026-02-18T00:00:00"/>
    <n v="13"/>
    <x v="1"/>
    <n v="2"/>
    <n v="2026"/>
    <x v="1"/>
    <n v="16444.48"/>
    <x v="0"/>
    <m/>
    <d v="2025-06-01T00:00:00"/>
    <x v="0"/>
    <m/>
    <x v="16"/>
  </r>
  <r>
    <x v="0"/>
    <m/>
    <m/>
    <s v="30 days pta"/>
    <x v="0"/>
    <n v="41814"/>
    <m/>
    <n v="41814"/>
    <x v="5"/>
    <m/>
    <m/>
    <d v="2026-02-06T00:00:00"/>
    <d v="2026-02-20T00:00:00"/>
    <n v="14"/>
    <x v="1"/>
    <n v="2"/>
    <n v="2026"/>
    <x v="1"/>
    <n v="23355.08"/>
    <x v="0"/>
    <m/>
    <d v="2025-10-10T00:00:00"/>
    <x v="0"/>
    <m/>
    <x v="1"/>
  </r>
  <r>
    <x v="0"/>
    <m/>
    <m/>
    <s v="30 days pta"/>
    <x v="0"/>
    <n v="29272.47"/>
    <m/>
    <n v="29272.47"/>
    <x v="5"/>
    <m/>
    <m/>
    <d v="2026-02-06T00:00:00"/>
    <d v="2026-02-09T00:00:00"/>
    <n v="3"/>
    <x v="1"/>
    <n v="2"/>
    <n v="2026"/>
    <x v="1"/>
    <n v="21652.92"/>
    <x v="0"/>
    <m/>
    <d v="2025-10-16T00:00:00"/>
    <x v="0"/>
    <m/>
    <x v="1"/>
  </r>
  <r>
    <x v="0"/>
    <m/>
    <m/>
    <s v="30 days pta"/>
    <x v="0"/>
    <n v="39228"/>
    <m/>
    <n v="39228"/>
    <x v="5"/>
    <m/>
    <m/>
    <d v="2026-02-06T00:00:00"/>
    <d v="2026-02-14T00:00:00"/>
    <n v="8"/>
    <x v="1"/>
    <n v="2"/>
    <n v="2026"/>
    <x v="1"/>
    <n v="28080.799999999999"/>
    <x v="0"/>
    <m/>
    <d v="2025-12-07T00:00:00"/>
    <x v="0"/>
    <m/>
    <x v="26"/>
  </r>
  <r>
    <x v="0"/>
    <m/>
    <m/>
    <s v="30 days pta"/>
    <x v="0"/>
    <n v="40978"/>
    <m/>
    <n v="40978"/>
    <x v="5"/>
    <m/>
    <m/>
    <d v="2026-02-06T00:00:00"/>
    <d v="2026-02-14T00:00:00"/>
    <n v="8"/>
    <x v="1"/>
    <n v="2"/>
    <n v="2026"/>
    <x v="1"/>
    <m/>
    <x v="0"/>
    <m/>
    <m/>
    <x v="0"/>
    <m/>
    <x v="9"/>
  </r>
  <r>
    <x v="0"/>
    <m/>
    <m/>
    <s v="30 days pta"/>
    <x v="0"/>
    <n v="30290"/>
    <n v="32150"/>
    <m/>
    <x v="0"/>
    <m/>
    <m/>
    <d v="2026-02-07T00:00:00"/>
    <d v="2026-02-14T00:00:00"/>
    <n v="7"/>
    <x v="1"/>
    <n v="2"/>
    <n v="2026"/>
    <x v="0"/>
    <n v="12681.83"/>
    <x v="0"/>
    <m/>
    <d v="2024-10-22T00:00:00"/>
    <x v="0"/>
    <m/>
    <x v="16"/>
  </r>
  <r>
    <x v="0"/>
    <m/>
    <m/>
    <s v="30 days pta"/>
    <x v="0"/>
    <n v="6025"/>
    <m/>
    <n v="6025"/>
    <x v="5"/>
    <m/>
    <m/>
    <d v="2026-02-07T00:00:00"/>
    <d v="2026-02-14T00:00:00"/>
    <n v="7"/>
    <x v="1"/>
    <n v="2"/>
    <n v="2026"/>
    <x v="1"/>
    <n v="-574.25"/>
    <x v="0"/>
    <m/>
    <d v="2025-07-09T00:00:00"/>
    <x v="0"/>
    <m/>
    <x v="1"/>
  </r>
  <r>
    <x v="0"/>
    <m/>
    <m/>
    <s v="30 days pta"/>
    <x v="0"/>
    <n v="18627.5"/>
    <n v="7851.25"/>
    <n v="10776.25"/>
    <x v="4"/>
    <m/>
    <m/>
    <d v="2026-02-07T00:00:00"/>
    <d v="2026-02-09T00:00:00"/>
    <n v="2"/>
    <x v="1"/>
    <n v="2"/>
    <n v="2026"/>
    <x v="1"/>
    <n v="7826.34"/>
    <x v="0"/>
    <m/>
    <d v="2025-10-13T00:00:00"/>
    <x v="0"/>
    <m/>
    <x v="23"/>
  </r>
  <r>
    <x v="0"/>
    <m/>
    <m/>
    <s v="30 days pta"/>
    <x v="0"/>
    <n v="14768"/>
    <m/>
    <n v="14768"/>
    <x v="5"/>
    <m/>
    <m/>
    <d v="2026-02-07T00:00:00"/>
    <d v="2026-02-14T00:00:00"/>
    <n v="7"/>
    <x v="1"/>
    <n v="2"/>
    <n v="2026"/>
    <x v="1"/>
    <n v="5897.43"/>
    <x v="0"/>
    <m/>
    <d v="2025-08-01T00:00:00"/>
    <x v="0"/>
    <m/>
    <x v="1"/>
  </r>
  <r>
    <x v="0"/>
    <m/>
    <m/>
    <s v="30 days pta"/>
    <x v="0"/>
    <n v="23674.65"/>
    <m/>
    <n v="23674.65"/>
    <x v="5"/>
    <m/>
    <m/>
    <d v="2026-02-07T00:00:00"/>
    <d v="2026-02-14T00:00:00"/>
    <n v="7"/>
    <x v="1"/>
    <n v="2"/>
    <n v="2026"/>
    <x v="1"/>
    <n v="4657.1000000000004"/>
    <x v="0"/>
    <m/>
    <d v="2025-06-12T00:00:00"/>
    <x v="0"/>
    <m/>
    <x v="16"/>
  </r>
  <r>
    <x v="0"/>
    <m/>
    <m/>
    <s v="30 days pta"/>
    <x v="0"/>
    <n v="11899.65"/>
    <m/>
    <n v="11899.65"/>
    <x v="5"/>
    <m/>
    <m/>
    <d v="2026-02-07T00:00:00"/>
    <d v="2026-02-14T00:00:00"/>
    <n v="7"/>
    <x v="1"/>
    <n v="2"/>
    <n v="2026"/>
    <x v="1"/>
    <n v="6979.54"/>
    <x v="0"/>
    <m/>
    <d v="2025-06-12T00:00:00"/>
    <x v="0"/>
    <m/>
    <x v="16"/>
  </r>
  <r>
    <x v="0"/>
    <m/>
    <m/>
    <s v="30 days pta"/>
    <x v="0"/>
    <n v="25650"/>
    <m/>
    <n v="25650"/>
    <x v="5"/>
    <m/>
    <m/>
    <d v="2026-02-08T00:00:00"/>
    <d v="2026-02-15T00:00:00"/>
    <n v="7"/>
    <x v="1"/>
    <n v="2"/>
    <n v="2026"/>
    <x v="1"/>
    <n v="13195.77"/>
    <x v="0"/>
    <m/>
    <d v="2025-01-18T00:00:00"/>
    <x v="0"/>
    <m/>
    <x v="6"/>
  </r>
  <r>
    <x v="0"/>
    <m/>
    <m/>
    <s v="30 days pta"/>
    <x v="0"/>
    <n v="1410"/>
    <n v="1410"/>
    <m/>
    <x v="0"/>
    <m/>
    <m/>
    <d v="2026-02-08T00:00:00"/>
    <d v="2026-02-15T00:00:00"/>
    <n v="7"/>
    <x v="1"/>
    <n v="2"/>
    <n v="2026"/>
    <x v="0"/>
    <n v="0"/>
    <x v="0"/>
    <m/>
    <d v="2025-06-26T00:00:00"/>
    <x v="0"/>
    <m/>
    <x v="1"/>
  </r>
  <r>
    <x v="0"/>
    <m/>
    <m/>
    <s v="30 days pta"/>
    <x v="0"/>
    <n v="71114.759999999995"/>
    <m/>
    <n v="71114.759999999995"/>
    <x v="5"/>
    <m/>
    <m/>
    <d v="2026-02-08T00:00:00"/>
    <d v="2026-02-15T00:00:00"/>
    <n v="7"/>
    <x v="1"/>
    <n v="2"/>
    <n v="2026"/>
    <x v="1"/>
    <n v="39175.64"/>
    <x v="0"/>
    <m/>
    <d v="2025-04-14T00:00:00"/>
    <x v="0"/>
    <m/>
    <x v="10"/>
  </r>
  <r>
    <x v="0"/>
    <m/>
    <m/>
    <s v="30 days pta"/>
    <x v="0"/>
    <m/>
    <m/>
    <m/>
    <x v="1"/>
    <m/>
    <m/>
    <d v="2026-02-08T00:00:00"/>
    <d v="2026-02-11T00:00:00"/>
    <n v="3"/>
    <x v="1"/>
    <n v="2"/>
    <n v="2026"/>
    <x v="0"/>
    <n v="0"/>
    <x v="0"/>
    <m/>
    <d v="2025-04-19T00:00:00"/>
    <x v="0"/>
    <m/>
    <x v="18"/>
  </r>
  <r>
    <x v="0"/>
    <m/>
    <m/>
    <s v="30 days pta"/>
    <x v="0"/>
    <n v="37002"/>
    <m/>
    <n v="37002"/>
    <x v="5"/>
    <m/>
    <m/>
    <d v="2026-02-08T00:00:00"/>
    <d v="2026-02-15T00:00:00"/>
    <n v="7"/>
    <x v="1"/>
    <n v="2"/>
    <n v="2026"/>
    <x v="1"/>
    <n v="16169.01"/>
    <x v="0"/>
    <m/>
    <d v="2025-09-16T00:00:00"/>
    <x v="0"/>
    <m/>
    <x v="16"/>
  </r>
  <r>
    <x v="0"/>
    <m/>
    <m/>
    <s v="30 days pta"/>
    <x v="0"/>
    <n v="23522"/>
    <n v="5880.5"/>
    <n v="17641.5"/>
    <x v="4"/>
    <m/>
    <m/>
    <d v="2026-02-08T00:00:00"/>
    <d v="2026-02-12T00:00:00"/>
    <n v="4"/>
    <x v="1"/>
    <n v="2"/>
    <n v="2026"/>
    <x v="1"/>
    <n v="14320.11"/>
    <x v="0"/>
    <m/>
    <d v="2025-11-06T00:00:00"/>
    <x v="0"/>
    <m/>
    <x v="23"/>
  </r>
  <r>
    <x v="0"/>
    <m/>
    <m/>
    <s v="30 days pta"/>
    <x v="0"/>
    <n v="12777.5"/>
    <m/>
    <n v="12777.5"/>
    <x v="5"/>
    <m/>
    <m/>
    <d v="2026-02-09T00:00:00"/>
    <d v="2026-02-11T00:00:00"/>
    <n v="2"/>
    <x v="1"/>
    <n v="2"/>
    <n v="2026"/>
    <x v="1"/>
    <n v="7826.34"/>
    <x v="0"/>
    <m/>
    <d v="2025-10-13T00:00:00"/>
    <x v="0"/>
    <m/>
    <x v="23"/>
  </r>
  <r>
    <x v="0"/>
    <m/>
    <m/>
    <s v="30 days pta"/>
    <x v="0"/>
    <n v="25200"/>
    <m/>
    <n v="25200"/>
    <x v="5"/>
    <m/>
    <m/>
    <d v="2026-02-09T00:00:00"/>
    <d v="2026-02-19T00:00:00"/>
    <n v="10"/>
    <x v="1"/>
    <n v="2"/>
    <n v="2026"/>
    <x v="1"/>
    <n v="10536.1"/>
    <x v="0"/>
    <m/>
    <d v="2025-11-14T00:00:00"/>
    <x v="0"/>
    <m/>
    <x v="16"/>
  </r>
  <r>
    <x v="0"/>
    <m/>
    <m/>
    <s v="30 days pta"/>
    <x v="0"/>
    <n v="37000"/>
    <m/>
    <n v="37000"/>
    <x v="5"/>
    <m/>
    <m/>
    <d v="2026-02-09T00:00:00"/>
    <d v="2026-02-16T00:00:00"/>
    <n v="7"/>
    <x v="1"/>
    <n v="2"/>
    <n v="2026"/>
    <x v="1"/>
    <n v="17342.62"/>
    <x v="0"/>
    <m/>
    <d v="2025-04-18T00:00:00"/>
    <x v="0"/>
    <m/>
    <x v="16"/>
  </r>
  <r>
    <x v="0"/>
    <m/>
    <m/>
    <s v="30 days pta"/>
    <x v="0"/>
    <n v="103328.1"/>
    <m/>
    <n v="103328.1"/>
    <x v="5"/>
    <m/>
    <m/>
    <d v="2026-02-10T00:00:00"/>
    <d v="2026-02-18T00:00:00"/>
    <n v="8"/>
    <x v="1"/>
    <n v="2"/>
    <n v="2026"/>
    <x v="1"/>
    <n v="0"/>
    <x v="0"/>
    <m/>
    <d v="2025-04-26T00:00:00"/>
    <x v="0"/>
    <m/>
    <x v="27"/>
  </r>
  <r>
    <x v="0"/>
    <m/>
    <m/>
    <s v="30 days pta"/>
    <x v="0"/>
    <n v="24392.63"/>
    <n v="17154"/>
    <n v="7238.63"/>
    <x v="4"/>
    <m/>
    <m/>
    <d v="2026-02-11T00:00:00"/>
    <d v="2026-02-15T00:00:00"/>
    <n v="4"/>
    <x v="1"/>
    <n v="2"/>
    <n v="2026"/>
    <x v="1"/>
    <n v="15690.32"/>
    <x v="0"/>
    <m/>
    <d v="2025-10-24T00:00:00"/>
    <x v="0"/>
    <m/>
    <x v="7"/>
  </r>
  <r>
    <x v="0"/>
    <m/>
    <m/>
    <s v="30 days pta"/>
    <x v="0"/>
    <n v="623"/>
    <n v="623"/>
    <m/>
    <x v="0"/>
    <m/>
    <m/>
    <d v="2026-02-11T00:00:00"/>
    <d v="2026-02-13T00:00:00"/>
    <n v="2"/>
    <x v="1"/>
    <n v="2"/>
    <n v="2026"/>
    <x v="0"/>
    <n v="0"/>
    <x v="0"/>
    <m/>
    <d v="2025-09-25T00:00:00"/>
    <x v="0"/>
    <m/>
    <x v="1"/>
  </r>
  <r>
    <x v="0"/>
    <m/>
    <m/>
    <s v="30 days pta"/>
    <x v="0"/>
    <n v="19530"/>
    <n v="19530"/>
    <m/>
    <x v="0"/>
    <m/>
    <m/>
    <d v="2026-02-11T00:00:00"/>
    <d v="2026-02-19T00:00:00"/>
    <n v="8"/>
    <x v="1"/>
    <n v="2"/>
    <n v="2026"/>
    <x v="0"/>
    <n v="2428.9"/>
    <x v="0"/>
    <m/>
    <d v="2025-09-26T00:00:00"/>
    <x v="0"/>
    <m/>
    <x v="16"/>
  </r>
  <r>
    <x v="0"/>
    <m/>
    <m/>
    <s v="30 days pta"/>
    <x v="0"/>
    <n v="5050"/>
    <n v="5050"/>
    <m/>
    <x v="0"/>
    <m/>
    <m/>
    <d v="2026-02-11T00:00:00"/>
    <d v="2026-02-12T00:00:00"/>
    <n v="1"/>
    <x v="1"/>
    <n v="2"/>
    <n v="2026"/>
    <x v="0"/>
    <n v="0"/>
    <x v="0"/>
    <m/>
    <d v="2025-11-21T00:00:00"/>
    <x v="0"/>
    <m/>
    <x v="1"/>
  </r>
  <r>
    <x v="0"/>
    <m/>
    <m/>
    <s v="30 days pta"/>
    <x v="0"/>
    <n v="308673.68"/>
    <n v="308673.68"/>
    <m/>
    <x v="0"/>
    <m/>
    <m/>
    <d v="2026-02-12T00:00:00"/>
    <d v="2026-02-22T00:00:00"/>
    <n v="10"/>
    <x v="1"/>
    <n v="2"/>
    <n v="2026"/>
    <x v="0"/>
    <n v="186316.11"/>
    <x v="0"/>
    <m/>
    <d v="2025-10-06T00:00:00"/>
    <x v="0"/>
    <m/>
    <x v="1"/>
  </r>
  <r>
    <x v="0"/>
    <m/>
    <m/>
    <s v="30 days pta"/>
    <x v="0"/>
    <n v="36044.480000000003"/>
    <n v="36044.480000000003"/>
    <m/>
    <x v="0"/>
    <m/>
    <m/>
    <d v="2026-02-12T00:00:00"/>
    <d v="2026-02-20T00:00:00"/>
    <n v="8"/>
    <x v="1"/>
    <n v="2"/>
    <n v="2026"/>
    <x v="0"/>
    <n v="20995.46"/>
    <x v="0"/>
    <m/>
    <d v="2025-10-06T00:00:00"/>
    <x v="0"/>
    <m/>
    <x v="28"/>
  </r>
  <r>
    <x v="0"/>
    <m/>
    <m/>
    <s v="30 days pta"/>
    <x v="0"/>
    <n v="31985"/>
    <n v="31985"/>
    <m/>
    <x v="0"/>
    <m/>
    <m/>
    <d v="2026-02-13T00:00:00"/>
    <d v="2026-02-18T00:00:00"/>
    <n v="5"/>
    <x v="1"/>
    <n v="2"/>
    <n v="2026"/>
    <x v="0"/>
    <n v="15888.3"/>
    <x v="0"/>
    <m/>
    <d v="2025-06-29T00:00:00"/>
    <x v="0"/>
    <m/>
    <x v="7"/>
  </r>
  <r>
    <x v="0"/>
    <m/>
    <m/>
    <s v="30 days pta"/>
    <x v="0"/>
    <n v="26300"/>
    <m/>
    <n v="26300"/>
    <x v="5"/>
    <m/>
    <m/>
    <d v="2026-02-13T00:00:00"/>
    <d v="2026-02-23T00:00:00"/>
    <n v="10"/>
    <x v="1"/>
    <n v="2"/>
    <n v="2026"/>
    <x v="1"/>
    <n v="11724.9"/>
    <x v="0"/>
    <m/>
    <d v="2025-06-07T00:00:00"/>
    <x v="0"/>
    <m/>
    <x v="1"/>
  </r>
  <r>
    <x v="0"/>
    <m/>
    <m/>
    <s v="30 days pta"/>
    <x v="0"/>
    <n v="20244"/>
    <m/>
    <n v="20244"/>
    <x v="5"/>
    <m/>
    <m/>
    <d v="2026-02-13T00:00:00"/>
    <d v="2026-02-17T00:00:00"/>
    <n v="4"/>
    <x v="1"/>
    <n v="2"/>
    <n v="2026"/>
    <x v="1"/>
    <n v="10512.84"/>
    <x v="0"/>
    <m/>
    <d v="2025-06-07T00:00:00"/>
    <x v="0"/>
    <m/>
    <x v="1"/>
  </r>
  <r>
    <x v="0"/>
    <m/>
    <m/>
    <s v="30 days pta"/>
    <x v="0"/>
    <n v="51236"/>
    <n v="51236"/>
    <m/>
    <x v="0"/>
    <m/>
    <m/>
    <d v="2026-02-13T00:00:00"/>
    <d v="2026-02-20T00:00:00"/>
    <n v="7"/>
    <x v="1"/>
    <n v="2"/>
    <n v="2026"/>
    <x v="0"/>
    <n v="35458.43"/>
    <x v="0"/>
    <m/>
    <d v="2025-08-22T00:00:00"/>
    <x v="0"/>
    <m/>
    <x v="29"/>
  </r>
  <r>
    <x v="0"/>
    <m/>
    <m/>
    <s v="30 days pta"/>
    <x v="0"/>
    <n v="0"/>
    <m/>
    <n v="0"/>
    <x v="1"/>
    <m/>
    <m/>
    <d v="2026-02-14T00:00:00"/>
    <d v="2026-02-21T00:00:00"/>
    <n v="7"/>
    <x v="1"/>
    <n v="2"/>
    <n v="2026"/>
    <x v="0"/>
    <n v="0"/>
    <x v="0"/>
    <m/>
    <d v="2025-09-16T00:00:00"/>
    <x v="0"/>
    <m/>
    <x v="1"/>
  </r>
  <r>
    <x v="0"/>
    <m/>
    <m/>
    <s v="30 days pta"/>
    <x v="0"/>
    <n v="18800"/>
    <m/>
    <n v="18800"/>
    <x v="5"/>
    <m/>
    <m/>
    <d v="2026-02-14T00:00:00"/>
    <d v="2026-02-21T00:00:00"/>
    <n v="7"/>
    <x v="1"/>
    <n v="2"/>
    <n v="2026"/>
    <x v="1"/>
    <n v="0"/>
    <x v="0"/>
    <m/>
    <d v="2025-06-12T00:00:00"/>
    <x v="0"/>
    <m/>
    <x v="1"/>
  </r>
  <r>
    <x v="0"/>
    <m/>
    <m/>
    <s v="30 days pta"/>
    <x v="0"/>
    <n v="74999.990000000005"/>
    <n v="12389.83"/>
    <n v="62610.16"/>
    <x v="4"/>
    <m/>
    <m/>
    <d v="2026-02-14T00:00:00"/>
    <d v="2026-02-21T00:00:00"/>
    <n v="7"/>
    <x v="1"/>
    <n v="2"/>
    <n v="2026"/>
    <x v="1"/>
    <n v="50823.01"/>
    <x v="0"/>
    <m/>
    <d v="2025-10-23T00:00:00"/>
    <x v="0"/>
    <m/>
    <x v="5"/>
  </r>
  <r>
    <x v="0"/>
    <m/>
    <m/>
    <s v="30 days pta"/>
    <x v="0"/>
    <n v="46800"/>
    <m/>
    <n v="46800"/>
    <x v="7"/>
    <m/>
    <m/>
    <d v="2026-02-14T00:00:00"/>
    <d v="2026-02-23T00:00:00"/>
    <n v="9"/>
    <x v="1"/>
    <n v="2"/>
    <n v="2026"/>
    <x v="1"/>
    <n v="26783.19"/>
    <x v="0"/>
    <m/>
    <d v="2025-04-14T00:00:00"/>
    <x v="0"/>
    <m/>
    <x v="1"/>
  </r>
  <r>
    <x v="0"/>
    <m/>
    <m/>
    <s v="30 days pta"/>
    <x v="0"/>
    <n v="22105.8"/>
    <n v="22105.8"/>
    <m/>
    <x v="0"/>
    <m/>
    <m/>
    <d v="2026-02-14T00:00:00"/>
    <d v="2026-02-20T00:00:00"/>
    <n v="6"/>
    <x v="1"/>
    <n v="2"/>
    <n v="2026"/>
    <x v="0"/>
    <n v="15524.88"/>
    <x v="0"/>
    <m/>
    <d v="2025-11-17T00:00:00"/>
    <x v="0"/>
    <m/>
    <x v="25"/>
  </r>
  <r>
    <x v="0"/>
    <m/>
    <m/>
    <s v="30 days pta"/>
    <x v="0"/>
    <n v="137800"/>
    <m/>
    <n v="137800"/>
    <x v="7"/>
    <m/>
    <m/>
    <d v="2026-02-14T00:00:00"/>
    <d v="2026-02-23T00:00:00"/>
    <n v="9"/>
    <x v="1"/>
    <n v="2"/>
    <n v="2026"/>
    <x v="1"/>
    <n v="72076.95"/>
    <x v="0"/>
    <m/>
    <d v="2025-04-14T00:00:00"/>
    <x v="0"/>
    <m/>
    <x v="1"/>
  </r>
  <r>
    <x v="0"/>
    <m/>
    <m/>
    <s v="30 days pta"/>
    <x v="0"/>
    <n v="31160"/>
    <n v="31160"/>
    <m/>
    <x v="0"/>
    <m/>
    <m/>
    <d v="2026-02-14T00:00:00"/>
    <d v="2026-02-20T00:00:00"/>
    <n v="6"/>
    <x v="1"/>
    <n v="2"/>
    <n v="2026"/>
    <x v="0"/>
    <n v="17202.78"/>
    <x v="0"/>
    <m/>
    <d v="2025-08-07T00:00:00"/>
    <x v="0"/>
    <m/>
    <x v="1"/>
  </r>
  <r>
    <x v="0"/>
    <m/>
    <m/>
    <s v="30 days pta"/>
    <x v="0"/>
    <n v="30565"/>
    <m/>
    <n v="30565"/>
    <x v="5"/>
    <m/>
    <m/>
    <d v="2026-02-14T00:00:00"/>
    <d v="2026-02-22T00:00:00"/>
    <n v="8"/>
    <x v="1"/>
    <n v="2"/>
    <n v="2026"/>
    <x v="1"/>
    <n v="0"/>
    <x v="0"/>
    <m/>
    <d v="2025-11-23T00:00:00"/>
    <x v="0"/>
    <m/>
    <x v="7"/>
  </r>
  <r>
    <x v="0"/>
    <m/>
    <m/>
    <s v="90 days pta"/>
    <x v="0"/>
    <n v="2000"/>
    <m/>
    <n v="2000"/>
    <x v="5"/>
    <m/>
    <m/>
    <d v="2026-02-14T00:00:00"/>
    <d v="2026-02-19T00:00:00"/>
    <n v="5"/>
    <x v="1"/>
    <n v="2"/>
    <n v="2026"/>
    <x v="1"/>
    <n v="1232.45"/>
    <x v="0"/>
    <m/>
    <d v="2025-09-08T00:00:00"/>
    <x v="0"/>
    <m/>
    <x v="1"/>
  </r>
  <r>
    <x v="0"/>
    <m/>
    <m/>
    <s v="90 days pta"/>
    <x v="0"/>
    <n v="46613.36"/>
    <m/>
    <n v="46613.36"/>
    <x v="3"/>
    <m/>
    <m/>
    <d v="2026-02-15T00:00:00"/>
    <d v="2026-02-23T00:00:00"/>
    <n v="8"/>
    <x v="1"/>
    <n v="2"/>
    <n v="2026"/>
    <x v="1"/>
    <n v="31164.080000000002"/>
    <x v="0"/>
    <m/>
    <d v="2025-11-29T00:00:00"/>
    <x v="0"/>
    <m/>
    <x v="1"/>
  </r>
  <r>
    <x v="0"/>
    <m/>
    <m/>
    <s v="90 days pta"/>
    <x v="0"/>
    <m/>
    <m/>
    <m/>
    <x v="1"/>
    <m/>
    <m/>
    <d v="2026-02-15T00:00:00"/>
    <d v="2026-02-17T00:00:00"/>
    <n v="2"/>
    <x v="1"/>
    <n v="2"/>
    <n v="2026"/>
    <x v="0"/>
    <n v="0"/>
    <x v="0"/>
    <m/>
    <d v="2025-07-03T00:00:00"/>
    <x v="0"/>
    <m/>
    <x v="15"/>
  </r>
  <r>
    <x v="0"/>
    <m/>
    <m/>
    <s v="90 days pta"/>
    <x v="0"/>
    <n v="20576.5"/>
    <m/>
    <n v="20576.5"/>
    <x v="5"/>
    <m/>
    <m/>
    <d v="2026-02-15T00:00:00"/>
    <d v="2026-02-25T00:00:00"/>
    <n v="10"/>
    <x v="1"/>
    <n v="2"/>
    <n v="2026"/>
    <x v="1"/>
    <n v="3645.1"/>
    <x v="0"/>
    <m/>
    <d v="2025-03-20T00:00:00"/>
    <x v="0"/>
    <m/>
    <x v="1"/>
  </r>
  <r>
    <x v="0"/>
    <m/>
    <m/>
    <s v="90 days pta"/>
    <x v="0"/>
    <n v="29844"/>
    <m/>
    <n v="29844"/>
    <x v="5"/>
    <m/>
    <m/>
    <d v="2026-02-15T00:00:00"/>
    <d v="2026-02-19T00:00:00"/>
    <n v="4"/>
    <x v="1"/>
    <n v="2"/>
    <n v="2026"/>
    <x v="1"/>
    <n v="0"/>
    <x v="0"/>
    <m/>
    <d v="2025-12-05T00:00:00"/>
    <x v="0"/>
    <m/>
    <x v="23"/>
  </r>
  <r>
    <x v="0"/>
    <m/>
    <m/>
    <s v="90 days pta"/>
    <x v="0"/>
    <n v="18739"/>
    <n v="18739"/>
    <m/>
    <x v="0"/>
    <m/>
    <m/>
    <d v="2026-02-15T00:00:00"/>
    <d v="2026-02-22T00:00:00"/>
    <n v="7"/>
    <x v="1"/>
    <n v="2"/>
    <n v="2026"/>
    <x v="0"/>
    <n v="6088.99"/>
    <x v="0"/>
    <m/>
    <d v="2025-03-21T00:00:00"/>
    <x v="0"/>
    <m/>
    <x v="7"/>
  </r>
  <r>
    <x v="0"/>
    <m/>
    <m/>
    <s v="90 days pta"/>
    <x v="0"/>
    <n v="68298.600000000006"/>
    <n v="68298.600000000006"/>
    <m/>
    <x v="0"/>
    <m/>
    <m/>
    <d v="2026-02-15T00:00:00"/>
    <d v="2026-02-22T00:00:00"/>
    <n v="7"/>
    <x v="1"/>
    <n v="2"/>
    <n v="2026"/>
    <x v="0"/>
    <n v="29069.46"/>
    <x v="0"/>
    <m/>
    <d v="2025-08-16T00:00:00"/>
    <x v="0"/>
    <m/>
    <x v="30"/>
  </r>
  <r>
    <x v="0"/>
    <m/>
    <m/>
    <s v="90 days pta"/>
    <x v="0"/>
    <n v="37590"/>
    <n v="37590"/>
    <m/>
    <x v="0"/>
    <m/>
    <m/>
    <d v="2026-02-15T00:00:00"/>
    <d v="2026-02-17T00:00:00"/>
    <n v="2"/>
    <x v="1"/>
    <n v="2"/>
    <n v="2026"/>
    <x v="0"/>
    <n v="0"/>
    <x v="0"/>
    <m/>
    <d v="2025-09-16T00:00:00"/>
    <x v="0"/>
    <m/>
    <x v="16"/>
  </r>
  <r>
    <x v="0"/>
    <m/>
    <m/>
    <s v="90 days pta"/>
    <x v="0"/>
    <m/>
    <m/>
    <m/>
    <x v="1"/>
    <m/>
    <m/>
    <d v="2026-02-16T00:00:00"/>
    <d v="2026-03-21T00:00:00"/>
    <n v="33"/>
    <x v="1"/>
    <n v="2"/>
    <n v="2026"/>
    <x v="0"/>
    <n v="0"/>
    <x v="0"/>
    <m/>
    <d v="2025-07-09T00:00:00"/>
    <x v="0"/>
    <m/>
    <x v="16"/>
  </r>
  <r>
    <x v="0"/>
    <m/>
    <m/>
    <s v="90 days pta"/>
    <x v="0"/>
    <n v="46570"/>
    <m/>
    <n v="46570"/>
    <x v="5"/>
    <m/>
    <m/>
    <d v="2026-02-16T00:00:00"/>
    <d v="2026-02-23T00:00:00"/>
    <n v="7"/>
    <x v="1"/>
    <n v="2"/>
    <n v="2026"/>
    <x v="1"/>
    <n v="0"/>
    <x v="0"/>
    <m/>
    <d v="2025-12-08T00:00:00"/>
    <x v="0"/>
    <m/>
    <x v="0"/>
  </r>
  <r>
    <x v="0"/>
    <m/>
    <m/>
    <s v="90 days pta"/>
    <x v="0"/>
    <n v="335455.34999999998"/>
    <n v="335455.34999999998"/>
    <m/>
    <x v="0"/>
    <m/>
    <m/>
    <d v="2026-02-16T00:00:00"/>
    <d v="2026-02-24T00:00:00"/>
    <n v="8"/>
    <x v="1"/>
    <n v="2"/>
    <n v="2026"/>
    <x v="0"/>
    <n v="125490.99"/>
    <x v="0"/>
    <m/>
    <d v="2025-10-22T00:00:00"/>
    <x v="0"/>
    <m/>
    <x v="1"/>
  </r>
  <r>
    <x v="0"/>
    <m/>
    <m/>
    <s v="90 days pta"/>
    <x v="0"/>
    <n v="82732"/>
    <n v="20683"/>
    <n v="62049"/>
    <x v="4"/>
    <m/>
    <m/>
    <d v="2026-02-17T00:00:00"/>
    <d v="2026-03-01T00:00:00"/>
    <n v="12"/>
    <x v="1"/>
    <n v="2"/>
    <n v="2026"/>
    <x v="1"/>
    <n v="49184.92"/>
    <x v="0"/>
    <m/>
    <d v="2025-11-20T00:00:00"/>
    <x v="0"/>
    <m/>
    <x v="7"/>
  </r>
  <r>
    <x v="0"/>
    <m/>
    <m/>
    <s v="90 days pta"/>
    <x v="0"/>
    <n v="18894"/>
    <n v="18894"/>
    <m/>
    <x v="0"/>
    <m/>
    <m/>
    <d v="2026-02-17T00:00:00"/>
    <d v="2026-02-21T00:00:00"/>
    <n v="4"/>
    <x v="1"/>
    <n v="2"/>
    <n v="2026"/>
    <x v="0"/>
    <n v="11395"/>
    <x v="0"/>
    <m/>
    <d v="2025-11-28T00:00:00"/>
    <x v="0"/>
    <m/>
    <x v="1"/>
  </r>
  <r>
    <x v="0"/>
    <m/>
    <m/>
    <s v="90 days pta"/>
    <x v="0"/>
    <n v="20135"/>
    <n v="25817.05"/>
    <m/>
    <x v="0"/>
    <m/>
    <m/>
    <d v="2026-02-17T00:00:00"/>
    <d v="2026-02-21T00:00:00"/>
    <n v="4"/>
    <x v="1"/>
    <n v="2"/>
    <n v="2026"/>
    <x v="0"/>
    <n v="12751.84"/>
    <x v="0"/>
    <m/>
    <d v="2024-06-03T00:00:00"/>
    <x v="0"/>
    <m/>
    <x v="1"/>
  </r>
  <r>
    <x v="0"/>
    <m/>
    <m/>
    <s v="90 days pta"/>
    <x v="0"/>
    <n v="55754.75"/>
    <n v="55754.75"/>
    <m/>
    <x v="0"/>
    <m/>
    <m/>
    <d v="2026-02-18T00:00:00"/>
    <d v="2026-03-05T00:00:00"/>
    <n v="15"/>
    <x v="1"/>
    <n v="2"/>
    <n v="2026"/>
    <x v="0"/>
    <n v="33535.35"/>
    <x v="0"/>
    <m/>
    <d v="2025-03-21T00:00:00"/>
    <x v="0"/>
    <m/>
    <x v="1"/>
  </r>
  <r>
    <x v="0"/>
    <m/>
    <m/>
    <s v="90 days pta"/>
    <x v="0"/>
    <n v="24943.439999999999"/>
    <m/>
    <n v="24943.439999999999"/>
    <x v="3"/>
    <m/>
    <m/>
    <d v="2026-02-18T00:00:00"/>
    <d v="2026-02-22T00:00:00"/>
    <n v="4"/>
    <x v="1"/>
    <n v="2"/>
    <n v="2026"/>
    <x v="1"/>
    <n v="15784.08"/>
    <x v="0"/>
    <m/>
    <d v="2025-10-19T00:00:00"/>
    <x v="0"/>
    <m/>
    <x v="5"/>
  </r>
  <r>
    <x v="0"/>
    <m/>
    <m/>
    <s v="90 days pta"/>
    <x v="0"/>
    <n v="106924.08"/>
    <n v="106924.08"/>
    <m/>
    <x v="0"/>
    <m/>
    <m/>
    <d v="2026-02-18T00:00:00"/>
    <d v="2026-02-22T00:00:00"/>
    <n v="4"/>
    <x v="1"/>
    <n v="2"/>
    <n v="2026"/>
    <x v="0"/>
    <n v="80656.36"/>
    <x v="0"/>
    <m/>
    <d v="2025-10-09T00:00:00"/>
    <x v="0"/>
    <m/>
    <x v="23"/>
  </r>
  <r>
    <x v="0"/>
    <m/>
    <m/>
    <s v="90 days pta"/>
    <x v="0"/>
    <n v="720"/>
    <m/>
    <n v="720"/>
    <x v="6"/>
    <m/>
    <m/>
    <d v="2026-02-18T00:00:00"/>
    <d v="2026-03-20T00:00:00"/>
    <n v="30"/>
    <x v="1"/>
    <n v="2"/>
    <n v="2026"/>
    <x v="1"/>
    <n v="0"/>
    <x v="0"/>
    <m/>
    <d v="2025-12-08T00:00:00"/>
    <x v="0"/>
    <m/>
    <x v="1"/>
  </r>
  <r>
    <x v="0"/>
    <m/>
    <m/>
    <s v="90 days pta"/>
    <x v="0"/>
    <n v="38336"/>
    <n v="38336"/>
    <m/>
    <x v="0"/>
    <m/>
    <m/>
    <d v="2026-02-18T00:00:00"/>
    <d v="2026-02-21T00:00:00"/>
    <n v="3"/>
    <x v="1"/>
    <n v="2"/>
    <n v="2026"/>
    <x v="0"/>
    <n v="27048.959999999999"/>
    <x v="0"/>
    <m/>
    <d v="2025-11-15T00:00:00"/>
    <x v="0"/>
    <m/>
    <x v="23"/>
  </r>
  <r>
    <x v="0"/>
    <m/>
    <m/>
    <s v="90 days pta"/>
    <x v="0"/>
    <n v="63877.440000000002"/>
    <n v="63877.440000000002"/>
    <m/>
    <x v="0"/>
    <m/>
    <m/>
    <d v="2026-02-18T00:00:00"/>
    <d v="2026-02-22T00:00:00"/>
    <n v="4"/>
    <x v="1"/>
    <n v="2"/>
    <n v="2026"/>
    <x v="0"/>
    <n v="48103.96"/>
    <x v="0"/>
    <m/>
    <d v="2025-10-09T00:00:00"/>
    <x v="0"/>
    <m/>
    <x v="23"/>
  </r>
  <r>
    <x v="0"/>
    <m/>
    <m/>
    <s v="90 days pta"/>
    <x v="0"/>
    <n v="114960"/>
    <n v="114960"/>
    <m/>
    <x v="0"/>
    <m/>
    <m/>
    <d v="2026-02-19T00:00:00"/>
    <d v="2026-03-01T00:00:00"/>
    <n v="10"/>
    <x v="1"/>
    <n v="2"/>
    <n v="2026"/>
    <x v="0"/>
    <n v="72637.899999999994"/>
    <x v="0"/>
    <m/>
    <d v="2025-04-30T00:00:00"/>
    <x v="0"/>
    <m/>
    <x v="14"/>
  </r>
  <r>
    <x v="0"/>
    <m/>
    <m/>
    <s v="90 days pta"/>
    <x v="0"/>
    <n v="50967.9"/>
    <m/>
    <n v="50967.9"/>
    <x v="5"/>
    <m/>
    <m/>
    <d v="2026-02-19T00:00:00"/>
    <d v="2026-03-05T00:00:00"/>
    <n v="14"/>
    <x v="1"/>
    <n v="2"/>
    <n v="2026"/>
    <x v="1"/>
    <n v="30467.64"/>
    <x v="0"/>
    <m/>
    <d v="2025-04-10T00:00:00"/>
    <x v="0"/>
    <m/>
    <x v="10"/>
  </r>
  <r>
    <x v="0"/>
    <m/>
    <m/>
    <s v="90 days pta"/>
    <x v="0"/>
    <m/>
    <m/>
    <m/>
    <x v="1"/>
    <m/>
    <m/>
    <d v="2026-03-19T00:00:00"/>
    <d v="2026-03-21T00:00:00"/>
    <n v="2"/>
    <x v="2"/>
    <n v="3"/>
    <n v="2026"/>
    <x v="0"/>
    <m/>
    <x v="0"/>
    <m/>
    <m/>
    <x v="0"/>
    <m/>
    <x v="9"/>
  </r>
  <r>
    <x v="0"/>
    <m/>
    <m/>
    <s v="90 days pta"/>
    <x v="0"/>
    <n v="18392"/>
    <n v="18392"/>
    <m/>
    <x v="0"/>
    <m/>
    <m/>
    <d v="2026-02-20T00:00:00"/>
    <d v="2026-03-02T00:00:00"/>
    <n v="10"/>
    <x v="1"/>
    <n v="2"/>
    <n v="2026"/>
    <x v="0"/>
    <n v="11073.8"/>
    <x v="0"/>
    <m/>
    <d v="2025-06-20T00:00:00"/>
    <x v="0"/>
    <m/>
    <x v="1"/>
  </r>
  <r>
    <x v="0"/>
    <m/>
    <m/>
    <s v="90 days pta"/>
    <x v="0"/>
    <n v="18392"/>
    <n v="18392"/>
    <m/>
    <x v="0"/>
    <m/>
    <m/>
    <d v="2026-02-20T00:00:00"/>
    <d v="2026-03-02T00:00:00"/>
    <n v="10"/>
    <x v="1"/>
    <n v="2"/>
    <n v="2026"/>
    <x v="0"/>
    <n v="11073.8"/>
    <x v="0"/>
    <m/>
    <d v="2025-06-20T00:00:00"/>
    <x v="0"/>
    <m/>
    <x v="1"/>
  </r>
  <r>
    <x v="0"/>
    <m/>
    <m/>
    <s v="90 days pta"/>
    <x v="0"/>
    <n v="70863.92"/>
    <n v="17121.98"/>
    <n v="53741.94"/>
    <x v="4"/>
    <m/>
    <m/>
    <d v="2026-02-20T00:00:00"/>
    <d v="2026-02-28T00:00:00"/>
    <n v="8"/>
    <x v="1"/>
    <n v="2"/>
    <n v="2026"/>
    <x v="1"/>
    <n v="45798.16"/>
    <x v="0"/>
    <m/>
    <d v="2025-03-15T00:00:00"/>
    <x v="0"/>
    <m/>
    <x v="1"/>
  </r>
  <r>
    <x v="0"/>
    <m/>
    <m/>
    <s v="90 days pta"/>
    <x v="0"/>
    <n v="9011.1200000000008"/>
    <n v="9011.1200000000008"/>
    <m/>
    <x v="0"/>
    <m/>
    <m/>
    <d v="2026-02-20T00:00:00"/>
    <d v="2026-02-22T00:00:00"/>
    <n v="2"/>
    <x v="1"/>
    <n v="2"/>
    <n v="2026"/>
    <x v="0"/>
    <n v="4504.82"/>
    <x v="0"/>
    <m/>
    <d v="2025-10-06T00:00:00"/>
    <x v="0"/>
    <m/>
    <x v="28"/>
  </r>
  <r>
    <x v="0"/>
    <m/>
    <m/>
    <s v="90 days pta"/>
    <x v="0"/>
    <n v="35224"/>
    <m/>
    <n v="35224"/>
    <x v="5"/>
    <m/>
    <m/>
    <d v="2026-02-20T00:00:00"/>
    <d v="2026-02-28T00:00:00"/>
    <n v="8"/>
    <x v="1"/>
    <n v="2"/>
    <n v="2026"/>
    <x v="1"/>
    <n v="19294.48"/>
    <x v="0"/>
    <m/>
    <d v="2025-05-16T00:00:00"/>
    <x v="0"/>
    <m/>
    <x v="31"/>
  </r>
  <r>
    <x v="0"/>
    <m/>
    <m/>
    <s v="90 days pta"/>
    <x v="0"/>
    <n v="7360"/>
    <m/>
    <n v="7360"/>
    <x v="5"/>
    <m/>
    <m/>
    <d v="2026-02-20T00:00:00"/>
    <d v="2026-02-21T00:00:00"/>
    <n v="1"/>
    <x v="1"/>
    <n v="2"/>
    <n v="2026"/>
    <x v="1"/>
    <n v="2867.13"/>
    <x v="0"/>
    <m/>
    <d v="2025-08-08T00:00:00"/>
    <x v="0"/>
    <m/>
    <x v="1"/>
  </r>
  <r>
    <x v="0"/>
    <m/>
    <m/>
    <s v="90 days pta"/>
    <x v="0"/>
    <n v="59272"/>
    <n v="29424"/>
    <n v="29848"/>
    <x v="4"/>
    <m/>
    <m/>
    <d v="2026-02-20T00:00:00"/>
    <d v="2026-03-06T00:00:00"/>
    <n v="14"/>
    <x v="1"/>
    <n v="2"/>
    <n v="2026"/>
    <x v="1"/>
    <n v="33765.339999999997"/>
    <x v="0"/>
    <m/>
    <d v="2025-05-16T00:00:00"/>
    <x v="0"/>
    <m/>
    <x v="1"/>
  </r>
  <r>
    <x v="0"/>
    <m/>
    <m/>
    <s v="90 days pta"/>
    <x v="0"/>
    <n v="21101"/>
    <n v="21101"/>
    <m/>
    <x v="0"/>
    <m/>
    <m/>
    <d v="2026-02-21T00:00:00"/>
    <d v="2026-03-01T00:00:00"/>
    <n v="8"/>
    <x v="1"/>
    <n v="2"/>
    <n v="2026"/>
    <x v="0"/>
    <n v="9730.34"/>
    <x v="0"/>
    <m/>
    <d v="2025-04-17T00:00:00"/>
    <x v="0"/>
    <m/>
    <x v="14"/>
  </r>
  <r>
    <x v="0"/>
    <m/>
    <m/>
    <s v="90 days pta"/>
    <x v="0"/>
    <n v="81730.45"/>
    <n v="72974.62"/>
    <n v="8755.83"/>
    <x v="4"/>
    <m/>
    <m/>
    <d v="2026-02-21T00:00:00"/>
    <d v="2026-02-28T00:00:00"/>
    <n v="7"/>
    <x v="1"/>
    <n v="2"/>
    <n v="2026"/>
    <x v="1"/>
    <n v="54619.95"/>
    <x v="0"/>
    <m/>
    <d v="2025-08-07T00:00:00"/>
    <x v="0"/>
    <m/>
    <x v="10"/>
  </r>
  <r>
    <x v="0"/>
    <m/>
    <m/>
    <s v="90 days pta"/>
    <x v="0"/>
    <n v="25101"/>
    <n v="25101"/>
    <m/>
    <x v="0"/>
    <m/>
    <m/>
    <d v="2026-02-21T00:00:00"/>
    <d v="2026-03-01T00:00:00"/>
    <n v="8"/>
    <x v="1"/>
    <n v="2"/>
    <n v="2026"/>
    <x v="0"/>
    <n v="12838.34"/>
    <x v="0"/>
    <m/>
    <d v="2025-04-17T00:00:00"/>
    <x v="0"/>
    <m/>
    <x v="14"/>
  </r>
  <r>
    <x v="0"/>
    <m/>
    <m/>
    <s v="90 days pta"/>
    <x v="0"/>
    <m/>
    <m/>
    <m/>
    <x v="1"/>
    <m/>
    <m/>
    <d v="2026-02-21T00:00:00"/>
    <d v="2026-02-24T00:00:00"/>
    <n v="3"/>
    <x v="1"/>
    <n v="2"/>
    <n v="2026"/>
    <x v="0"/>
    <n v="0"/>
    <x v="0"/>
    <m/>
    <d v="2025-10-13T00:00:00"/>
    <x v="0"/>
    <m/>
    <x v="8"/>
  </r>
  <r>
    <x v="0"/>
    <m/>
    <m/>
    <s v="90 days pta"/>
    <x v="0"/>
    <n v="34844"/>
    <m/>
    <n v="34844"/>
    <x v="5"/>
    <m/>
    <m/>
    <d v="2026-02-21T00:00:00"/>
    <d v="2026-03-01T00:00:00"/>
    <n v="8"/>
    <x v="1"/>
    <n v="2"/>
    <n v="2026"/>
    <x v="1"/>
    <n v="18882.8"/>
    <x v="0"/>
    <m/>
    <d v="2025-11-27T00:00:00"/>
    <x v="0"/>
    <m/>
    <x v="14"/>
  </r>
  <r>
    <x v="0"/>
    <m/>
    <m/>
    <s v="90 days pta"/>
    <x v="0"/>
    <n v="6085.49"/>
    <m/>
    <n v="6085.49"/>
    <x v="7"/>
    <m/>
    <m/>
    <d v="2026-02-22T00:00:00"/>
    <d v="2026-02-23T00:00:00"/>
    <n v="1"/>
    <x v="1"/>
    <n v="2"/>
    <n v="2026"/>
    <x v="1"/>
    <n v="1562.93"/>
    <x v="0"/>
    <m/>
    <d v="2025-04-16T00:00:00"/>
    <x v="0"/>
    <m/>
    <x v="1"/>
  </r>
  <r>
    <x v="0"/>
    <m/>
    <m/>
    <s v="90 days pta"/>
    <x v="0"/>
    <n v="33896"/>
    <n v="33896"/>
    <m/>
    <x v="0"/>
    <m/>
    <m/>
    <d v="2026-02-22T00:00:00"/>
    <d v="2026-03-02T00:00:00"/>
    <n v="8"/>
    <x v="1"/>
    <n v="2"/>
    <n v="2026"/>
    <x v="0"/>
    <n v="22942.639999999999"/>
    <x v="0"/>
    <m/>
    <d v="2025-11-21T00:00:00"/>
    <x v="0"/>
    <m/>
    <x v="10"/>
  </r>
  <r>
    <x v="0"/>
    <m/>
    <m/>
    <s v="90 days pta"/>
    <x v="0"/>
    <n v="46518.58"/>
    <n v="46518.58"/>
    <m/>
    <x v="0"/>
    <m/>
    <m/>
    <d v="2026-02-22T00:00:00"/>
    <d v="2026-02-27T00:00:00"/>
    <n v="5"/>
    <x v="1"/>
    <n v="2"/>
    <n v="2026"/>
    <x v="0"/>
    <n v="23634.85"/>
    <x v="0"/>
    <m/>
    <d v="2025-11-28T00:00:00"/>
    <x v="0"/>
    <m/>
    <x v="32"/>
  </r>
  <r>
    <x v="0"/>
    <m/>
    <m/>
    <s v="90 days pta"/>
    <x v="0"/>
    <n v="41191.370000000003"/>
    <m/>
    <n v="41191.370000000003"/>
    <x v="7"/>
    <m/>
    <m/>
    <d v="2026-02-23T00:00:00"/>
    <d v="2026-03-08T00:00:00"/>
    <n v="13"/>
    <x v="1"/>
    <n v="2"/>
    <n v="2026"/>
    <x v="1"/>
    <n v="20318.09"/>
    <x v="0"/>
    <m/>
    <d v="2025-04-14T00:00:00"/>
    <x v="0"/>
    <m/>
    <x v="1"/>
  </r>
  <r>
    <x v="0"/>
    <m/>
    <m/>
    <s v="90 days pta"/>
    <x v="0"/>
    <m/>
    <m/>
    <m/>
    <x v="1"/>
    <m/>
    <m/>
    <d v="2026-02-23T00:00:00"/>
    <d v="2026-03-15T00:00:00"/>
    <n v="20"/>
    <x v="1"/>
    <n v="2"/>
    <n v="2026"/>
    <x v="0"/>
    <n v="0"/>
    <x v="0"/>
    <m/>
    <d v="2025-10-31T00:00:00"/>
    <x v="0"/>
    <m/>
    <x v="0"/>
  </r>
  <r>
    <x v="0"/>
    <m/>
    <m/>
    <s v="90 days pta"/>
    <x v="0"/>
    <n v="2100"/>
    <m/>
    <n v="2100"/>
    <x v="5"/>
    <m/>
    <m/>
    <d v="2026-02-24T00:00:00"/>
    <d v="2026-03-31T00:00:00"/>
    <n v="35"/>
    <x v="1"/>
    <n v="2"/>
    <n v="2026"/>
    <x v="1"/>
    <n v="0"/>
    <x v="0"/>
    <m/>
    <d v="2025-11-24T00:00:00"/>
    <x v="0"/>
    <m/>
    <x v="25"/>
  </r>
  <r>
    <x v="0"/>
    <m/>
    <m/>
    <s v="90 days pta"/>
    <x v="0"/>
    <n v="28162"/>
    <n v="28162"/>
    <m/>
    <x v="0"/>
    <m/>
    <m/>
    <d v="2026-02-25T00:00:00"/>
    <d v="2026-03-04T00:00:00"/>
    <n v="7"/>
    <x v="1"/>
    <n v="2"/>
    <n v="2026"/>
    <x v="0"/>
    <n v="17950.59"/>
    <x v="0"/>
    <m/>
    <d v="2025-11-10T00:00:00"/>
    <x v="0"/>
    <m/>
    <x v="0"/>
  </r>
  <r>
    <x v="0"/>
    <m/>
    <m/>
    <s v="90 days pta"/>
    <x v="0"/>
    <n v="23200"/>
    <m/>
    <n v="23200"/>
    <x v="5"/>
    <m/>
    <m/>
    <d v="2026-02-25T00:00:00"/>
    <d v="2026-03-02T00:00:00"/>
    <n v="5"/>
    <x v="1"/>
    <n v="2"/>
    <n v="2026"/>
    <x v="1"/>
    <n v="12059.05"/>
    <x v="0"/>
    <m/>
    <d v="2025-05-29T00:00:00"/>
    <x v="0"/>
    <m/>
    <x v="1"/>
  </r>
  <r>
    <x v="0"/>
    <m/>
    <m/>
    <s v="90 days pta"/>
    <x v="0"/>
    <n v="34000"/>
    <m/>
    <n v="34000"/>
    <x v="5"/>
    <m/>
    <m/>
    <d v="2026-02-27T00:00:00"/>
    <d v="2026-03-04T00:00:00"/>
    <n v="5"/>
    <x v="1"/>
    <n v="2"/>
    <n v="2026"/>
    <x v="1"/>
    <n v="14388.75"/>
    <x v="0"/>
    <m/>
    <d v="2025-01-12T00:00:00"/>
    <x v="0"/>
    <m/>
    <x v="1"/>
  </r>
  <r>
    <x v="0"/>
    <m/>
    <m/>
    <s v="90 days pta"/>
    <x v="0"/>
    <m/>
    <m/>
    <m/>
    <x v="8"/>
    <m/>
    <m/>
    <d v="2026-02-28T00:00:00"/>
    <d v="2026-03-03T00:00:00"/>
    <n v="3"/>
    <x v="1"/>
    <n v="2"/>
    <n v="2026"/>
    <x v="0"/>
    <n v="0"/>
    <x v="0"/>
    <m/>
    <d v="2025-08-28T00:00:00"/>
    <x v="0"/>
    <m/>
    <x v="0"/>
  </r>
  <r>
    <x v="0"/>
    <m/>
    <m/>
    <s v="90 days pta"/>
    <x v="0"/>
    <n v="19511.64"/>
    <m/>
    <n v="19511.64"/>
    <x v="5"/>
    <m/>
    <m/>
    <d v="2026-02-28T00:00:00"/>
    <d v="2026-03-06T00:00:00"/>
    <n v="6"/>
    <x v="1"/>
    <n v="2"/>
    <n v="2026"/>
    <x v="1"/>
    <n v="10091.4"/>
    <x v="0"/>
    <m/>
    <d v="2025-06-06T00:00:00"/>
    <x v="0"/>
    <m/>
    <x v="1"/>
  </r>
  <r>
    <x v="0"/>
    <m/>
    <m/>
    <s v="90 days pta"/>
    <x v="0"/>
    <n v="99292.18"/>
    <n v="24823.05"/>
    <n v="74469.13"/>
    <x v="4"/>
    <m/>
    <m/>
    <d v="2026-03-01T00:00:00"/>
    <d v="2026-03-14T00:00:00"/>
    <n v="13"/>
    <x v="2"/>
    <n v="3"/>
    <n v="2026"/>
    <x v="1"/>
    <n v="70707.91"/>
    <x v="0"/>
    <m/>
    <d v="2025-12-03T00:00:00"/>
    <x v="0"/>
    <m/>
    <x v="33"/>
  </r>
  <r>
    <x v="0"/>
    <m/>
    <m/>
    <s v="90 days pta"/>
    <x v="0"/>
    <n v="96807.9"/>
    <n v="96807.9"/>
    <m/>
    <x v="0"/>
    <m/>
    <m/>
    <d v="2026-03-01T00:00:00"/>
    <d v="2026-03-16T00:00:00"/>
    <n v="15"/>
    <x v="2"/>
    <n v="3"/>
    <n v="2026"/>
    <x v="0"/>
    <n v="49181.85"/>
    <x v="0"/>
    <m/>
    <d v="2025-10-06T00:00:00"/>
    <x v="0"/>
    <m/>
    <x v="10"/>
  </r>
  <r>
    <x v="0"/>
    <m/>
    <m/>
    <s v="90 days pta"/>
    <x v="0"/>
    <n v="11908.34"/>
    <m/>
    <n v="11908.34"/>
    <x v="5"/>
    <m/>
    <m/>
    <d v="2026-03-01T00:00:00"/>
    <d v="2026-03-03T00:00:00"/>
    <n v="2"/>
    <x v="2"/>
    <n v="3"/>
    <n v="2026"/>
    <x v="1"/>
    <n v="7402.58"/>
    <x v="0"/>
    <m/>
    <d v="2025-11-25T00:00:00"/>
    <x v="0"/>
    <m/>
    <x v="15"/>
  </r>
  <r>
    <x v="0"/>
    <m/>
    <m/>
    <s v="90 days pta"/>
    <x v="0"/>
    <n v="57428"/>
    <m/>
    <n v="57428"/>
    <x v="5"/>
    <m/>
    <m/>
    <d v="2026-03-01T00:00:00"/>
    <d v="2026-03-09T00:00:00"/>
    <n v="8"/>
    <x v="2"/>
    <n v="3"/>
    <n v="2026"/>
    <x v="1"/>
    <n v="28266.16"/>
    <x v="0"/>
    <m/>
    <d v="2025-08-15T00:00:00"/>
    <x v="0"/>
    <m/>
    <x v="0"/>
  </r>
  <r>
    <x v="0"/>
    <m/>
    <m/>
    <s v="90 days pta"/>
    <x v="0"/>
    <n v="3900"/>
    <m/>
    <n v="3900"/>
    <x v="5"/>
    <m/>
    <m/>
    <d v="2026-03-01T00:00:00"/>
    <d v="2026-03-08T00:00:00"/>
    <n v="7"/>
    <x v="2"/>
    <n v="3"/>
    <n v="2026"/>
    <x v="1"/>
    <n v="0"/>
    <x v="0"/>
    <m/>
    <d v="2025-03-27T00:00:00"/>
    <x v="0"/>
    <m/>
    <x v="2"/>
  </r>
  <r>
    <x v="0"/>
    <m/>
    <m/>
    <s v="30 days pta"/>
    <x v="0"/>
    <m/>
    <m/>
    <m/>
    <x v="1"/>
    <m/>
    <m/>
    <d v="2026-03-02T00:00:00"/>
    <d v="2026-03-09T00:00:00"/>
    <n v="7"/>
    <x v="2"/>
    <n v="3"/>
    <n v="2026"/>
    <x v="0"/>
    <n v="0"/>
    <x v="0"/>
    <m/>
    <d v="2025-10-22T00:00:00"/>
    <x v="0"/>
    <m/>
    <x v="6"/>
  </r>
  <r>
    <x v="0"/>
    <m/>
    <m/>
    <s v="30 days pta"/>
    <x v="0"/>
    <m/>
    <m/>
    <m/>
    <x v="1"/>
    <m/>
    <m/>
    <d v="2026-03-02T00:00:00"/>
    <d v="2026-03-04T00:00:00"/>
    <n v="2"/>
    <x v="2"/>
    <n v="3"/>
    <n v="2026"/>
    <x v="0"/>
    <n v="0"/>
    <x v="0"/>
    <m/>
    <d v="2025-10-31T00:00:00"/>
    <x v="0"/>
    <m/>
    <x v="23"/>
  </r>
  <r>
    <x v="0"/>
    <m/>
    <m/>
    <s v="30 days pta"/>
    <x v="0"/>
    <m/>
    <m/>
    <m/>
    <x v="2"/>
    <m/>
    <m/>
    <d v="2026-03-02T00:00:00"/>
    <d v="2026-03-22T00:00:00"/>
    <n v="20"/>
    <x v="2"/>
    <n v="3"/>
    <n v="2026"/>
    <x v="0"/>
    <n v="12751.8"/>
    <x v="0"/>
    <m/>
    <d v="2025-12-07T00:00:00"/>
    <x v="0"/>
    <m/>
    <x v="34"/>
  </r>
  <r>
    <x v="0"/>
    <m/>
    <m/>
    <s v="30 days pta"/>
    <x v="0"/>
    <n v="25968"/>
    <m/>
    <n v="25968"/>
    <x v="5"/>
    <m/>
    <m/>
    <d v="2026-03-03T00:00:00"/>
    <d v="2026-03-05T00:00:00"/>
    <n v="2"/>
    <x v="2"/>
    <n v="3"/>
    <n v="2026"/>
    <x v="1"/>
    <n v="10011.66"/>
    <x v="0"/>
    <m/>
    <d v="2025-12-08T00:00:00"/>
    <x v="0"/>
    <m/>
    <x v="5"/>
  </r>
  <r>
    <x v="0"/>
    <m/>
    <m/>
    <s v="30 days pta"/>
    <x v="0"/>
    <n v="18792.36"/>
    <m/>
    <n v="18792.36"/>
    <x v="5"/>
    <m/>
    <m/>
    <d v="2026-03-03T00:00:00"/>
    <d v="2026-03-06T00:00:00"/>
    <n v="3"/>
    <x v="2"/>
    <n v="3"/>
    <n v="2026"/>
    <x v="1"/>
    <n v="13988.37"/>
    <x v="0"/>
    <m/>
    <d v="2025-11-25T00:00:00"/>
    <x v="0"/>
    <m/>
    <x v="15"/>
  </r>
  <r>
    <x v="0"/>
    <m/>
    <m/>
    <s v="30 days pta"/>
    <x v="0"/>
    <m/>
    <m/>
    <m/>
    <x v="1"/>
    <m/>
    <m/>
    <d v="2026-03-04T00:00:00"/>
    <d v="2026-03-26T00:00:00"/>
    <n v="22"/>
    <x v="2"/>
    <n v="3"/>
    <n v="2026"/>
    <x v="0"/>
    <n v="0"/>
    <x v="0"/>
    <m/>
    <d v="2025-09-22T00:00:00"/>
    <x v="0"/>
    <m/>
    <x v="10"/>
  </r>
  <r>
    <x v="0"/>
    <m/>
    <m/>
    <s v="30 days pta"/>
    <x v="0"/>
    <m/>
    <m/>
    <m/>
    <x v="1"/>
    <m/>
    <m/>
    <d v="2026-03-04T00:00:00"/>
    <d v="2026-03-09T00:00:00"/>
    <n v="5"/>
    <x v="2"/>
    <n v="3"/>
    <n v="2026"/>
    <x v="0"/>
    <n v="0"/>
    <x v="0"/>
    <m/>
    <d v="2025-11-07T00:00:00"/>
    <x v="0"/>
    <m/>
    <x v="16"/>
  </r>
  <r>
    <x v="0"/>
    <m/>
    <m/>
    <s v="30 days pta"/>
    <x v="0"/>
    <n v="22568"/>
    <m/>
    <n v="22568"/>
    <x v="5"/>
    <m/>
    <m/>
    <d v="2026-03-06T00:00:00"/>
    <d v="2026-03-11T00:00:00"/>
    <n v="5"/>
    <x v="2"/>
    <n v="3"/>
    <n v="2026"/>
    <x v="1"/>
    <n v="13984.45"/>
    <x v="0"/>
    <m/>
    <d v="2025-03-01T00:00:00"/>
    <x v="0"/>
    <m/>
    <x v="1"/>
  </r>
  <r>
    <x v="0"/>
    <m/>
    <m/>
    <s v="30 days pta"/>
    <x v="0"/>
    <n v="36124"/>
    <m/>
    <n v="36124"/>
    <x v="5"/>
    <m/>
    <m/>
    <d v="2026-03-07T00:00:00"/>
    <d v="2026-03-09T00:00:00"/>
    <n v="2"/>
    <x v="2"/>
    <n v="3"/>
    <n v="2026"/>
    <x v="1"/>
    <n v="0"/>
    <x v="0"/>
    <m/>
    <d v="2025-12-02T00:00:00"/>
    <x v="0"/>
    <m/>
    <x v="15"/>
  </r>
  <r>
    <x v="0"/>
    <m/>
    <m/>
    <s v="30 days pta"/>
    <x v="0"/>
    <m/>
    <m/>
    <m/>
    <x v="1"/>
    <m/>
    <m/>
    <d v="2026-03-08T00:00:00"/>
    <d v="2026-03-15T00:00:00"/>
    <n v="7"/>
    <x v="2"/>
    <n v="3"/>
    <n v="2026"/>
    <x v="0"/>
    <n v="0"/>
    <x v="0"/>
    <m/>
    <d v="2025-11-18T00:00:00"/>
    <x v="0"/>
    <m/>
    <x v="5"/>
  </r>
  <r>
    <x v="0"/>
    <m/>
    <m/>
    <s v="30 days pta"/>
    <x v="0"/>
    <m/>
    <m/>
    <m/>
    <x v="1"/>
    <m/>
    <m/>
    <d v="2026-03-10T00:00:00"/>
    <d v="2026-03-12T00:00:00"/>
    <n v="2"/>
    <x v="2"/>
    <n v="3"/>
    <n v="2026"/>
    <x v="0"/>
    <n v="0"/>
    <x v="0"/>
    <m/>
    <d v="2025-12-10T00:00:00"/>
    <x v="0"/>
    <m/>
    <x v="0"/>
  </r>
  <r>
    <x v="0"/>
    <m/>
    <m/>
    <s v="30 days pta"/>
    <x v="0"/>
    <n v="36124"/>
    <m/>
    <n v="36124"/>
    <x v="5"/>
    <m/>
    <m/>
    <d v="2026-03-11T00:00:00"/>
    <d v="2026-03-22T00:00:00"/>
    <n v="11"/>
    <x v="2"/>
    <n v="3"/>
    <n v="2026"/>
    <x v="1"/>
    <n v="21468.48"/>
    <x v="0"/>
    <m/>
    <d v="2025-08-08T00:00:00"/>
    <x v="0"/>
    <m/>
    <x v="7"/>
  </r>
  <r>
    <x v="0"/>
    <m/>
    <m/>
    <s v="30 days pta"/>
    <x v="0"/>
    <n v="24690"/>
    <m/>
    <n v="24690"/>
    <x v="5"/>
    <m/>
    <m/>
    <d v="2026-03-12T00:00:00"/>
    <d v="2026-03-22T00:00:00"/>
    <n v="10"/>
    <x v="2"/>
    <n v="3"/>
    <n v="2026"/>
    <x v="1"/>
    <n v="12649.6"/>
    <x v="0"/>
    <m/>
    <d v="2025-11-25T00:00:00"/>
    <x v="0"/>
    <m/>
    <x v="10"/>
  </r>
  <r>
    <x v="0"/>
    <m/>
    <m/>
    <s v="30 days pta"/>
    <x v="0"/>
    <n v="20476"/>
    <n v="5119"/>
    <n v="15357"/>
    <x v="4"/>
    <m/>
    <m/>
    <d v="2026-03-12T00:00:00"/>
    <d v="2026-03-18T00:00:00"/>
    <n v="6"/>
    <x v="2"/>
    <n v="3"/>
    <n v="2026"/>
    <x v="1"/>
    <n v="12236.7"/>
    <x v="0"/>
    <m/>
    <d v="2025-11-06T00:00:00"/>
    <x v="0"/>
    <m/>
    <x v="0"/>
  </r>
  <r>
    <x v="0"/>
    <m/>
    <m/>
    <s v="30 days pta"/>
    <x v="0"/>
    <m/>
    <m/>
    <m/>
    <x v="1"/>
    <m/>
    <m/>
    <d v="2026-03-13T00:00:00"/>
    <d v="2026-03-15T00:00:00"/>
    <n v="2"/>
    <x v="2"/>
    <n v="3"/>
    <n v="2026"/>
    <x v="0"/>
    <n v="0"/>
    <x v="0"/>
    <m/>
    <d v="2025-05-22T00:00:00"/>
    <x v="0"/>
    <m/>
    <x v="15"/>
  </r>
  <r>
    <x v="0"/>
    <m/>
    <m/>
    <s v="30 days pta"/>
    <x v="0"/>
    <n v="72623.899999999994"/>
    <n v="18155.98"/>
    <n v="54467.92"/>
    <x v="4"/>
    <m/>
    <m/>
    <d v="2026-03-13T00:00:00"/>
    <d v="2026-03-23T00:00:00"/>
    <n v="10"/>
    <x v="2"/>
    <n v="3"/>
    <n v="2026"/>
    <x v="1"/>
    <n v="39311.599999999999"/>
    <x v="0"/>
    <m/>
    <d v="2025-11-14T00:00:00"/>
    <x v="0"/>
    <m/>
    <x v="15"/>
  </r>
  <r>
    <x v="0"/>
    <m/>
    <m/>
    <s v="30 days pta"/>
    <x v="0"/>
    <n v="77900.639999999999"/>
    <m/>
    <n v="77900.639999999999"/>
    <x v="5"/>
    <m/>
    <m/>
    <d v="2026-03-14T00:00:00"/>
    <d v="2026-03-22T00:00:00"/>
    <n v="8"/>
    <x v="2"/>
    <n v="3"/>
    <n v="2026"/>
    <x v="1"/>
    <n v="50130.239999999998"/>
    <x v="0"/>
    <m/>
    <d v="2025-10-04T00:00:00"/>
    <x v="0"/>
    <m/>
    <x v="0"/>
  </r>
  <r>
    <x v="0"/>
    <m/>
    <m/>
    <s v="30 days pta"/>
    <x v="0"/>
    <n v="10825"/>
    <m/>
    <n v="10825"/>
    <x v="5"/>
    <m/>
    <m/>
    <d v="2026-03-14T00:00:00"/>
    <d v="2026-03-21T00:00:00"/>
    <n v="7"/>
    <x v="2"/>
    <n v="3"/>
    <n v="2026"/>
    <x v="1"/>
    <n v="3851.47"/>
    <x v="0"/>
    <m/>
    <d v="2025-11-10T00:00:00"/>
    <x v="0"/>
    <m/>
    <x v="15"/>
  </r>
  <r>
    <x v="0"/>
    <m/>
    <m/>
    <s v="30 days pta"/>
    <x v="0"/>
    <m/>
    <m/>
    <m/>
    <x v="1"/>
    <m/>
    <m/>
    <d v="2026-03-15T00:00:00"/>
    <d v="2026-05-15T00:00:00"/>
    <n v="61"/>
    <x v="2"/>
    <n v="3"/>
    <n v="2026"/>
    <x v="0"/>
    <n v="0"/>
    <x v="0"/>
    <m/>
    <d v="2025-09-18T00:00:00"/>
    <x v="0"/>
    <m/>
    <x v="0"/>
  </r>
  <r>
    <x v="0"/>
    <m/>
    <m/>
    <s v="30 days pta"/>
    <x v="0"/>
    <n v="13625"/>
    <m/>
    <n v="13625"/>
    <x v="5"/>
    <m/>
    <m/>
    <d v="2026-03-15T00:00:00"/>
    <d v="2026-03-18T00:00:00"/>
    <n v="3"/>
    <x v="2"/>
    <n v="3"/>
    <n v="2026"/>
    <x v="1"/>
    <n v="7335.93"/>
    <x v="0"/>
    <m/>
    <d v="2025-11-30T00:00:00"/>
    <x v="0"/>
    <m/>
    <x v="1"/>
  </r>
  <r>
    <x v="0"/>
    <m/>
    <m/>
    <s v="30 days pta"/>
    <x v="0"/>
    <n v="15076"/>
    <n v="1507.6"/>
    <n v="13568.4"/>
    <x v="4"/>
    <m/>
    <m/>
    <d v="2026-03-15T00:00:00"/>
    <d v="2026-03-19T00:00:00"/>
    <n v="4"/>
    <x v="2"/>
    <n v="3"/>
    <n v="2026"/>
    <x v="1"/>
    <n v="8516.48"/>
    <x v="0"/>
    <m/>
    <d v="2025-11-18T00:00:00"/>
    <x v="0"/>
    <m/>
    <x v="31"/>
  </r>
  <r>
    <x v="0"/>
    <m/>
    <m/>
    <s v="30 days pta"/>
    <x v="0"/>
    <n v="7669"/>
    <m/>
    <n v="7669"/>
    <x v="5"/>
    <m/>
    <m/>
    <d v="2026-03-16T00:00:00"/>
    <d v="2026-03-22T00:00:00"/>
    <n v="6"/>
    <x v="2"/>
    <n v="3"/>
    <n v="2026"/>
    <x v="1"/>
    <n v="4899.24"/>
    <x v="0"/>
    <m/>
    <d v="2025-08-08T00:00:00"/>
    <x v="0"/>
    <m/>
    <x v="15"/>
  </r>
  <r>
    <x v="0"/>
    <m/>
    <m/>
    <s v="30 days pta"/>
    <x v="0"/>
    <n v="38890"/>
    <n v="9722.5"/>
    <n v="29167.5"/>
    <x v="4"/>
    <m/>
    <m/>
    <d v="2026-03-16T00:00:00"/>
    <d v="2026-03-21T00:00:00"/>
    <n v="5"/>
    <x v="2"/>
    <n v="3"/>
    <n v="2026"/>
    <x v="1"/>
    <n v="18479.099999999999"/>
    <x v="0"/>
    <m/>
    <d v="2025-11-15T00:00:00"/>
    <x v="0"/>
    <m/>
    <x v="15"/>
  </r>
  <r>
    <x v="0"/>
    <m/>
    <m/>
    <s v="30 days pta"/>
    <x v="0"/>
    <n v="15822"/>
    <m/>
    <n v="15822"/>
    <x v="5"/>
    <m/>
    <m/>
    <d v="2026-03-17T00:00:00"/>
    <d v="2026-03-21T00:00:00"/>
    <n v="4"/>
    <x v="2"/>
    <n v="3"/>
    <n v="2026"/>
    <x v="1"/>
    <n v="9943.52"/>
    <x v="0"/>
    <m/>
    <d v="2025-09-24T00:00:00"/>
    <x v="0"/>
    <m/>
    <x v="5"/>
  </r>
  <r>
    <x v="0"/>
    <m/>
    <m/>
    <s v="30 days pta"/>
    <x v="0"/>
    <n v="12726"/>
    <m/>
    <n v="12726"/>
    <x v="5"/>
    <m/>
    <m/>
    <d v="2026-03-17T00:00:00"/>
    <d v="2026-03-21T00:00:00"/>
    <n v="4"/>
    <x v="2"/>
    <n v="3"/>
    <n v="2026"/>
    <x v="1"/>
    <n v="8122.76"/>
    <x v="0"/>
    <m/>
    <d v="2025-04-26T00:00:00"/>
    <x v="0"/>
    <m/>
    <x v="27"/>
  </r>
  <r>
    <x v="0"/>
    <m/>
    <m/>
    <s v="30 days pta"/>
    <x v="0"/>
    <n v="19008"/>
    <m/>
    <n v="19008"/>
    <x v="5"/>
    <m/>
    <m/>
    <d v="2026-03-18T00:00:00"/>
    <d v="2026-03-25T00:00:00"/>
    <n v="7"/>
    <x v="2"/>
    <n v="3"/>
    <n v="2026"/>
    <x v="1"/>
    <n v="11698.75"/>
    <x v="0"/>
    <m/>
    <d v="2025-02-18T00:00:00"/>
    <x v="0"/>
    <m/>
    <x v="1"/>
  </r>
  <r>
    <x v="0"/>
    <m/>
    <m/>
    <s v="30 days pta"/>
    <x v="0"/>
    <n v="59031.6"/>
    <m/>
    <n v="59031.6"/>
    <x v="5"/>
    <m/>
    <m/>
    <d v="2026-03-18T00:00:00"/>
    <d v="2026-03-28T00:00:00"/>
    <n v="10"/>
    <x v="2"/>
    <n v="3"/>
    <n v="2026"/>
    <x v="1"/>
    <n v="35352.9"/>
    <x v="0"/>
    <m/>
    <d v="2025-11-22T00:00:00"/>
    <x v="0"/>
    <m/>
    <x v="26"/>
  </r>
  <r>
    <x v="0"/>
    <m/>
    <m/>
    <s v="30 days pta"/>
    <x v="0"/>
    <m/>
    <m/>
    <m/>
    <x v="1"/>
    <m/>
    <m/>
    <d v="2026-03-19T00:00:00"/>
    <d v="2026-03-23T00:00:00"/>
    <n v="4"/>
    <x v="2"/>
    <n v="3"/>
    <n v="2026"/>
    <x v="0"/>
    <n v="0"/>
    <x v="0"/>
    <m/>
    <d v="2025-11-20T00:00:00"/>
    <x v="0"/>
    <m/>
    <x v="25"/>
  </r>
  <r>
    <x v="0"/>
    <m/>
    <m/>
    <s v="30 days pta"/>
    <x v="0"/>
    <n v="27408"/>
    <m/>
    <n v="27408"/>
    <x v="5"/>
    <m/>
    <m/>
    <d v="2026-03-20T00:00:00"/>
    <d v="2026-03-27T00:00:00"/>
    <n v="7"/>
    <x v="2"/>
    <n v="3"/>
    <n v="2026"/>
    <x v="1"/>
    <n v="7465.29"/>
    <x v="0"/>
    <m/>
    <d v="2025-11-25T00:00:00"/>
    <x v="0"/>
    <m/>
    <x v="16"/>
  </r>
  <r>
    <x v="0"/>
    <m/>
    <m/>
    <s v="30 days pta"/>
    <x v="0"/>
    <n v="37190"/>
    <n v="9297.5"/>
    <n v="27892.5"/>
    <x v="4"/>
    <m/>
    <m/>
    <d v="2026-03-22T00:00:00"/>
    <d v="2026-03-27T00:00:00"/>
    <n v="5"/>
    <x v="2"/>
    <n v="3"/>
    <n v="2026"/>
    <x v="1"/>
    <n v="23389.8"/>
    <x v="0"/>
    <m/>
    <d v="2025-11-25T00:00:00"/>
    <x v="0"/>
    <m/>
    <x v="15"/>
  </r>
  <r>
    <x v="0"/>
    <m/>
    <m/>
    <s v="30 days pta"/>
    <x v="0"/>
    <n v="24670"/>
    <n v="6167.5"/>
    <n v="18502.5"/>
    <x v="4"/>
    <m/>
    <m/>
    <d v="2026-03-22T00:00:00"/>
    <d v="2026-03-27T00:00:00"/>
    <n v="5"/>
    <x v="2"/>
    <n v="3"/>
    <n v="2026"/>
    <x v="1"/>
    <n v="16330.9"/>
    <x v="0"/>
    <m/>
    <d v="2025-11-25T00:00:00"/>
    <x v="0"/>
    <m/>
    <x v="15"/>
  </r>
  <r>
    <x v="0"/>
    <m/>
    <m/>
    <s v="30 days pta"/>
    <x v="0"/>
    <n v="34490"/>
    <n v="8622.5"/>
    <n v="25867.5"/>
    <x v="4"/>
    <m/>
    <m/>
    <d v="2026-03-22T00:00:00"/>
    <d v="2026-03-27T00:00:00"/>
    <n v="5"/>
    <x v="2"/>
    <n v="3"/>
    <n v="2026"/>
    <x v="1"/>
    <n v="21329.35"/>
    <x v="0"/>
    <m/>
    <d v="2025-11-25T00:00:00"/>
    <x v="0"/>
    <m/>
    <x v="15"/>
  </r>
  <r>
    <x v="0"/>
    <m/>
    <m/>
    <s v="30 days pta"/>
    <x v="0"/>
    <n v="37494"/>
    <m/>
    <n v="37494"/>
    <x v="5"/>
    <m/>
    <m/>
    <d v="2026-03-22T00:00:00"/>
    <d v="2026-03-25T00:00:00"/>
    <n v="3"/>
    <x v="2"/>
    <n v="3"/>
    <n v="2026"/>
    <x v="1"/>
    <n v="26568.21"/>
    <x v="0"/>
    <m/>
    <d v="2025-09-10T00:00:00"/>
    <x v="0"/>
    <m/>
    <x v="15"/>
  </r>
  <r>
    <x v="0"/>
    <m/>
    <m/>
    <s v="30 days pta"/>
    <x v="0"/>
    <n v="53817"/>
    <n v="13454.25"/>
    <n v="40362.75"/>
    <x v="4"/>
    <m/>
    <m/>
    <d v="2026-03-22T00:00:00"/>
    <d v="2026-03-28T00:00:00"/>
    <n v="6"/>
    <x v="2"/>
    <n v="3"/>
    <n v="2026"/>
    <x v="1"/>
    <n v="0"/>
    <x v="0"/>
    <m/>
    <d v="2025-11-26T00:00:00"/>
    <x v="0"/>
    <m/>
    <x v="0"/>
  </r>
  <r>
    <x v="0"/>
    <m/>
    <m/>
    <s v="30 days pta"/>
    <x v="0"/>
    <n v="25030"/>
    <n v="5445"/>
    <n v="19585"/>
    <x v="4"/>
    <m/>
    <m/>
    <d v="2026-03-24T00:00:00"/>
    <d v="2026-03-29T00:00:00"/>
    <n v="5"/>
    <x v="2"/>
    <n v="3"/>
    <n v="2026"/>
    <x v="1"/>
    <n v="16056.15"/>
    <x v="0"/>
    <m/>
    <d v="2025-10-20T00:00:00"/>
    <x v="0"/>
    <m/>
    <x v="10"/>
  </r>
  <r>
    <x v="0"/>
    <m/>
    <m/>
    <s v="30 days pta"/>
    <x v="0"/>
    <n v="168692.4"/>
    <m/>
    <n v="168692.4"/>
    <x v="7"/>
    <m/>
    <m/>
    <d v="2026-03-25T00:00:00"/>
    <d v="2026-04-06T00:00:00"/>
    <n v="12"/>
    <x v="2"/>
    <n v="3"/>
    <n v="2026"/>
    <x v="1"/>
    <n v="0"/>
    <x v="0"/>
    <m/>
    <d v="2025-05-14T00:00:00"/>
    <x v="0"/>
    <m/>
    <x v="1"/>
  </r>
  <r>
    <x v="0"/>
    <m/>
    <m/>
    <s v="30 days pta"/>
    <x v="0"/>
    <m/>
    <m/>
    <m/>
    <x v="1"/>
    <m/>
    <m/>
    <d v="2026-03-25T00:00:00"/>
    <d v="2026-04-15T00:00:00"/>
    <n v="21"/>
    <x v="2"/>
    <n v="3"/>
    <n v="2026"/>
    <x v="0"/>
    <n v="0"/>
    <x v="0"/>
    <m/>
    <d v="2025-03-28T00:00:00"/>
    <x v="0"/>
    <m/>
    <x v="27"/>
  </r>
  <r>
    <x v="0"/>
    <m/>
    <m/>
    <s v="30 days pta"/>
    <x v="0"/>
    <n v="33311"/>
    <m/>
    <n v="33311"/>
    <x v="5"/>
    <m/>
    <m/>
    <d v="2026-03-27T00:00:00"/>
    <d v="2026-04-05T00:00:00"/>
    <n v="9"/>
    <x v="2"/>
    <n v="3"/>
    <n v="2026"/>
    <x v="1"/>
    <n v="0"/>
    <x v="0"/>
    <m/>
    <d v="2025-06-30T00:00:00"/>
    <x v="0"/>
    <m/>
    <x v="16"/>
  </r>
  <r>
    <x v="0"/>
    <m/>
    <m/>
    <s v="30 days pta"/>
    <x v="0"/>
    <n v="20213"/>
    <m/>
    <n v="20213"/>
    <x v="5"/>
    <m/>
    <m/>
    <d v="2026-03-27T00:00:00"/>
    <d v="2026-03-29T00:00:00"/>
    <n v="2"/>
    <x v="2"/>
    <n v="3"/>
    <n v="2026"/>
    <x v="1"/>
    <n v="12280.5"/>
    <x v="0"/>
    <m/>
    <d v="2025-05-15T00:00:00"/>
    <x v="0"/>
    <m/>
    <x v="1"/>
  </r>
  <r>
    <x v="0"/>
    <m/>
    <m/>
    <s v="30 days pta"/>
    <x v="0"/>
    <n v="51327.32"/>
    <m/>
    <n v="51327.32"/>
    <x v="5"/>
    <m/>
    <m/>
    <d v="2026-03-27T00:00:00"/>
    <d v="2026-04-03T00:00:00"/>
    <n v="7"/>
    <x v="2"/>
    <n v="3"/>
    <n v="2026"/>
    <x v="1"/>
    <n v="20498.59"/>
    <x v="0"/>
    <m/>
    <d v="2025-10-28T00:00:00"/>
    <x v="0"/>
    <m/>
    <x v="1"/>
  </r>
  <r>
    <x v="0"/>
    <m/>
    <m/>
    <s v="30 days pta"/>
    <x v="0"/>
    <n v="110000"/>
    <n v="27500"/>
    <n v="82500"/>
    <x v="4"/>
    <m/>
    <m/>
    <d v="2026-03-28T00:00:00"/>
    <d v="2026-04-09T00:00:00"/>
    <n v="12"/>
    <x v="2"/>
    <n v="3"/>
    <n v="2026"/>
    <x v="1"/>
    <n v="65174.879999999997"/>
    <x v="0"/>
    <m/>
    <d v="2025-08-10T00:00:00"/>
    <x v="0"/>
    <m/>
    <x v="7"/>
  </r>
  <r>
    <x v="0"/>
    <m/>
    <m/>
    <s v="30 days pta"/>
    <x v="0"/>
    <n v="60000"/>
    <m/>
    <n v="60000"/>
    <x v="7"/>
    <m/>
    <m/>
    <d v="2026-03-28T00:00:00"/>
    <d v="2026-04-06T00:00:00"/>
    <n v="9"/>
    <x v="2"/>
    <n v="3"/>
    <n v="2026"/>
    <x v="1"/>
    <n v="35097.03"/>
    <x v="0"/>
    <m/>
    <d v="2025-08-29T00:00:00"/>
    <x v="0"/>
    <m/>
    <x v="7"/>
  </r>
  <r>
    <x v="0"/>
    <m/>
    <m/>
    <s v="30 days pta"/>
    <x v="0"/>
    <n v="128216"/>
    <m/>
    <n v="128216"/>
    <x v="5"/>
    <m/>
    <m/>
    <d v="2026-03-28T00:00:00"/>
    <d v="2026-04-10T00:00:00"/>
    <n v="13"/>
    <x v="2"/>
    <n v="3"/>
    <n v="2026"/>
    <x v="1"/>
    <n v="80136.42"/>
    <x v="0"/>
    <m/>
    <d v="2024-08-16T00:00:00"/>
    <x v="0"/>
    <m/>
    <x v="7"/>
  </r>
  <r>
    <x v="0"/>
    <m/>
    <m/>
    <s v="90 days pta"/>
    <x v="0"/>
    <n v="39132"/>
    <n v="9783"/>
    <n v="29349"/>
    <x v="4"/>
    <m/>
    <m/>
    <d v="2026-03-29T00:00:00"/>
    <d v="2026-04-10T00:00:00"/>
    <n v="12"/>
    <x v="2"/>
    <n v="3"/>
    <n v="2026"/>
    <x v="1"/>
    <n v="17062.919999999998"/>
    <x v="0"/>
    <m/>
    <d v="2025-08-01T00:00:00"/>
    <x v="0"/>
    <m/>
    <x v="7"/>
  </r>
  <r>
    <x v="0"/>
    <m/>
    <m/>
    <s v="90 days pta"/>
    <x v="0"/>
    <n v="61062.2"/>
    <m/>
    <n v="61062.2"/>
    <x v="5"/>
    <m/>
    <m/>
    <d v="2026-03-29T00:00:00"/>
    <d v="2026-04-05T00:00:00"/>
    <n v="7"/>
    <x v="2"/>
    <n v="3"/>
    <n v="2026"/>
    <x v="1"/>
    <n v="39581.22"/>
    <x v="0"/>
    <m/>
    <d v="2025-08-17T00:00:00"/>
    <x v="0"/>
    <m/>
    <x v="35"/>
  </r>
  <r>
    <x v="0"/>
    <m/>
    <m/>
    <s v="90 days pta"/>
    <x v="0"/>
    <n v="168644.08"/>
    <n v="63930.5"/>
    <n v="104713.58"/>
    <x v="4"/>
    <m/>
    <m/>
    <d v="2026-03-29T00:00:00"/>
    <d v="2026-04-07T00:00:00"/>
    <n v="9"/>
    <x v="2"/>
    <n v="3"/>
    <n v="2026"/>
    <x v="1"/>
    <n v="87221.16"/>
    <x v="0"/>
    <m/>
    <d v="2025-05-15T00:00:00"/>
    <x v="0"/>
    <m/>
    <x v="1"/>
  </r>
  <r>
    <x v="0"/>
    <m/>
    <m/>
    <s v="90 days pta"/>
    <x v="0"/>
    <n v="259536"/>
    <n v="64884"/>
    <n v="194652"/>
    <x v="4"/>
    <m/>
    <m/>
    <d v="2026-03-29T00:00:00"/>
    <d v="2026-04-11T00:00:00"/>
    <n v="13"/>
    <x v="2"/>
    <n v="3"/>
    <n v="2026"/>
    <x v="1"/>
    <n v="178230.26"/>
    <x v="0"/>
    <m/>
    <d v="2025-08-02T00:00:00"/>
    <x v="0"/>
    <m/>
    <x v="7"/>
  </r>
  <r>
    <x v="0"/>
    <m/>
    <m/>
    <s v="90 days pta"/>
    <x v="0"/>
    <n v="124950.39999999999"/>
    <m/>
    <n v="124950.39999999999"/>
    <x v="5"/>
    <m/>
    <m/>
    <d v="2026-03-29T00:00:00"/>
    <d v="2026-04-12T00:00:00"/>
    <n v="14"/>
    <x v="2"/>
    <n v="3"/>
    <n v="2026"/>
    <x v="1"/>
    <n v="73710.42"/>
    <x v="0"/>
    <m/>
    <d v="2025-03-05T00:00:00"/>
    <x v="0"/>
    <m/>
    <x v="1"/>
  </r>
  <r>
    <x v="0"/>
    <m/>
    <m/>
    <s v="90 days pta"/>
    <x v="0"/>
    <m/>
    <m/>
    <m/>
    <x v="1"/>
    <m/>
    <m/>
    <d v="2026-03-29T00:00:00"/>
    <d v="2026-04-07T00:00:00"/>
    <n v="9"/>
    <x v="2"/>
    <n v="3"/>
    <n v="2026"/>
    <x v="0"/>
    <n v="0"/>
    <x v="0"/>
    <m/>
    <d v="2025-11-23T00:00:00"/>
    <x v="0"/>
    <m/>
    <x v="10"/>
  </r>
  <r>
    <x v="0"/>
    <m/>
    <m/>
    <s v="90 days pta"/>
    <x v="0"/>
    <n v="50628"/>
    <m/>
    <n v="50628"/>
    <x v="5"/>
    <m/>
    <m/>
    <d v="2026-03-29T00:00:00"/>
    <d v="2026-04-03T00:00:00"/>
    <n v="5"/>
    <x v="2"/>
    <n v="3"/>
    <n v="2026"/>
    <x v="1"/>
    <n v="30216"/>
    <x v="0"/>
    <m/>
    <d v="2025-07-25T00:00:00"/>
    <x v="0"/>
    <m/>
    <x v="15"/>
  </r>
  <r>
    <x v="0"/>
    <m/>
    <m/>
    <s v="90 days pta"/>
    <x v="0"/>
    <n v="57089.5"/>
    <n v="14272.38"/>
    <n v="42817.120000000003"/>
    <x v="4"/>
    <m/>
    <m/>
    <d v="2026-03-30T00:00:00"/>
    <d v="2026-04-09T00:00:00"/>
    <n v="10"/>
    <x v="2"/>
    <n v="3"/>
    <n v="2026"/>
    <x v="1"/>
    <n v="33044.9"/>
    <x v="0"/>
    <m/>
    <d v="2025-08-06T00:00:00"/>
    <x v="0"/>
    <m/>
    <x v="1"/>
  </r>
  <r>
    <x v="0"/>
    <m/>
    <m/>
    <s v="90 days pta"/>
    <x v="0"/>
    <n v="57089.5"/>
    <n v="14272.37"/>
    <n v="42817.13"/>
    <x v="4"/>
    <m/>
    <m/>
    <d v="2026-03-30T00:00:00"/>
    <d v="2026-04-09T00:00:00"/>
    <n v="10"/>
    <x v="2"/>
    <n v="3"/>
    <n v="2026"/>
    <x v="1"/>
    <n v="33044.9"/>
    <x v="0"/>
    <m/>
    <d v="2025-08-06T00:00:00"/>
    <x v="0"/>
    <m/>
    <x v="1"/>
  </r>
  <r>
    <x v="0"/>
    <m/>
    <m/>
    <s v="90 days pta"/>
    <x v="0"/>
    <n v="43724"/>
    <n v="10931"/>
    <n v="32793"/>
    <x v="4"/>
    <m/>
    <m/>
    <d v="2026-03-30T00:00:00"/>
    <d v="2026-04-09T00:00:00"/>
    <n v="10"/>
    <x v="2"/>
    <n v="3"/>
    <n v="2026"/>
    <x v="1"/>
    <n v="24980.2"/>
    <x v="0"/>
    <m/>
    <d v="2025-08-06T00:00:00"/>
    <x v="0"/>
    <m/>
    <x v="1"/>
  </r>
  <r>
    <x v="0"/>
    <m/>
    <m/>
    <s v="90 days pta"/>
    <x v="0"/>
    <n v="114897"/>
    <n v="114897"/>
    <m/>
    <x v="0"/>
    <m/>
    <m/>
    <d v="2026-03-31T00:00:00"/>
    <d v="2026-04-06T00:00:00"/>
    <n v="6"/>
    <x v="2"/>
    <n v="3"/>
    <n v="2026"/>
    <x v="0"/>
    <n v="76026.36"/>
    <x v="0"/>
    <m/>
    <d v="2025-11-09T00:00:00"/>
    <x v="0"/>
    <m/>
    <x v="23"/>
  </r>
  <r>
    <x v="0"/>
    <m/>
    <m/>
    <s v="90 days pta"/>
    <x v="0"/>
    <n v="31929"/>
    <n v="7982.25"/>
    <n v="23946.75"/>
    <x v="4"/>
    <m/>
    <m/>
    <d v="2026-04-01T00:00:00"/>
    <d v="2026-04-10T00:00:00"/>
    <n v="9"/>
    <x v="3"/>
    <n v="4"/>
    <n v="2026"/>
    <x v="1"/>
    <n v="18587.79"/>
    <x v="0"/>
    <m/>
    <d v="2024-05-24T00:00:00"/>
    <x v="0"/>
    <m/>
    <x v="7"/>
  </r>
  <r>
    <x v="0"/>
    <m/>
    <m/>
    <s v="90 days pta"/>
    <x v="0"/>
    <n v="83356"/>
    <n v="28164.5"/>
    <n v="55191.5"/>
    <x v="4"/>
    <m/>
    <m/>
    <d v="2026-04-01T00:00:00"/>
    <d v="2026-04-10T00:00:00"/>
    <n v="9"/>
    <x v="3"/>
    <n v="4"/>
    <n v="2026"/>
    <x v="1"/>
    <n v="56583.9"/>
    <x v="0"/>
    <m/>
    <d v="2024-05-02T00:00:00"/>
    <x v="0"/>
    <m/>
    <x v="7"/>
  </r>
  <r>
    <x v="0"/>
    <m/>
    <m/>
    <s v="90 days pta"/>
    <x v="0"/>
    <m/>
    <m/>
    <m/>
    <x v="1"/>
    <m/>
    <m/>
    <d v="2026-04-02T00:00:00"/>
    <d v="2026-04-10T00:00:00"/>
    <n v="8"/>
    <x v="3"/>
    <n v="4"/>
    <n v="2026"/>
    <x v="0"/>
    <n v="0"/>
    <x v="0"/>
    <m/>
    <d v="2025-10-23T00:00:00"/>
    <x v="0"/>
    <m/>
    <x v="31"/>
  </r>
  <r>
    <x v="0"/>
    <m/>
    <m/>
    <s v="90 days pta"/>
    <x v="0"/>
    <n v="34570"/>
    <n v="8642.5"/>
    <n v="25927.5"/>
    <x v="4"/>
    <m/>
    <m/>
    <d v="2026-04-02T00:00:00"/>
    <d v="2026-04-14T00:00:00"/>
    <n v="12"/>
    <x v="3"/>
    <n v="4"/>
    <n v="2026"/>
    <x v="1"/>
    <n v="18531.48"/>
    <x v="0"/>
    <m/>
    <d v="2024-04-16T00:00:00"/>
    <x v="0"/>
    <m/>
    <x v="7"/>
  </r>
  <r>
    <x v="0"/>
    <m/>
    <m/>
    <s v="90 days pta"/>
    <x v="0"/>
    <n v="124264.98"/>
    <n v="35456.61"/>
    <n v="88808.37"/>
    <x v="4"/>
    <m/>
    <m/>
    <d v="2026-04-03T00:00:00"/>
    <d v="2026-04-11T00:00:00"/>
    <n v="8"/>
    <x v="3"/>
    <n v="4"/>
    <n v="2026"/>
    <x v="1"/>
    <n v="78999.520000000004"/>
    <x v="0"/>
    <m/>
    <d v="2025-04-13T00:00:00"/>
    <x v="0"/>
    <m/>
    <x v="10"/>
  </r>
  <r>
    <x v="0"/>
    <m/>
    <m/>
    <s v="90 days pta"/>
    <x v="0"/>
    <n v="40346"/>
    <m/>
    <n v="40346"/>
    <x v="5"/>
    <m/>
    <m/>
    <d v="2026-04-03T00:00:00"/>
    <d v="2026-04-10T00:00:00"/>
    <n v="7"/>
    <x v="3"/>
    <n v="4"/>
    <n v="2026"/>
    <x v="1"/>
    <n v="22235.85"/>
    <x v="0"/>
    <m/>
    <d v="2025-08-18T00:00:00"/>
    <x v="0"/>
    <m/>
    <x v="7"/>
  </r>
  <r>
    <x v="0"/>
    <m/>
    <m/>
    <s v="90 days pta"/>
    <x v="0"/>
    <n v="39900"/>
    <m/>
    <n v="39900"/>
    <x v="5"/>
    <m/>
    <m/>
    <d v="2026-04-03T00:00:00"/>
    <d v="2026-04-12T00:00:00"/>
    <n v="9"/>
    <x v="3"/>
    <n v="4"/>
    <n v="2026"/>
    <x v="1"/>
    <n v="18159.3"/>
    <x v="0"/>
    <m/>
    <d v="2025-09-12T00:00:00"/>
    <x v="0"/>
    <m/>
    <x v="7"/>
  </r>
  <r>
    <x v="0"/>
    <m/>
    <m/>
    <s v="90 days pta"/>
    <x v="0"/>
    <n v="110099.95"/>
    <n v="48911.22"/>
    <n v="61188.73"/>
    <x v="4"/>
    <m/>
    <m/>
    <d v="2026-04-03T00:00:00"/>
    <d v="2026-04-12T00:00:00"/>
    <n v="9"/>
    <x v="3"/>
    <n v="4"/>
    <n v="2026"/>
    <x v="1"/>
    <n v="71068.320000000007"/>
    <x v="0"/>
    <m/>
    <d v="2025-09-09T00:00:00"/>
    <x v="0"/>
    <m/>
    <x v="7"/>
  </r>
  <r>
    <x v="0"/>
    <m/>
    <m/>
    <s v="90 days pta"/>
    <x v="0"/>
    <n v="24020"/>
    <n v="6005"/>
    <n v="18015"/>
    <x v="4"/>
    <m/>
    <m/>
    <d v="2026-04-04T00:00:00"/>
    <d v="2026-04-12T00:00:00"/>
    <n v="8"/>
    <x v="3"/>
    <n v="4"/>
    <n v="2026"/>
    <x v="1"/>
    <n v="11784.16"/>
    <x v="0"/>
    <m/>
    <d v="2025-11-04T00:00:00"/>
    <x v="0"/>
    <m/>
    <x v="7"/>
  </r>
  <r>
    <x v="0"/>
    <m/>
    <m/>
    <s v="90 days pta"/>
    <x v="0"/>
    <n v="57200"/>
    <n v="14800"/>
    <n v="42400"/>
    <x v="4"/>
    <m/>
    <m/>
    <d v="2026-04-04T00:00:00"/>
    <d v="2026-04-12T00:00:00"/>
    <n v="8"/>
    <x v="3"/>
    <n v="4"/>
    <n v="2026"/>
    <x v="1"/>
    <n v="35508.959999999999"/>
    <x v="0"/>
    <m/>
    <d v="2025-04-15T00:00:00"/>
    <x v="0"/>
    <m/>
    <x v="7"/>
  </r>
  <r>
    <x v="0"/>
    <m/>
    <m/>
    <s v="90 days pta"/>
    <x v="0"/>
    <n v="54930"/>
    <m/>
    <n v="54930"/>
    <x v="5"/>
    <m/>
    <m/>
    <d v="2026-04-05T00:00:00"/>
    <d v="2026-04-14T00:00:00"/>
    <n v="9"/>
    <x v="3"/>
    <n v="4"/>
    <n v="2026"/>
    <x v="1"/>
    <n v="33793.74"/>
    <x v="0"/>
    <m/>
    <d v="2025-06-16T00:00:00"/>
    <x v="0"/>
    <m/>
    <x v="10"/>
  </r>
  <r>
    <x v="0"/>
    <m/>
    <m/>
    <s v="90 days pta"/>
    <x v="0"/>
    <n v="42736"/>
    <n v="10684"/>
    <n v="32052"/>
    <x v="4"/>
    <m/>
    <m/>
    <d v="2026-04-05T00:00:00"/>
    <d v="2026-04-12T00:00:00"/>
    <n v="7"/>
    <x v="3"/>
    <n v="4"/>
    <n v="2026"/>
    <x v="1"/>
    <n v="26134.43"/>
    <x v="0"/>
    <m/>
    <d v="2025-09-05T00:00:00"/>
    <x v="0"/>
    <m/>
    <x v="7"/>
  </r>
  <r>
    <x v="0"/>
    <m/>
    <m/>
    <s v="90 days pta"/>
    <x v="0"/>
    <m/>
    <m/>
    <m/>
    <x v="1"/>
    <m/>
    <m/>
    <d v="2026-04-05T00:00:00"/>
    <d v="2026-04-21T00:00:00"/>
    <n v="16"/>
    <x v="3"/>
    <n v="4"/>
    <n v="2026"/>
    <x v="0"/>
    <n v="0"/>
    <x v="0"/>
    <m/>
    <d v="2025-01-10T00:00:00"/>
    <x v="0"/>
    <m/>
    <x v="1"/>
  </r>
  <r>
    <x v="0"/>
    <m/>
    <m/>
    <s v="90 days pta"/>
    <x v="0"/>
    <n v="44373.279999999999"/>
    <n v="13630.82"/>
    <n v="30742.46"/>
    <x v="4"/>
    <m/>
    <m/>
    <d v="2026-04-05T00:00:00"/>
    <d v="2026-04-12T00:00:00"/>
    <n v="7"/>
    <x v="3"/>
    <n v="4"/>
    <n v="2026"/>
    <x v="1"/>
    <n v="32979.660000000003"/>
    <x v="0"/>
    <m/>
    <d v="2025-05-19T00:00:00"/>
    <x v="0"/>
    <m/>
    <x v="1"/>
  </r>
  <r>
    <x v="0"/>
    <m/>
    <m/>
    <s v="90 days pta"/>
    <x v="0"/>
    <n v="19332.45"/>
    <n v="8705.18"/>
    <n v="10627.27"/>
    <x v="4"/>
    <m/>
    <m/>
    <d v="2026-04-06T00:00:00"/>
    <d v="2026-04-09T00:00:00"/>
    <n v="3"/>
    <x v="3"/>
    <n v="4"/>
    <n v="2026"/>
    <x v="1"/>
    <n v="11758.59"/>
    <x v="0"/>
    <m/>
    <d v="2025-05-09T00:00:00"/>
    <x v="0"/>
    <m/>
    <x v="33"/>
  </r>
  <r>
    <x v="0"/>
    <m/>
    <m/>
    <s v="90 days pta"/>
    <x v="0"/>
    <n v="40087"/>
    <n v="10021.75"/>
    <n v="30065.25"/>
    <x v="4"/>
    <m/>
    <m/>
    <d v="2026-04-06T00:00:00"/>
    <d v="2026-04-11T00:00:00"/>
    <n v="5"/>
    <x v="3"/>
    <n v="4"/>
    <n v="2026"/>
    <x v="1"/>
    <n v="26688.05"/>
    <x v="0"/>
    <m/>
    <d v="2025-05-08T00:00:00"/>
    <x v="0"/>
    <m/>
    <x v="1"/>
  </r>
  <r>
    <x v="0"/>
    <m/>
    <m/>
    <s v="90 days pta"/>
    <x v="0"/>
    <n v="15488.3"/>
    <m/>
    <n v="15488.3"/>
    <x v="5"/>
    <m/>
    <m/>
    <d v="2026-04-09T00:00:00"/>
    <d v="2026-04-11T00:00:00"/>
    <n v="2"/>
    <x v="3"/>
    <n v="4"/>
    <n v="2026"/>
    <x v="1"/>
    <n v="7839.06"/>
    <x v="0"/>
    <m/>
    <d v="2025-05-09T00:00:00"/>
    <x v="0"/>
    <m/>
    <x v="33"/>
  </r>
  <r>
    <x v="0"/>
    <m/>
    <m/>
    <s v="90 days pta"/>
    <x v="0"/>
    <n v="15344"/>
    <n v="3836"/>
    <n v="11508"/>
    <x v="4"/>
    <m/>
    <m/>
    <d v="2026-04-10T00:00:00"/>
    <d v="2026-04-13T00:00:00"/>
    <n v="3"/>
    <x v="3"/>
    <n v="4"/>
    <n v="2026"/>
    <x v="1"/>
    <n v="9020.16"/>
    <x v="0"/>
    <m/>
    <d v="2025-11-20T00:00:00"/>
    <x v="0"/>
    <m/>
    <x v="1"/>
  </r>
  <r>
    <x v="0"/>
    <m/>
    <m/>
    <s v="90 days pta"/>
    <x v="0"/>
    <m/>
    <m/>
    <m/>
    <x v="1"/>
    <m/>
    <m/>
    <d v="2026-04-10T00:00:00"/>
    <d v="2026-04-18T00:00:00"/>
    <n v="8"/>
    <x v="3"/>
    <n v="4"/>
    <n v="2026"/>
    <x v="0"/>
    <n v="0"/>
    <x v="0"/>
    <m/>
    <d v="2025-07-22T00:00:00"/>
    <x v="0"/>
    <m/>
    <x v="5"/>
  </r>
  <r>
    <x v="0"/>
    <m/>
    <m/>
    <s v="90 days pta"/>
    <x v="0"/>
    <n v="13200"/>
    <m/>
    <n v="13200"/>
    <x v="5"/>
    <m/>
    <m/>
    <d v="2026-04-10T00:00:00"/>
    <d v="2026-04-15T00:00:00"/>
    <n v="5"/>
    <x v="3"/>
    <n v="4"/>
    <n v="2026"/>
    <x v="1"/>
    <n v="4801.59"/>
    <x v="0"/>
    <m/>
    <d v="2025-09-17T00:00:00"/>
    <x v="0"/>
    <m/>
    <x v="14"/>
  </r>
  <r>
    <x v="0"/>
    <m/>
    <m/>
    <s v="90 days pta"/>
    <x v="0"/>
    <n v="15558"/>
    <m/>
    <n v="15558"/>
    <x v="5"/>
    <m/>
    <m/>
    <d v="2026-04-10T00:00:00"/>
    <d v="2026-04-13T00:00:00"/>
    <n v="3"/>
    <x v="3"/>
    <n v="4"/>
    <n v="2026"/>
    <x v="1"/>
    <n v="9970.23"/>
    <x v="0"/>
    <m/>
    <d v="2025-11-01T00:00:00"/>
    <x v="0"/>
    <m/>
    <x v="23"/>
  </r>
  <r>
    <x v="0"/>
    <m/>
    <m/>
    <s v="30 days pta"/>
    <x v="0"/>
    <n v="23983.119999999999"/>
    <m/>
    <n v="23983.119999999999"/>
    <x v="3"/>
    <m/>
    <m/>
    <d v="2026-04-11T00:00:00"/>
    <d v="2026-04-19T00:00:00"/>
    <n v="8"/>
    <x v="3"/>
    <n v="4"/>
    <n v="2026"/>
    <x v="1"/>
    <n v="15377.84"/>
    <x v="0"/>
    <m/>
    <d v="2025-11-28T00:00:00"/>
    <x v="0"/>
    <m/>
    <x v="1"/>
  </r>
  <r>
    <x v="0"/>
    <m/>
    <m/>
    <s v="30 days pta"/>
    <x v="0"/>
    <n v="33031.279999999999"/>
    <m/>
    <n v="33031.279999999999"/>
    <x v="3"/>
    <m/>
    <m/>
    <d v="2026-04-11T00:00:00"/>
    <d v="2026-04-19T00:00:00"/>
    <n v="8"/>
    <x v="3"/>
    <n v="4"/>
    <n v="2026"/>
    <x v="1"/>
    <n v="21515.040000000001"/>
    <x v="0"/>
    <m/>
    <d v="2025-11-28T00:00:00"/>
    <x v="0"/>
    <m/>
    <x v="1"/>
  </r>
  <r>
    <x v="0"/>
    <m/>
    <m/>
    <s v="30 days pta"/>
    <x v="0"/>
    <m/>
    <m/>
    <m/>
    <x v="1"/>
    <m/>
    <m/>
    <d v="2026-04-11T00:00:00"/>
    <d v="2026-04-14T00:00:00"/>
    <n v="3"/>
    <x v="3"/>
    <n v="4"/>
    <n v="2026"/>
    <x v="0"/>
    <n v="0"/>
    <x v="0"/>
    <m/>
    <d v="2025-11-19T00:00:00"/>
    <x v="0"/>
    <m/>
    <x v="1"/>
  </r>
  <r>
    <x v="0"/>
    <m/>
    <m/>
    <s v="30 days pta"/>
    <x v="0"/>
    <n v="34811.599999999999"/>
    <m/>
    <n v="34811.599999999999"/>
    <x v="5"/>
    <m/>
    <m/>
    <d v="2026-04-11T00:00:00"/>
    <d v="2026-04-16T00:00:00"/>
    <n v="5"/>
    <x v="3"/>
    <n v="4"/>
    <n v="2026"/>
    <x v="1"/>
    <n v="21732"/>
    <x v="0"/>
    <m/>
    <d v="2025-05-22T00:00:00"/>
    <x v="0"/>
    <m/>
    <x v="31"/>
  </r>
  <r>
    <x v="0"/>
    <m/>
    <m/>
    <s v="30 days pta"/>
    <x v="0"/>
    <n v="61965.94"/>
    <m/>
    <n v="61965.94"/>
    <x v="5"/>
    <m/>
    <m/>
    <d v="2026-04-12T00:00:00"/>
    <d v="2026-04-19T00:00:00"/>
    <n v="7"/>
    <x v="3"/>
    <n v="4"/>
    <n v="2026"/>
    <x v="1"/>
    <n v="41674.22"/>
    <x v="0"/>
    <m/>
    <d v="2025-04-12T00:00:00"/>
    <x v="0"/>
    <m/>
    <x v="1"/>
  </r>
  <r>
    <x v="0"/>
    <m/>
    <m/>
    <s v="30 days pta"/>
    <x v="0"/>
    <n v="60682.99"/>
    <n v="30662.25"/>
    <n v="30020.74"/>
    <x v="4"/>
    <m/>
    <m/>
    <d v="2026-04-12T00:00:00"/>
    <d v="2026-04-19T00:00:00"/>
    <n v="7"/>
    <x v="3"/>
    <n v="4"/>
    <n v="2026"/>
    <x v="1"/>
    <n v="43501.99"/>
    <x v="0"/>
    <m/>
    <d v="2025-04-12T00:00:00"/>
    <x v="0"/>
    <m/>
    <x v="1"/>
  </r>
  <r>
    <x v="0"/>
    <m/>
    <m/>
    <s v="30 days pta"/>
    <x v="0"/>
    <n v="15895"/>
    <n v="3973.75"/>
    <n v="11921.25"/>
    <x v="4"/>
    <m/>
    <m/>
    <d v="2026-04-12T00:00:00"/>
    <d v="2026-04-17T00:00:00"/>
    <n v="5"/>
    <x v="3"/>
    <n v="4"/>
    <n v="2026"/>
    <x v="1"/>
    <n v="7523.3"/>
    <x v="0"/>
    <m/>
    <d v="2025-08-09T00:00:00"/>
    <x v="0"/>
    <m/>
    <x v="1"/>
  </r>
  <r>
    <x v="0"/>
    <m/>
    <m/>
    <s v="30 days pta"/>
    <x v="0"/>
    <n v="56004"/>
    <m/>
    <n v="56004"/>
    <x v="5"/>
    <m/>
    <m/>
    <d v="2026-04-12T00:00:00"/>
    <d v="2026-04-19T00:00:00"/>
    <n v="7"/>
    <x v="3"/>
    <n v="4"/>
    <n v="2026"/>
    <x v="1"/>
    <n v="31043.11"/>
    <x v="0"/>
    <m/>
    <d v="2025-08-20T00:00:00"/>
    <x v="0"/>
    <m/>
    <x v="1"/>
  </r>
  <r>
    <x v="0"/>
    <m/>
    <m/>
    <s v="30 days pta"/>
    <x v="0"/>
    <n v="31960"/>
    <m/>
    <n v="31960"/>
    <x v="5"/>
    <m/>
    <m/>
    <d v="2026-04-12T00:00:00"/>
    <d v="2026-04-22T00:00:00"/>
    <n v="10"/>
    <x v="3"/>
    <n v="4"/>
    <n v="2026"/>
    <x v="1"/>
    <n v="16348.1"/>
    <x v="0"/>
    <m/>
    <d v="2025-07-23T00:00:00"/>
    <x v="0"/>
    <m/>
    <x v="1"/>
  </r>
  <r>
    <x v="0"/>
    <m/>
    <m/>
    <s v="30 days pta"/>
    <x v="0"/>
    <n v="28352"/>
    <n v="7088"/>
    <n v="21264"/>
    <x v="4"/>
    <m/>
    <m/>
    <d v="2026-04-12T00:00:00"/>
    <d v="2026-04-16T00:00:00"/>
    <n v="4"/>
    <x v="3"/>
    <n v="4"/>
    <n v="2026"/>
    <x v="1"/>
    <n v="10641.04"/>
    <x v="0"/>
    <m/>
    <d v="2025-06-06T00:00:00"/>
    <x v="0"/>
    <m/>
    <x v="1"/>
  </r>
  <r>
    <x v="0"/>
    <m/>
    <m/>
    <s v="30 days pta"/>
    <x v="0"/>
    <n v="55532"/>
    <m/>
    <n v="55532"/>
    <x v="5"/>
    <m/>
    <m/>
    <d v="2026-04-13T00:00:00"/>
    <d v="2026-04-25T00:00:00"/>
    <n v="12"/>
    <x v="3"/>
    <n v="4"/>
    <n v="2026"/>
    <x v="1"/>
    <n v="37964.160000000003"/>
    <x v="0"/>
    <m/>
    <d v="2025-09-10T00:00:00"/>
    <x v="0"/>
    <m/>
    <x v="0"/>
  </r>
  <r>
    <x v="0"/>
    <m/>
    <m/>
    <s v="30 days pta"/>
    <x v="0"/>
    <n v="15432"/>
    <m/>
    <n v="15432"/>
    <x v="5"/>
    <m/>
    <m/>
    <d v="2026-04-17T00:00:00"/>
    <d v="2026-04-25T00:00:00"/>
    <n v="8"/>
    <x v="3"/>
    <n v="4"/>
    <n v="2026"/>
    <x v="1"/>
    <n v="5905.2"/>
    <x v="0"/>
    <m/>
    <d v="2025-04-02T00:00:00"/>
    <x v="0"/>
    <m/>
    <x v="1"/>
  </r>
  <r>
    <x v="0"/>
    <m/>
    <m/>
    <s v="30 days pta"/>
    <x v="0"/>
    <n v="21351"/>
    <m/>
    <n v="21351"/>
    <x v="5"/>
    <m/>
    <m/>
    <d v="2026-04-18T00:00:00"/>
    <d v="2026-04-22T00:00:00"/>
    <n v="4"/>
    <x v="3"/>
    <n v="4"/>
    <n v="2026"/>
    <x v="1"/>
    <n v="12541.96"/>
    <x v="0"/>
    <m/>
    <d v="2025-04-22T00:00:00"/>
    <x v="0"/>
    <m/>
    <x v="1"/>
  </r>
  <r>
    <x v="0"/>
    <m/>
    <m/>
    <s v="30 days pta"/>
    <x v="0"/>
    <n v="73149.06"/>
    <m/>
    <n v="73149.06"/>
    <x v="5"/>
    <m/>
    <m/>
    <d v="2026-04-18T00:00:00"/>
    <d v="2026-05-03T00:00:00"/>
    <n v="15"/>
    <x v="3"/>
    <n v="4"/>
    <n v="2026"/>
    <x v="1"/>
    <n v="40196.94"/>
    <x v="0"/>
    <m/>
    <d v="2025-11-17T00:00:00"/>
    <x v="0"/>
    <m/>
    <x v="10"/>
  </r>
  <r>
    <x v="0"/>
    <m/>
    <m/>
    <s v="30 days pta"/>
    <x v="0"/>
    <n v="1559.37"/>
    <m/>
    <n v="1559.37"/>
    <x v="5"/>
    <m/>
    <m/>
    <d v="2026-04-19T00:00:00"/>
    <d v="2026-04-20T00:00:00"/>
    <n v="1"/>
    <x v="3"/>
    <n v="4"/>
    <n v="2026"/>
    <x v="1"/>
    <n v="1072.47"/>
    <x v="0"/>
    <m/>
    <d v="2025-11-23T00:00:00"/>
    <x v="0"/>
    <m/>
    <x v="1"/>
  </r>
  <r>
    <x v="0"/>
    <m/>
    <m/>
    <s v="30 days pta"/>
    <x v="0"/>
    <n v="162748"/>
    <n v="40687"/>
    <n v="122061"/>
    <x v="4"/>
    <m/>
    <m/>
    <d v="2026-04-19T00:00:00"/>
    <d v="2026-05-03T00:00:00"/>
    <n v="14"/>
    <x v="3"/>
    <n v="4"/>
    <n v="2026"/>
    <x v="1"/>
    <n v="74712.399999999994"/>
    <x v="0"/>
    <m/>
    <d v="2025-09-09T00:00:00"/>
    <x v="0"/>
    <m/>
    <x v="0"/>
  </r>
  <r>
    <x v="0"/>
    <m/>
    <m/>
    <s v="30 days pta"/>
    <x v="0"/>
    <n v="46636.59"/>
    <n v="11659.15"/>
    <n v="34977.440000000002"/>
    <x v="4"/>
    <m/>
    <m/>
    <d v="2026-04-19T00:00:00"/>
    <d v="2026-05-01T00:00:00"/>
    <n v="12"/>
    <x v="3"/>
    <n v="4"/>
    <n v="2026"/>
    <x v="1"/>
    <n v="26106.959999999999"/>
    <x v="0"/>
    <m/>
    <d v="2025-11-18T00:00:00"/>
    <x v="0"/>
    <m/>
    <x v="10"/>
  </r>
  <r>
    <x v="0"/>
    <m/>
    <m/>
    <s v="30 days pta"/>
    <x v="0"/>
    <n v="23063"/>
    <m/>
    <n v="23063"/>
    <x v="5"/>
    <m/>
    <m/>
    <d v="2026-04-20T00:00:00"/>
    <d v="2026-04-27T00:00:00"/>
    <n v="7"/>
    <x v="3"/>
    <n v="4"/>
    <n v="2026"/>
    <x v="1"/>
    <n v="12342.61"/>
    <x v="0"/>
    <m/>
    <d v="2025-08-16T00:00:00"/>
    <x v="0"/>
    <m/>
    <x v="10"/>
  </r>
  <r>
    <x v="0"/>
    <m/>
    <m/>
    <s v="30 days pta"/>
    <x v="0"/>
    <n v="52000"/>
    <m/>
    <n v="52000"/>
    <x v="5"/>
    <m/>
    <m/>
    <d v="2026-04-20T00:00:00"/>
    <d v="2026-04-30T00:00:00"/>
    <n v="10"/>
    <x v="3"/>
    <n v="4"/>
    <n v="2026"/>
    <x v="1"/>
    <n v="51753.4"/>
    <x v="0"/>
    <m/>
    <d v="2025-07-21T00:00:00"/>
    <x v="0"/>
    <m/>
    <x v="33"/>
  </r>
  <r>
    <x v="0"/>
    <m/>
    <m/>
    <s v="30 days pta"/>
    <x v="0"/>
    <n v="17400"/>
    <m/>
    <n v="17400"/>
    <x v="5"/>
    <m/>
    <m/>
    <d v="2026-04-20T00:00:00"/>
    <d v="2026-04-25T00:00:00"/>
    <n v="5"/>
    <x v="3"/>
    <n v="4"/>
    <n v="2026"/>
    <x v="1"/>
    <n v="7844.93"/>
    <x v="0"/>
    <m/>
    <d v="2025-11-23T00:00:00"/>
    <x v="0"/>
    <m/>
    <x v="1"/>
  </r>
  <r>
    <x v="0"/>
    <m/>
    <m/>
    <s v="30 days pta"/>
    <x v="0"/>
    <m/>
    <m/>
    <m/>
    <x v="1"/>
    <m/>
    <m/>
    <d v="2026-04-20T00:00:00"/>
    <d v="2026-04-22T00:00:00"/>
    <n v="2"/>
    <x v="3"/>
    <n v="4"/>
    <n v="2026"/>
    <x v="0"/>
    <n v="0"/>
    <x v="0"/>
    <m/>
    <d v="2025-09-02T00:00:00"/>
    <x v="0"/>
    <m/>
    <x v="15"/>
  </r>
  <r>
    <x v="0"/>
    <m/>
    <m/>
    <s v="30 days pta"/>
    <x v="0"/>
    <n v="30492.5"/>
    <m/>
    <n v="30492.5"/>
    <x v="5"/>
    <m/>
    <m/>
    <d v="2026-04-20T00:00:00"/>
    <d v="2026-05-05T00:00:00"/>
    <n v="15"/>
    <x v="3"/>
    <n v="4"/>
    <n v="2026"/>
    <x v="1"/>
    <n v="13366.35"/>
    <x v="0"/>
    <m/>
    <d v="2025-09-01T00:00:00"/>
    <x v="0"/>
    <m/>
    <x v="36"/>
  </r>
  <r>
    <x v="0"/>
    <m/>
    <m/>
    <s v="30 days pta"/>
    <x v="0"/>
    <m/>
    <m/>
    <m/>
    <x v="1"/>
    <m/>
    <m/>
    <d v="2026-04-20T00:00:00"/>
    <d v="2026-04-25T00:00:00"/>
    <n v="5"/>
    <x v="3"/>
    <n v="4"/>
    <n v="2026"/>
    <x v="0"/>
    <n v="0"/>
    <x v="0"/>
    <m/>
    <d v="2025-09-08T00:00:00"/>
    <x v="0"/>
    <m/>
    <x v="31"/>
  </r>
  <r>
    <x v="0"/>
    <m/>
    <m/>
    <s v="30 days pta"/>
    <x v="0"/>
    <n v="44408"/>
    <n v="11102"/>
    <n v="33306"/>
    <x v="4"/>
    <m/>
    <m/>
    <d v="2026-04-24T00:00:00"/>
    <d v="2026-05-10T00:00:00"/>
    <n v="16"/>
    <x v="3"/>
    <n v="4"/>
    <n v="2026"/>
    <x v="1"/>
    <n v="24295.88"/>
    <x v="0"/>
    <m/>
    <d v="2025-11-04T00:00:00"/>
    <x v="0"/>
    <m/>
    <x v="10"/>
  </r>
  <r>
    <x v="0"/>
    <m/>
    <m/>
    <s v="30 days pta"/>
    <x v="0"/>
    <m/>
    <m/>
    <m/>
    <x v="2"/>
    <m/>
    <m/>
    <d v="2026-04-25T00:00:00"/>
    <d v="2026-04-27T00:00:00"/>
    <n v="2"/>
    <x v="3"/>
    <n v="4"/>
    <n v="2026"/>
    <x v="0"/>
    <n v="-1010.1"/>
    <x v="0"/>
    <m/>
    <d v="2025-11-26T00:00:00"/>
    <x v="0"/>
    <m/>
    <x v="15"/>
  </r>
  <r>
    <x v="0"/>
    <m/>
    <m/>
    <s v="30 days pta"/>
    <x v="0"/>
    <m/>
    <m/>
    <m/>
    <x v="1"/>
    <m/>
    <m/>
    <d v="2026-04-26T00:00:00"/>
    <d v="2026-05-09T00:00:00"/>
    <n v="13"/>
    <x v="3"/>
    <n v="4"/>
    <n v="2026"/>
    <x v="0"/>
    <n v="0"/>
    <x v="0"/>
    <m/>
    <d v="2025-08-10T00:00:00"/>
    <x v="0"/>
    <m/>
    <x v="10"/>
  </r>
  <r>
    <x v="0"/>
    <m/>
    <m/>
    <s v="30 days pta"/>
    <x v="0"/>
    <m/>
    <m/>
    <m/>
    <x v="2"/>
    <m/>
    <m/>
    <d v="2026-04-26T00:00:00"/>
    <d v="2026-05-06T00:00:00"/>
    <n v="10"/>
    <x v="3"/>
    <n v="4"/>
    <n v="2026"/>
    <x v="0"/>
    <n v="41170.6"/>
    <x v="0"/>
    <m/>
    <d v="2025-12-02T00:00:00"/>
    <x v="0"/>
    <m/>
    <x v="0"/>
  </r>
  <r>
    <x v="0"/>
    <m/>
    <m/>
    <s v="30 days pta"/>
    <x v="0"/>
    <n v="38962.639999999999"/>
    <n v="9740.66"/>
    <n v="29221.98"/>
    <x v="4"/>
    <m/>
    <m/>
    <d v="2026-04-26T00:00:00"/>
    <d v="2026-05-05T00:00:00"/>
    <n v="9"/>
    <x v="3"/>
    <n v="4"/>
    <n v="2026"/>
    <x v="1"/>
    <n v="21877.38"/>
    <x v="0"/>
    <m/>
    <d v="2025-11-03T00:00:00"/>
    <x v="0"/>
    <m/>
    <x v="10"/>
  </r>
  <r>
    <x v="0"/>
    <m/>
    <m/>
    <s v="30 days pta"/>
    <x v="0"/>
    <n v="54504.800000000003"/>
    <m/>
    <n v="54504.800000000003"/>
    <x v="5"/>
    <m/>
    <m/>
    <d v="2026-04-29T00:00:00"/>
    <d v="2026-05-05T00:00:00"/>
    <n v="6"/>
    <x v="3"/>
    <n v="4"/>
    <n v="2026"/>
    <x v="1"/>
    <n v="0"/>
    <x v="0"/>
    <m/>
    <d v="2025-10-03T00:00:00"/>
    <x v="0"/>
    <m/>
    <x v="35"/>
  </r>
  <r>
    <x v="0"/>
    <m/>
    <m/>
    <s v="30 days pta"/>
    <x v="0"/>
    <n v="38587.5"/>
    <n v="9646.8799999999992"/>
    <n v="28940.62"/>
    <x v="4"/>
    <m/>
    <m/>
    <d v="2026-05-01T00:00:00"/>
    <d v="2026-05-10T00:00:00"/>
    <n v="9"/>
    <x v="4"/>
    <n v="5"/>
    <n v="2026"/>
    <x v="1"/>
    <n v="15135.36"/>
    <x v="0"/>
    <m/>
    <d v="2025-11-23T00:00:00"/>
    <x v="0"/>
    <m/>
    <x v="0"/>
  </r>
  <r>
    <x v="0"/>
    <m/>
    <m/>
    <s v="30 days pta"/>
    <x v="0"/>
    <n v="53523"/>
    <m/>
    <n v="53523"/>
    <x v="5"/>
    <m/>
    <m/>
    <d v="2026-05-01T00:00:00"/>
    <d v="2026-05-10T00:00:00"/>
    <n v="9"/>
    <x v="4"/>
    <n v="5"/>
    <n v="2026"/>
    <x v="1"/>
    <n v="19395.09"/>
    <x v="0"/>
    <m/>
    <d v="2025-10-14T00:00:00"/>
    <x v="0"/>
    <m/>
    <x v="0"/>
  </r>
  <r>
    <x v="0"/>
    <m/>
    <m/>
    <s v="30 days pta"/>
    <x v="0"/>
    <n v="46738.5"/>
    <m/>
    <n v="46738.5"/>
    <x v="5"/>
    <m/>
    <m/>
    <d v="2026-05-03T00:00:00"/>
    <d v="2026-05-16T00:00:00"/>
    <n v="13"/>
    <x v="4"/>
    <n v="5"/>
    <n v="2026"/>
    <x v="1"/>
    <n v="22069.599999999999"/>
    <x v="0"/>
    <m/>
    <d v="2025-11-30T00:00:00"/>
    <x v="0"/>
    <m/>
    <x v="0"/>
  </r>
  <r>
    <x v="0"/>
    <m/>
    <m/>
    <s v="30 days pta"/>
    <x v="0"/>
    <n v="0"/>
    <m/>
    <n v="0"/>
    <x v="1"/>
    <m/>
    <m/>
    <d v="2026-05-04T00:00:00"/>
    <d v="2026-05-06T00:00:00"/>
    <n v="2"/>
    <x v="4"/>
    <n v="5"/>
    <n v="2026"/>
    <x v="0"/>
    <n v="0"/>
    <x v="0"/>
    <m/>
    <d v="2025-10-23T00:00:00"/>
    <x v="0"/>
    <m/>
    <x v="1"/>
  </r>
  <r>
    <x v="0"/>
    <m/>
    <m/>
    <s v="30 days pta"/>
    <x v="0"/>
    <n v="54574"/>
    <m/>
    <n v="54574"/>
    <x v="5"/>
    <m/>
    <m/>
    <d v="2026-05-04T00:00:00"/>
    <d v="2026-05-16T00:00:00"/>
    <n v="12"/>
    <x v="4"/>
    <n v="5"/>
    <n v="2026"/>
    <x v="1"/>
    <n v="25128.240000000002"/>
    <x v="0"/>
    <m/>
    <d v="2025-10-21T00:00:00"/>
    <x v="0"/>
    <m/>
    <x v="0"/>
  </r>
  <r>
    <x v="0"/>
    <m/>
    <m/>
    <s v="30 days pta"/>
    <x v="0"/>
    <n v="19353.89"/>
    <m/>
    <n v="19353.89"/>
    <x v="5"/>
    <m/>
    <m/>
    <d v="2026-05-05T00:00:00"/>
    <d v="2026-05-09T00:00:00"/>
    <n v="4"/>
    <x v="4"/>
    <n v="5"/>
    <n v="2026"/>
    <x v="1"/>
    <n v="11211.74"/>
    <x v="0"/>
    <m/>
    <d v="2025-06-07T00:00:00"/>
    <x v="0"/>
    <m/>
    <x v="15"/>
  </r>
  <r>
    <x v="0"/>
    <m/>
    <m/>
    <s v="30 days pta"/>
    <x v="0"/>
    <n v="52464.92"/>
    <m/>
    <n v="52464.92"/>
    <x v="5"/>
    <m/>
    <m/>
    <d v="2026-05-05T00:00:00"/>
    <d v="2026-05-09T00:00:00"/>
    <n v="4"/>
    <x v="4"/>
    <n v="5"/>
    <n v="2026"/>
    <x v="1"/>
    <n v="11284.8"/>
    <x v="0"/>
    <m/>
    <d v="2025-06-30T00:00:00"/>
    <x v="0"/>
    <m/>
    <x v="35"/>
  </r>
  <r>
    <x v="0"/>
    <m/>
    <m/>
    <s v="30 days pta"/>
    <x v="0"/>
    <n v="28320"/>
    <m/>
    <n v="28320"/>
    <x v="5"/>
    <m/>
    <m/>
    <d v="2026-05-06T00:00:00"/>
    <d v="2026-05-21T00:00:00"/>
    <n v="15"/>
    <x v="4"/>
    <n v="5"/>
    <n v="2026"/>
    <x v="1"/>
    <n v="11888.1"/>
    <x v="0"/>
    <m/>
    <d v="2025-09-19T00:00:00"/>
    <x v="0"/>
    <m/>
    <x v="7"/>
  </r>
  <r>
    <x v="0"/>
    <m/>
    <m/>
    <s v="30 days pta"/>
    <x v="0"/>
    <n v="12548.2"/>
    <m/>
    <n v="12548.2"/>
    <x v="3"/>
    <m/>
    <m/>
    <d v="2026-05-06T00:00:00"/>
    <d v="2026-05-11T00:00:00"/>
    <n v="5"/>
    <x v="4"/>
    <n v="5"/>
    <n v="2026"/>
    <x v="1"/>
    <n v="8712.65"/>
    <x v="0"/>
    <m/>
    <d v="2025-12-07T00:00:00"/>
    <x v="0"/>
    <m/>
    <x v="5"/>
  </r>
  <r>
    <x v="0"/>
    <m/>
    <m/>
    <s v="30 days pta"/>
    <x v="0"/>
    <n v="14930"/>
    <m/>
    <n v="14930"/>
    <x v="5"/>
    <m/>
    <m/>
    <d v="2026-05-06T00:00:00"/>
    <d v="2026-05-09T00:00:00"/>
    <n v="3"/>
    <x v="4"/>
    <n v="5"/>
    <n v="2026"/>
    <x v="1"/>
    <n v="9338.01"/>
    <x v="0"/>
    <m/>
    <d v="2025-08-04T00:00:00"/>
    <x v="0"/>
    <m/>
    <x v="0"/>
  </r>
  <r>
    <x v="0"/>
    <m/>
    <m/>
    <s v="30 days pta"/>
    <x v="0"/>
    <m/>
    <m/>
    <m/>
    <x v="1"/>
    <m/>
    <m/>
    <d v="2026-05-09T00:00:00"/>
    <d v="2026-05-11T00:00:00"/>
    <n v="2"/>
    <x v="4"/>
    <n v="5"/>
    <n v="2026"/>
    <x v="0"/>
    <n v="0"/>
    <x v="0"/>
    <m/>
    <d v="2025-09-11T00:00:00"/>
    <x v="0"/>
    <m/>
    <x v="1"/>
  </r>
  <r>
    <x v="0"/>
    <m/>
    <m/>
    <s v="30 days pta"/>
    <x v="0"/>
    <n v="76640"/>
    <m/>
    <n v="76640"/>
    <x v="5"/>
    <m/>
    <m/>
    <d v="2026-05-10T00:00:00"/>
    <d v="2026-05-20T00:00:00"/>
    <n v="10"/>
    <x v="4"/>
    <n v="5"/>
    <n v="2026"/>
    <x v="1"/>
    <n v="22824.400000000001"/>
    <x v="0"/>
    <m/>
    <d v="2025-11-11T00:00:00"/>
    <x v="0"/>
    <m/>
    <x v="36"/>
  </r>
  <r>
    <x v="0"/>
    <m/>
    <m/>
    <s v="30 days pta"/>
    <x v="0"/>
    <n v="30866.49"/>
    <m/>
    <n v="30866.49"/>
    <x v="5"/>
    <m/>
    <m/>
    <d v="2026-05-10T00:00:00"/>
    <d v="2026-05-17T00:00:00"/>
    <n v="7"/>
    <x v="4"/>
    <n v="5"/>
    <n v="2026"/>
    <x v="1"/>
    <n v="18611.46"/>
    <x v="0"/>
    <m/>
    <d v="2025-08-05T00:00:00"/>
    <x v="0"/>
    <m/>
    <x v="15"/>
  </r>
  <r>
    <x v="0"/>
    <m/>
    <m/>
    <s v="30 days pta"/>
    <x v="0"/>
    <n v="12247.08"/>
    <m/>
    <n v="12247.08"/>
    <x v="5"/>
    <m/>
    <m/>
    <d v="2026-05-11T00:00:00"/>
    <d v="2026-05-14T00:00:00"/>
    <n v="3"/>
    <x v="4"/>
    <n v="5"/>
    <n v="2026"/>
    <x v="1"/>
    <n v="6274.47"/>
    <x v="0"/>
    <m/>
    <d v="2025-05-24T00:00:00"/>
    <x v="0"/>
    <m/>
    <x v="31"/>
  </r>
  <r>
    <x v="0"/>
    <m/>
    <m/>
    <s v="30 days pta"/>
    <x v="0"/>
    <m/>
    <m/>
    <m/>
    <x v="1"/>
    <m/>
    <m/>
    <d v="2026-05-18T00:00:00"/>
    <d v="2026-05-20T00:00:00"/>
    <n v="2"/>
    <x v="4"/>
    <n v="5"/>
    <n v="2026"/>
    <x v="0"/>
    <n v="0"/>
    <x v="0"/>
    <m/>
    <d v="2025-11-12T00:00:00"/>
    <x v="0"/>
    <m/>
    <x v="0"/>
  </r>
  <r>
    <x v="0"/>
    <m/>
    <m/>
    <s v="30 days pta"/>
    <x v="0"/>
    <n v="16220.3"/>
    <m/>
    <n v="16220.3"/>
    <x v="5"/>
    <m/>
    <m/>
    <d v="2026-05-19T00:00:00"/>
    <d v="2026-05-26T00:00:00"/>
    <n v="7"/>
    <x v="4"/>
    <n v="5"/>
    <n v="2026"/>
    <x v="1"/>
    <n v="7434.63"/>
    <x v="0"/>
    <m/>
    <d v="2025-10-14T00:00:00"/>
    <x v="0"/>
    <m/>
    <x v="1"/>
  </r>
  <r>
    <x v="0"/>
    <m/>
    <m/>
    <s v="30 days pta"/>
    <x v="0"/>
    <m/>
    <m/>
    <m/>
    <x v="1"/>
    <m/>
    <m/>
    <d v="2026-05-22T00:00:00"/>
    <d v="2026-05-26T00:00:00"/>
    <n v="4"/>
    <x v="4"/>
    <n v="5"/>
    <n v="2026"/>
    <x v="0"/>
    <n v="0"/>
    <x v="0"/>
    <m/>
    <d v="2025-11-26T00:00:00"/>
    <x v="0"/>
    <m/>
    <x v="2"/>
  </r>
  <r>
    <x v="0"/>
    <m/>
    <m/>
    <s v="30 days pta"/>
    <x v="0"/>
    <n v="11268"/>
    <m/>
    <n v="11268"/>
    <x v="5"/>
    <m/>
    <m/>
    <d v="2026-05-23T00:00:00"/>
    <d v="2026-05-30T00:00:00"/>
    <n v="7"/>
    <x v="4"/>
    <n v="5"/>
    <n v="2026"/>
    <x v="1"/>
    <n v="5628.05"/>
    <x v="0"/>
    <m/>
    <d v="2025-11-28T00:00:00"/>
    <x v="0"/>
    <m/>
    <x v="7"/>
  </r>
  <r>
    <x v="0"/>
    <m/>
    <m/>
    <s v="30 days pta"/>
    <x v="0"/>
    <n v="43505.93"/>
    <n v="11393.48"/>
    <n v="32112.45"/>
    <x v="4"/>
    <m/>
    <m/>
    <d v="2026-05-23T00:00:00"/>
    <d v="2026-05-30T00:00:00"/>
    <n v="7"/>
    <x v="4"/>
    <n v="5"/>
    <n v="2026"/>
    <x v="1"/>
    <n v="23864.82"/>
    <x v="0"/>
    <m/>
    <d v="2025-12-02T00:00:00"/>
    <x v="0"/>
    <m/>
    <x v="7"/>
  </r>
  <r>
    <x v="0"/>
    <m/>
    <m/>
    <s v="30 days pta"/>
    <x v="0"/>
    <n v="29543"/>
    <m/>
    <n v="29543"/>
    <x v="3"/>
    <m/>
    <m/>
    <d v="2026-05-24T00:00:00"/>
    <d v="2026-06-02T00:00:00"/>
    <n v="9"/>
    <x v="4"/>
    <n v="5"/>
    <n v="2026"/>
    <x v="1"/>
    <n v="7150.32"/>
    <x v="0"/>
    <m/>
    <d v="2025-09-30T00:00:00"/>
    <x v="0"/>
    <m/>
    <x v="7"/>
  </r>
  <r>
    <x v="0"/>
    <m/>
    <m/>
    <s v="30 days pta"/>
    <x v="0"/>
    <n v="27735"/>
    <m/>
    <n v="27735"/>
    <x v="5"/>
    <m/>
    <m/>
    <d v="2026-05-25T00:00:00"/>
    <d v="2026-05-31T00:00:00"/>
    <n v="6"/>
    <x v="4"/>
    <n v="5"/>
    <n v="2026"/>
    <x v="1"/>
    <n v="12082.32"/>
    <x v="0"/>
    <m/>
    <d v="2025-08-16T00:00:00"/>
    <x v="0"/>
    <m/>
    <x v="1"/>
  </r>
  <r>
    <x v="0"/>
    <m/>
    <m/>
    <s v="30 days pta"/>
    <x v="0"/>
    <n v="49077"/>
    <m/>
    <n v="49077"/>
    <x v="7"/>
    <m/>
    <m/>
    <d v="2026-05-25T00:00:00"/>
    <d v="2026-06-05T00:00:00"/>
    <n v="11"/>
    <x v="4"/>
    <n v="5"/>
    <n v="2026"/>
    <x v="1"/>
    <n v="27279.72"/>
    <x v="0"/>
    <m/>
    <d v="2025-06-23T00:00:00"/>
    <x v="0"/>
    <m/>
    <x v="7"/>
  </r>
  <r>
    <x v="0"/>
    <m/>
    <m/>
    <s v="30 days pta"/>
    <x v="0"/>
    <n v="14864.19"/>
    <m/>
    <n v="14864.19"/>
    <x v="5"/>
    <m/>
    <m/>
    <d v="2026-05-28T00:00:00"/>
    <d v="2026-06-06T00:00:00"/>
    <n v="9"/>
    <x v="4"/>
    <n v="5"/>
    <n v="2026"/>
    <x v="1"/>
    <n v="0"/>
    <x v="0"/>
    <m/>
    <d v="2025-12-08T00:00:00"/>
    <x v="0"/>
    <m/>
    <x v="35"/>
  </r>
  <r>
    <x v="0"/>
    <m/>
    <m/>
    <s v="30 days pta"/>
    <x v="0"/>
    <n v="3563.75"/>
    <m/>
    <n v="3563.75"/>
    <x v="5"/>
    <m/>
    <m/>
    <d v="2026-06-07T00:00:00"/>
    <d v="2026-06-08T00:00:00"/>
    <n v="1"/>
    <x v="5"/>
    <n v="6"/>
    <n v="2026"/>
    <x v="1"/>
    <n v="770.57"/>
    <x v="0"/>
    <m/>
    <d v="2025-07-26T00:00:00"/>
    <x v="0"/>
    <m/>
    <x v="1"/>
  </r>
  <r>
    <x v="0"/>
    <m/>
    <m/>
    <s v="30 days pta"/>
    <x v="0"/>
    <n v="14864.19"/>
    <m/>
    <n v="14864.19"/>
    <x v="5"/>
    <m/>
    <m/>
    <d v="2026-06-07T00:00:00"/>
    <d v="2026-06-16T00:00:00"/>
    <n v="9"/>
    <x v="5"/>
    <n v="6"/>
    <n v="2026"/>
    <x v="1"/>
    <n v="6393.6"/>
    <x v="0"/>
    <m/>
    <d v="2025-12-08T00:00:00"/>
    <x v="0"/>
    <m/>
    <x v="35"/>
  </r>
  <r>
    <x v="0"/>
    <m/>
    <m/>
    <s v="30 days pta"/>
    <x v="0"/>
    <n v="14973.75"/>
    <m/>
    <n v="14973.75"/>
    <x v="5"/>
    <m/>
    <m/>
    <d v="2026-06-08T00:00:00"/>
    <d v="2026-06-17T00:00:00"/>
    <n v="9"/>
    <x v="5"/>
    <n v="6"/>
    <n v="2026"/>
    <x v="1"/>
    <n v="6935.13"/>
    <x v="0"/>
    <m/>
    <d v="2025-07-26T00:00:00"/>
    <x v="0"/>
    <m/>
    <x v="1"/>
  </r>
  <r>
    <x v="0"/>
    <m/>
    <m/>
    <s v="30 days pta"/>
    <x v="0"/>
    <n v="9544"/>
    <m/>
    <n v="9544"/>
    <x v="5"/>
    <m/>
    <m/>
    <d v="2026-06-10T00:00:00"/>
    <d v="2026-06-14T00:00:00"/>
    <n v="4"/>
    <x v="5"/>
    <n v="6"/>
    <n v="2026"/>
    <x v="1"/>
    <n v="3837"/>
    <x v="0"/>
    <m/>
    <d v="2025-08-25T00:00:00"/>
    <x v="0"/>
    <m/>
    <x v="7"/>
  </r>
  <r>
    <x v="0"/>
    <m/>
    <m/>
    <s v="30 days pta"/>
    <x v="0"/>
    <n v="12097.3"/>
    <m/>
    <n v="12097.3"/>
    <x v="5"/>
    <m/>
    <m/>
    <d v="2026-06-20T00:00:00"/>
    <d v="2026-06-26T00:00:00"/>
    <n v="6"/>
    <x v="5"/>
    <n v="6"/>
    <n v="2026"/>
    <x v="1"/>
    <n v="4567.8599999999997"/>
    <x v="0"/>
    <m/>
    <d v="2025-06-20T00:00:00"/>
    <x v="0"/>
    <m/>
    <x v="33"/>
  </r>
  <r>
    <x v="0"/>
    <m/>
    <m/>
    <s v="30 days pta"/>
    <x v="0"/>
    <n v="28839.759999999998"/>
    <m/>
    <n v="28839.759999999998"/>
    <x v="5"/>
    <m/>
    <m/>
    <d v="2026-06-20T00:00:00"/>
    <d v="2026-06-26T00:00:00"/>
    <n v="6"/>
    <x v="5"/>
    <n v="6"/>
    <n v="2026"/>
    <x v="1"/>
    <n v="0"/>
    <x v="0"/>
    <m/>
    <d v="2025-06-27T00:00:00"/>
    <x v="0"/>
    <m/>
    <x v="19"/>
  </r>
  <r>
    <x v="0"/>
    <m/>
    <m/>
    <s v="30 days pta"/>
    <x v="0"/>
    <n v="209586.7"/>
    <m/>
    <n v="209586.7"/>
    <x v="5"/>
    <m/>
    <m/>
    <d v="2026-06-21T00:00:00"/>
    <d v="2026-06-28T00:00:00"/>
    <n v="7"/>
    <x v="5"/>
    <n v="6"/>
    <n v="2026"/>
    <x v="1"/>
    <n v="55863.22"/>
    <x v="0"/>
    <m/>
    <d v="2025-05-29T00:00:00"/>
    <x v="0"/>
    <m/>
    <x v="1"/>
  </r>
  <r>
    <x v="0"/>
    <m/>
    <m/>
    <s v="30 days pta"/>
    <x v="0"/>
    <n v="56917.75"/>
    <m/>
    <n v="56917.75"/>
    <x v="5"/>
    <m/>
    <m/>
    <d v="2026-06-26T00:00:00"/>
    <d v="2026-07-01T00:00:00"/>
    <n v="5"/>
    <x v="5"/>
    <n v="6"/>
    <n v="2026"/>
    <x v="1"/>
    <n v="0"/>
    <x v="0"/>
    <m/>
    <d v="2025-06-26T00:00:00"/>
    <x v="0"/>
    <m/>
    <x v="19"/>
  </r>
  <r>
    <x v="0"/>
    <m/>
    <m/>
    <s v="30 days pta"/>
    <x v="0"/>
    <n v="23948"/>
    <n v="5987"/>
    <n v="17961"/>
    <x v="4"/>
    <m/>
    <m/>
    <d v="2026-06-28T00:00:00"/>
    <d v="2026-07-08T00:00:00"/>
    <n v="10"/>
    <x v="5"/>
    <n v="6"/>
    <n v="2026"/>
    <x v="1"/>
    <n v="8614"/>
    <x v="0"/>
    <m/>
    <d v="2025-11-10T00:00:00"/>
    <x v="0"/>
    <m/>
    <x v="31"/>
  </r>
  <r>
    <x v="0"/>
    <m/>
    <m/>
    <s v="30 days pta"/>
    <x v="0"/>
    <n v="9427.24"/>
    <m/>
    <n v="9427.24"/>
    <x v="5"/>
    <m/>
    <m/>
    <d v="2026-06-30T00:00:00"/>
    <d v="2026-07-02T00:00:00"/>
    <n v="2"/>
    <x v="5"/>
    <n v="6"/>
    <n v="2026"/>
    <x v="1"/>
    <n v="4697.9799999999996"/>
    <x v="0"/>
    <m/>
    <d v="2025-11-03T00:00:00"/>
    <x v="0"/>
    <m/>
    <x v="27"/>
  </r>
  <r>
    <x v="0"/>
    <m/>
    <m/>
    <s v="30 days pta"/>
    <x v="0"/>
    <n v="12935.6"/>
    <m/>
    <n v="12935.6"/>
    <x v="5"/>
    <m/>
    <m/>
    <d v="2026-07-01T00:00:00"/>
    <d v="2026-07-08T00:00:00"/>
    <n v="7"/>
    <x v="6"/>
    <n v="7"/>
    <n v="2026"/>
    <x v="1"/>
    <n v="0"/>
    <x v="0"/>
    <m/>
    <d v="2025-09-19T00:00:00"/>
    <x v="0"/>
    <m/>
    <x v="33"/>
  </r>
  <r>
    <x v="0"/>
    <m/>
    <m/>
    <s v="30 days pta"/>
    <x v="0"/>
    <n v="73739.360000000001"/>
    <m/>
    <n v="73739.360000000001"/>
    <x v="5"/>
    <m/>
    <m/>
    <d v="2026-07-01T00:00:00"/>
    <d v="2026-07-17T00:00:00"/>
    <n v="16"/>
    <x v="6"/>
    <n v="7"/>
    <n v="2026"/>
    <x v="1"/>
    <n v="0"/>
    <x v="0"/>
    <m/>
    <d v="2025-09-19T00:00:00"/>
    <x v="0"/>
    <m/>
    <x v="19"/>
  </r>
  <r>
    <x v="0"/>
    <m/>
    <m/>
    <s v="30 days pta"/>
    <x v="0"/>
    <n v="25090"/>
    <m/>
    <n v="25090"/>
    <x v="5"/>
    <m/>
    <m/>
    <d v="2026-07-04T00:00:00"/>
    <d v="2026-07-12T00:00:00"/>
    <n v="8"/>
    <x v="6"/>
    <n v="7"/>
    <n v="2026"/>
    <x v="1"/>
    <n v="5641.04"/>
    <x v="0"/>
    <m/>
    <d v="2025-08-26T00:00:00"/>
    <x v="0"/>
    <m/>
    <x v="1"/>
  </r>
  <r>
    <x v="0"/>
    <m/>
    <m/>
    <s v="30 days pta"/>
    <x v="0"/>
    <m/>
    <m/>
    <m/>
    <x v="1"/>
    <m/>
    <m/>
    <d v="2026-07-07T00:00:00"/>
    <d v="2026-07-21T00:00:00"/>
    <n v="14"/>
    <x v="6"/>
    <n v="7"/>
    <n v="2026"/>
    <x v="0"/>
    <n v="0"/>
    <x v="0"/>
    <m/>
    <d v="2025-08-30T00:00:00"/>
    <x v="0"/>
    <m/>
    <x v="27"/>
  </r>
  <r>
    <x v="0"/>
    <m/>
    <m/>
    <s v="30 days pta"/>
    <x v="0"/>
    <n v="14523.94"/>
    <m/>
    <n v="14523.94"/>
    <x v="5"/>
    <m/>
    <m/>
    <d v="2026-07-07T00:00:00"/>
    <d v="2026-07-13T00:00:00"/>
    <n v="6"/>
    <x v="6"/>
    <n v="7"/>
    <n v="2026"/>
    <x v="1"/>
    <n v="6759.84"/>
    <x v="0"/>
    <m/>
    <d v="2025-10-28T00:00:00"/>
    <x v="0"/>
    <m/>
    <x v="0"/>
  </r>
  <r>
    <x v="0"/>
    <m/>
    <m/>
    <s v="30 days pta"/>
    <x v="0"/>
    <n v="81060"/>
    <m/>
    <n v="81060"/>
    <x v="5"/>
    <m/>
    <m/>
    <d v="2026-07-07T00:00:00"/>
    <d v="2026-07-25T00:00:00"/>
    <n v="18"/>
    <x v="6"/>
    <n v="7"/>
    <n v="2026"/>
    <x v="1"/>
    <n v="0"/>
    <x v="0"/>
    <m/>
    <d v="2025-08-07T00:00:00"/>
    <x v="0"/>
    <m/>
    <x v="10"/>
  </r>
  <r>
    <x v="0"/>
    <m/>
    <m/>
    <s v="30 days pta"/>
    <x v="0"/>
    <n v="14049"/>
    <m/>
    <n v="14049"/>
    <x v="5"/>
    <m/>
    <m/>
    <d v="2026-07-07T00:00:00"/>
    <d v="2026-07-13T00:00:00"/>
    <n v="6"/>
    <x v="6"/>
    <n v="7"/>
    <n v="2026"/>
    <x v="1"/>
    <n v="7494.18"/>
    <x v="0"/>
    <m/>
    <d v="2025-10-28T00:00:00"/>
    <x v="0"/>
    <m/>
    <x v="0"/>
  </r>
  <r>
    <x v="0"/>
    <m/>
    <m/>
    <s v="30 days pta"/>
    <x v="0"/>
    <n v="14523.94"/>
    <m/>
    <n v="14523.94"/>
    <x v="5"/>
    <m/>
    <m/>
    <d v="2026-07-07T00:00:00"/>
    <d v="2026-07-13T00:00:00"/>
    <n v="6"/>
    <x v="6"/>
    <n v="7"/>
    <n v="2026"/>
    <x v="1"/>
    <n v="6759.84"/>
    <x v="0"/>
    <m/>
    <d v="2025-10-28T00:00:00"/>
    <x v="0"/>
    <m/>
    <x v="0"/>
  </r>
  <r>
    <x v="0"/>
    <m/>
    <m/>
    <s v="30 days pta"/>
    <x v="0"/>
    <n v="19314"/>
    <m/>
    <n v="19314"/>
    <x v="5"/>
    <m/>
    <m/>
    <d v="2026-07-10T00:00:00"/>
    <d v="2026-07-17T00:00:00"/>
    <n v="7"/>
    <x v="6"/>
    <n v="7"/>
    <n v="2026"/>
    <x v="1"/>
    <n v="7391.58"/>
    <x v="0"/>
    <m/>
    <d v="2025-10-23T00:00:00"/>
    <x v="0"/>
    <m/>
    <x v="37"/>
  </r>
  <r>
    <x v="0"/>
    <m/>
    <m/>
    <s v="30 days pta"/>
    <x v="0"/>
    <n v="25571.9"/>
    <m/>
    <n v="25571.9"/>
    <x v="5"/>
    <m/>
    <m/>
    <d v="2026-07-10T00:00:00"/>
    <d v="2026-07-19T00:00:00"/>
    <n v="9"/>
    <x v="6"/>
    <n v="7"/>
    <n v="2026"/>
    <x v="1"/>
    <n v="12236.58"/>
    <x v="0"/>
    <m/>
    <d v="2025-07-10T00:00:00"/>
    <x v="0"/>
    <m/>
    <x v="31"/>
  </r>
  <r>
    <x v="0"/>
    <m/>
    <m/>
    <s v="30 days pta"/>
    <x v="0"/>
    <n v="13302"/>
    <m/>
    <n v="13302"/>
    <x v="5"/>
    <m/>
    <m/>
    <d v="2026-07-10T00:00:00"/>
    <d v="2026-07-17T00:00:00"/>
    <n v="7"/>
    <x v="6"/>
    <n v="7"/>
    <n v="2026"/>
    <x v="1"/>
    <n v="4691.12"/>
    <x v="0"/>
    <m/>
    <d v="2025-06-26T00:00:00"/>
    <x v="0"/>
    <m/>
    <x v="33"/>
  </r>
  <r>
    <x v="0"/>
    <m/>
    <m/>
    <s v="30 days pta"/>
    <x v="0"/>
    <n v="12733"/>
    <m/>
    <n v="12733"/>
    <x v="5"/>
    <m/>
    <m/>
    <d v="2026-07-16T00:00:00"/>
    <d v="2026-07-20T00:00:00"/>
    <n v="4"/>
    <x v="6"/>
    <n v="7"/>
    <n v="2026"/>
    <x v="1"/>
    <n v="4122.76"/>
    <x v="0"/>
    <m/>
    <d v="2025-11-10T00:00:00"/>
    <x v="0"/>
    <m/>
    <x v="37"/>
  </r>
  <r>
    <x v="0"/>
    <m/>
    <m/>
    <s v="30 days pta"/>
    <x v="0"/>
    <n v="25985.279999999999"/>
    <n v="2598.5300000000002"/>
    <n v="23386.75"/>
    <x v="4"/>
    <m/>
    <m/>
    <d v="2026-07-16T00:00:00"/>
    <d v="2026-07-28T00:00:00"/>
    <n v="12"/>
    <x v="6"/>
    <n v="7"/>
    <n v="2026"/>
    <x v="1"/>
    <n v="14541.6"/>
    <x v="0"/>
    <m/>
    <d v="2025-08-27T00:00:00"/>
    <x v="0"/>
    <m/>
    <x v="1"/>
  </r>
  <r>
    <x v="0"/>
    <m/>
    <m/>
    <s v="30 days pta"/>
    <x v="0"/>
    <n v="16464"/>
    <m/>
    <n v="16464"/>
    <x v="5"/>
    <m/>
    <m/>
    <d v="2026-07-17T00:00:00"/>
    <d v="2026-07-24T00:00:00"/>
    <n v="7"/>
    <x v="6"/>
    <n v="7"/>
    <n v="2026"/>
    <x v="1"/>
    <n v="7391.58"/>
    <x v="0"/>
    <m/>
    <d v="2025-10-23T00:00:00"/>
    <x v="0"/>
    <m/>
    <x v="37"/>
  </r>
  <r>
    <x v="0"/>
    <m/>
    <m/>
    <s v="30 days pta"/>
    <x v="0"/>
    <n v="32305"/>
    <m/>
    <n v="32305"/>
    <x v="5"/>
    <m/>
    <m/>
    <d v="2026-07-19T00:00:00"/>
    <d v="2026-07-26T00:00:00"/>
    <n v="7"/>
    <x v="6"/>
    <n v="7"/>
    <n v="2026"/>
    <x v="1"/>
    <n v="0"/>
    <x v="0"/>
    <m/>
    <d v="2025-11-04T00:00:00"/>
    <x v="0"/>
    <m/>
    <x v="1"/>
  </r>
  <r>
    <x v="0"/>
    <m/>
    <m/>
    <s v="30 days pta"/>
    <x v="0"/>
    <n v="9408"/>
    <m/>
    <n v="9408"/>
    <x v="5"/>
    <m/>
    <m/>
    <d v="2026-07-20T00:00:00"/>
    <d v="2026-07-24T00:00:00"/>
    <n v="4"/>
    <x v="6"/>
    <n v="7"/>
    <n v="2026"/>
    <x v="1"/>
    <n v="4122.76"/>
    <x v="0"/>
    <m/>
    <d v="2025-11-11T00:00:00"/>
    <x v="0"/>
    <m/>
    <x v="37"/>
  </r>
  <r>
    <x v="0"/>
    <m/>
    <m/>
    <s v="30 days pta"/>
    <x v="0"/>
    <m/>
    <m/>
    <m/>
    <x v="1"/>
    <m/>
    <m/>
    <d v="2026-07-20T00:00:00"/>
    <d v="2026-07-22T00:00:00"/>
    <n v="2"/>
    <x v="6"/>
    <n v="7"/>
    <n v="2026"/>
    <x v="0"/>
    <n v="0"/>
    <x v="0"/>
    <m/>
    <d v="2025-11-29T00:00:00"/>
    <x v="0"/>
    <m/>
    <x v="0"/>
  </r>
  <r>
    <x v="0"/>
    <m/>
    <m/>
    <s v="30 days pta"/>
    <x v="0"/>
    <n v="25545.94"/>
    <m/>
    <n v="25545.94"/>
    <x v="5"/>
    <m/>
    <m/>
    <d v="2026-07-21T00:00:00"/>
    <d v="2026-07-24T00:00:00"/>
    <n v="3"/>
    <x v="6"/>
    <n v="7"/>
    <n v="2026"/>
    <x v="1"/>
    <m/>
    <x v="0"/>
    <m/>
    <d v="2025-12-11T00:00:00"/>
    <x v="0"/>
    <m/>
    <x v="9"/>
  </r>
  <r>
    <x v="0"/>
    <m/>
    <m/>
    <s v="30 days pta"/>
    <x v="0"/>
    <n v="25098.799999999999"/>
    <m/>
    <n v="25098.799999999999"/>
    <x v="5"/>
    <m/>
    <m/>
    <d v="2026-07-21T00:00:00"/>
    <d v="2026-07-28T00:00:00"/>
    <n v="7"/>
    <x v="6"/>
    <n v="7"/>
    <n v="2026"/>
    <x v="1"/>
    <n v="13009.64"/>
    <x v="0"/>
    <m/>
    <d v="2025-08-14T00:00:00"/>
    <x v="0"/>
    <m/>
    <x v="7"/>
  </r>
  <r>
    <x v="0"/>
    <m/>
    <m/>
    <s v="30 days pta"/>
    <x v="0"/>
    <n v="14227"/>
    <m/>
    <n v="14227"/>
    <x v="5"/>
    <m/>
    <m/>
    <d v="2026-07-22T00:00:00"/>
    <d v="2026-07-30T00:00:00"/>
    <n v="8"/>
    <x v="6"/>
    <n v="7"/>
    <n v="2026"/>
    <x v="1"/>
    <n v="6721.6"/>
    <x v="0"/>
    <m/>
    <d v="2025-11-29T00:00:00"/>
    <x v="0"/>
    <m/>
    <x v="0"/>
  </r>
  <r>
    <x v="0"/>
    <m/>
    <m/>
    <s v="30 days pta"/>
    <x v="0"/>
    <n v="31200"/>
    <m/>
    <n v="31200"/>
    <x v="5"/>
    <m/>
    <m/>
    <d v="2026-07-25T00:00:00"/>
    <d v="2026-08-16T00:00:00"/>
    <n v="22"/>
    <x v="6"/>
    <n v="7"/>
    <n v="2026"/>
    <x v="1"/>
    <n v="4060.76"/>
    <x v="0"/>
    <m/>
    <d v="2024-04-09T00:00:00"/>
    <x v="0"/>
    <m/>
    <x v="7"/>
  </r>
  <r>
    <x v="0"/>
    <m/>
    <m/>
    <s v="30 days pta"/>
    <x v="0"/>
    <n v="32942"/>
    <m/>
    <n v="32942"/>
    <x v="5"/>
    <m/>
    <m/>
    <d v="2026-07-25T00:00:00"/>
    <d v="2026-08-08T00:00:00"/>
    <n v="14"/>
    <x v="6"/>
    <n v="7"/>
    <n v="2026"/>
    <x v="1"/>
    <n v="9502.64"/>
    <x v="0"/>
    <m/>
    <d v="2025-09-28T00:00:00"/>
    <x v="0"/>
    <m/>
    <x v="7"/>
  </r>
  <r>
    <x v="0"/>
    <m/>
    <m/>
    <s v="30 days pta"/>
    <x v="0"/>
    <n v="19870"/>
    <m/>
    <n v="19870"/>
    <x v="5"/>
    <m/>
    <m/>
    <d v="2026-07-25T00:00:00"/>
    <d v="2026-08-01T00:00:00"/>
    <n v="7"/>
    <x v="6"/>
    <n v="7"/>
    <n v="2026"/>
    <x v="1"/>
    <n v="7762.51"/>
    <x v="0"/>
    <m/>
    <d v="2024-07-27T00:00:00"/>
    <x v="0"/>
    <m/>
    <x v="38"/>
  </r>
  <r>
    <x v="0"/>
    <m/>
    <m/>
    <s v="30 days pta"/>
    <x v="0"/>
    <n v="25390"/>
    <m/>
    <n v="25390"/>
    <x v="5"/>
    <m/>
    <m/>
    <d v="2026-07-25T00:00:00"/>
    <d v="2026-08-04T00:00:00"/>
    <n v="10"/>
    <x v="6"/>
    <n v="7"/>
    <n v="2026"/>
    <x v="1"/>
    <n v="11221.8"/>
    <x v="0"/>
    <m/>
    <d v="2025-09-16T00:00:00"/>
    <x v="0"/>
    <m/>
    <x v="10"/>
  </r>
  <r>
    <x v="0"/>
    <m/>
    <m/>
    <s v="30 days pta"/>
    <x v="0"/>
    <n v="17520"/>
    <m/>
    <n v="17520"/>
    <x v="5"/>
    <m/>
    <m/>
    <d v="2026-07-26T00:00:00"/>
    <d v="2026-07-31T00:00:00"/>
    <n v="5"/>
    <x v="6"/>
    <n v="7"/>
    <n v="2026"/>
    <x v="1"/>
    <n v="5578.85"/>
    <x v="0"/>
    <m/>
    <d v="2025-06-09T00:00:00"/>
    <x v="0"/>
    <m/>
    <x v="15"/>
  </r>
  <r>
    <x v="0"/>
    <m/>
    <m/>
    <s v="30 days pta"/>
    <x v="0"/>
    <n v="6356.8"/>
    <m/>
    <n v="6356.8"/>
    <x v="5"/>
    <m/>
    <m/>
    <d v="2026-07-28T00:00:00"/>
    <d v="2026-07-30T00:00:00"/>
    <n v="2"/>
    <x v="6"/>
    <n v="7"/>
    <n v="2026"/>
    <x v="1"/>
    <n v="3717.04"/>
    <x v="0"/>
    <m/>
    <d v="2025-08-14T00:00:00"/>
    <x v="0"/>
    <m/>
    <x v="7"/>
  </r>
  <r>
    <x v="0"/>
    <m/>
    <m/>
    <s v="30 days pta"/>
    <x v="0"/>
    <n v="19926.400000000001"/>
    <m/>
    <n v="19926.400000000001"/>
    <x v="5"/>
    <m/>
    <m/>
    <d v="2026-07-30T00:00:00"/>
    <d v="2026-08-06T00:00:00"/>
    <n v="7"/>
    <x v="6"/>
    <n v="7"/>
    <n v="2026"/>
    <x v="1"/>
    <n v="8278.34"/>
    <x v="0"/>
    <m/>
    <d v="2025-09-05T00:00:00"/>
    <x v="0"/>
    <m/>
    <x v="29"/>
  </r>
  <r>
    <x v="0"/>
    <m/>
    <m/>
    <s v="30 days pta"/>
    <x v="0"/>
    <n v="79348"/>
    <m/>
    <n v="79348"/>
    <x v="5"/>
    <m/>
    <m/>
    <d v="2026-08-01T00:00:00"/>
    <d v="2026-08-10T00:00:00"/>
    <n v="9"/>
    <x v="7"/>
    <n v="8"/>
    <n v="2026"/>
    <x v="1"/>
    <n v="29737.8"/>
    <x v="0"/>
    <m/>
    <d v="2025-12-02T00:00:00"/>
    <x v="0"/>
    <m/>
    <x v="10"/>
  </r>
  <r>
    <x v="0"/>
    <m/>
    <m/>
    <s v="30 days pta"/>
    <x v="0"/>
    <n v="24275.94"/>
    <m/>
    <n v="24275.94"/>
    <x v="5"/>
    <m/>
    <m/>
    <d v="2026-08-01T00:00:00"/>
    <d v="2026-08-08T00:00:00"/>
    <n v="7"/>
    <x v="7"/>
    <n v="8"/>
    <n v="2026"/>
    <x v="1"/>
    <n v="6262.9"/>
    <x v="0"/>
    <m/>
    <d v="2025-08-29T00:00:00"/>
    <x v="0"/>
    <m/>
    <x v="15"/>
  </r>
  <r>
    <x v="0"/>
    <m/>
    <m/>
    <s v="30 days pta"/>
    <x v="0"/>
    <n v="28828"/>
    <n v="6000"/>
    <n v="22828"/>
    <x v="4"/>
    <m/>
    <m/>
    <d v="2026-08-03T00:00:00"/>
    <d v="2026-08-14T00:00:00"/>
    <n v="11"/>
    <x v="7"/>
    <n v="8"/>
    <n v="2026"/>
    <x v="1"/>
    <n v="19256.71"/>
    <x v="0"/>
    <m/>
    <d v="2025-03-19T00:00:00"/>
    <x v="0"/>
    <m/>
    <x v="1"/>
  </r>
  <r>
    <x v="0"/>
    <m/>
    <m/>
    <s v="30 days pta"/>
    <x v="0"/>
    <n v="11195"/>
    <m/>
    <n v="11195"/>
    <x v="5"/>
    <m/>
    <m/>
    <d v="2026-08-03T00:00:00"/>
    <d v="2026-08-05T00:00:00"/>
    <n v="2"/>
    <x v="7"/>
    <n v="8"/>
    <n v="2026"/>
    <x v="1"/>
    <n v="2808.86"/>
    <x v="0"/>
    <m/>
    <m/>
    <x v="0"/>
    <m/>
    <x v="9"/>
  </r>
  <r>
    <x v="0"/>
    <m/>
    <m/>
    <s v="30 days pta"/>
    <x v="0"/>
    <n v="11195"/>
    <m/>
    <n v="11195"/>
    <x v="5"/>
    <m/>
    <m/>
    <d v="2026-08-05T00:00:00"/>
    <d v="2026-08-07T00:00:00"/>
    <n v="2"/>
    <x v="7"/>
    <n v="8"/>
    <n v="2026"/>
    <x v="1"/>
    <n v="6596.74"/>
    <x v="0"/>
    <m/>
    <m/>
    <x v="0"/>
    <m/>
    <x v="9"/>
  </r>
  <r>
    <x v="0"/>
    <m/>
    <m/>
    <s v="30 days pta"/>
    <x v="0"/>
    <n v="30618"/>
    <m/>
    <n v="30618"/>
    <x v="5"/>
    <m/>
    <m/>
    <d v="2026-08-08T00:00:00"/>
    <d v="2026-08-24T00:00:00"/>
    <n v="16"/>
    <x v="7"/>
    <n v="8"/>
    <n v="2026"/>
    <x v="1"/>
    <n v="12338.72"/>
    <x v="0"/>
    <m/>
    <d v="2025-09-19T00:00:00"/>
    <x v="0"/>
    <m/>
    <x v="0"/>
  </r>
  <r>
    <x v="0"/>
    <m/>
    <m/>
    <s v="30 days pta"/>
    <x v="0"/>
    <n v="48328.02"/>
    <m/>
    <n v="48328.02"/>
    <x v="5"/>
    <m/>
    <m/>
    <d v="2026-08-08T00:00:00"/>
    <d v="2026-08-29T00:00:00"/>
    <n v="21"/>
    <x v="7"/>
    <n v="8"/>
    <n v="2026"/>
    <x v="1"/>
    <n v="31852.799999999999"/>
    <x v="0"/>
    <m/>
    <d v="2025-10-10T00:00:00"/>
    <x v="0"/>
    <m/>
    <x v="33"/>
  </r>
  <r>
    <x v="0"/>
    <m/>
    <m/>
    <s v="30 days pta"/>
    <x v="0"/>
    <n v="80823.399999999994"/>
    <m/>
    <n v="80823.399999999994"/>
    <x v="5"/>
    <m/>
    <m/>
    <d v="2026-08-09T00:00:00"/>
    <d v="2026-08-23T00:00:00"/>
    <n v="14"/>
    <x v="7"/>
    <n v="8"/>
    <n v="2026"/>
    <x v="1"/>
    <n v="50727.6"/>
    <x v="0"/>
    <m/>
    <d v="2025-09-11T00:00:00"/>
    <x v="0"/>
    <m/>
    <x v="1"/>
  </r>
  <r>
    <x v="0"/>
    <m/>
    <m/>
    <s v="30 days pta"/>
    <x v="0"/>
    <n v="61357"/>
    <m/>
    <n v="61357"/>
    <x v="5"/>
    <m/>
    <m/>
    <d v="2026-08-10T00:00:00"/>
    <d v="2026-08-21T00:00:00"/>
    <n v="11"/>
    <x v="7"/>
    <n v="8"/>
    <n v="2026"/>
    <x v="1"/>
    <n v="32943.35"/>
    <x v="0"/>
    <m/>
    <d v="2025-10-30T00:00:00"/>
    <x v="0"/>
    <m/>
    <x v="15"/>
  </r>
  <r>
    <x v="0"/>
    <m/>
    <m/>
    <s v="30 days pta"/>
    <x v="0"/>
    <n v="21540"/>
    <m/>
    <n v="21540"/>
    <x v="5"/>
    <m/>
    <m/>
    <d v="2026-08-11T00:00:00"/>
    <d v="2026-08-16T00:00:00"/>
    <n v="5"/>
    <x v="7"/>
    <n v="8"/>
    <n v="2026"/>
    <x v="1"/>
    <n v="8702.4"/>
    <x v="0"/>
    <m/>
    <d v="2025-11-29T00:00:00"/>
    <x v="0"/>
    <m/>
    <x v="19"/>
  </r>
  <r>
    <x v="0"/>
    <m/>
    <m/>
    <s v="30 days pta"/>
    <x v="0"/>
    <n v="9625.26"/>
    <m/>
    <n v="9625.26"/>
    <x v="5"/>
    <m/>
    <m/>
    <d v="2026-08-11T00:00:00"/>
    <d v="2026-08-15T00:00:00"/>
    <n v="4"/>
    <x v="7"/>
    <n v="8"/>
    <n v="2026"/>
    <x v="1"/>
    <n v="4406.28"/>
    <x v="0"/>
    <m/>
    <d v="2025-11-04T00:00:00"/>
    <x v="0"/>
    <m/>
    <x v="5"/>
  </r>
  <r>
    <x v="0"/>
    <m/>
    <m/>
    <s v="30 days pta"/>
    <x v="0"/>
    <n v="16674.900000000001"/>
    <m/>
    <n v="16674.900000000001"/>
    <x v="5"/>
    <m/>
    <m/>
    <d v="2026-08-12T00:00:00"/>
    <d v="2026-08-15T00:00:00"/>
    <n v="3"/>
    <x v="7"/>
    <n v="8"/>
    <n v="2026"/>
    <x v="1"/>
    <n v="6366.3"/>
    <x v="0"/>
    <m/>
    <d v="2025-11-05T00:00:00"/>
    <x v="0"/>
    <m/>
    <x v="8"/>
  </r>
  <r>
    <x v="0"/>
    <m/>
    <m/>
    <s v="30 days pta"/>
    <x v="0"/>
    <n v="81789"/>
    <m/>
    <n v="81789"/>
    <x v="5"/>
    <m/>
    <m/>
    <d v="2026-08-12T00:00:00"/>
    <d v="2026-08-26T00:00:00"/>
    <n v="14"/>
    <x v="7"/>
    <n v="8"/>
    <n v="2026"/>
    <x v="1"/>
    <n v="0"/>
    <x v="0"/>
    <m/>
    <d v="2025-11-29T00:00:00"/>
    <x v="0"/>
    <m/>
    <x v="5"/>
  </r>
  <r>
    <x v="0"/>
    <m/>
    <m/>
    <s v="30 days pta"/>
    <x v="0"/>
    <m/>
    <m/>
    <m/>
    <x v="1"/>
    <m/>
    <m/>
    <d v="2026-08-14T00:00:00"/>
    <d v="2026-08-28T00:00:00"/>
    <n v="14"/>
    <x v="7"/>
    <n v="8"/>
    <n v="2026"/>
    <x v="0"/>
    <n v="0"/>
    <x v="0"/>
    <m/>
    <d v="2025-10-20T00:00:00"/>
    <x v="0"/>
    <m/>
    <x v="0"/>
  </r>
  <r>
    <x v="0"/>
    <m/>
    <m/>
    <s v="30 days pta"/>
    <x v="0"/>
    <n v="16533.2"/>
    <m/>
    <n v="16533.2"/>
    <x v="5"/>
    <m/>
    <m/>
    <d v="2026-08-15T00:00:00"/>
    <d v="2026-08-19T00:00:00"/>
    <n v="4"/>
    <x v="7"/>
    <n v="8"/>
    <n v="2026"/>
    <x v="1"/>
    <n v="8488.4"/>
    <x v="0"/>
    <m/>
    <d v="2025-11-05T00:00:00"/>
    <x v="0"/>
    <m/>
    <x v="8"/>
  </r>
  <r>
    <x v="0"/>
    <m/>
    <m/>
    <s v="30 days pta"/>
    <x v="0"/>
    <n v="90916.64"/>
    <n v="22729.15"/>
    <n v="68187.490000000005"/>
    <x v="4"/>
    <m/>
    <m/>
    <d v="2026-08-16T00:00:00"/>
    <d v="2026-08-28T00:00:00"/>
    <n v="12"/>
    <x v="7"/>
    <n v="8"/>
    <n v="2026"/>
    <x v="1"/>
    <n v="49086.239999999998"/>
    <x v="0"/>
    <m/>
    <d v="2025-12-01T00:00:00"/>
    <x v="0"/>
    <m/>
    <x v="1"/>
  </r>
  <r>
    <x v="0"/>
    <m/>
    <m/>
    <s v="30 days pta"/>
    <x v="0"/>
    <n v="29990.76"/>
    <m/>
    <n v="29990.76"/>
    <x v="5"/>
    <m/>
    <m/>
    <d v="2026-08-20T00:00:00"/>
    <d v="2026-08-27T00:00:00"/>
    <n v="7"/>
    <x v="7"/>
    <n v="8"/>
    <n v="2026"/>
    <x v="1"/>
    <n v="19285.490000000002"/>
    <x v="0"/>
    <m/>
    <d v="2025-12-02T00:00:00"/>
    <x v="0"/>
    <m/>
    <x v="26"/>
  </r>
  <r>
    <x v="0"/>
    <m/>
    <m/>
    <s v="30 days pta"/>
    <x v="0"/>
    <n v="14218"/>
    <m/>
    <n v="14218"/>
    <x v="5"/>
    <m/>
    <m/>
    <d v="2026-08-28T00:00:00"/>
    <d v="2026-09-04T00:00:00"/>
    <n v="7"/>
    <x v="7"/>
    <n v="8"/>
    <n v="2026"/>
    <x v="1"/>
    <n v="6013.98"/>
    <x v="0"/>
    <m/>
    <d v="2025-09-28T00:00:00"/>
    <x v="0"/>
    <m/>
    <x v="7"/>
  </r>
  <r>
    <x v="0"/>
    <m/>
    <m/>
    <s v="30 days pta"/>
    <x v="0"/>
    <n v="26703"/>
    <m/>
    <n v="26703"/>
    <x v="5"/>
    <m/>
    <m/>
    <d v="2026-08-30T00:00:00"/>
    <d v="2026-09-10T00:00:00"/>
    <n v="11"/>
    <x v="7"/>
    <n v="8"/>
    <n v="2026"/>
    <x v="1"/>
    <n v="7132.84"/>
    <x v="0"/>
    <m/>
    <d v="2025-10-15T00:00:00"/>
    <x v="0"/>
    <m/>
    <x v="5"/>
  </r>
  <r>
    <x v="0"/>
    <m/>
    <m/>
    <s v="30 days pta"/>
    <x v="0"/>
    <n v="18228"/>
    <n v="3553.91"/>
    <n v="14674.09"/>
    <x v="4"/>
    <m/>
    <m/>
    <d v="2026-09-01T00:00:00"/>
    <d v="2026-09-15T00:00:00"/>
    <n v="14"/>
    <x v="8"/>
    <n v="9"/>
    <n v="2026"/>
    <x v="1"/>
    <n v="12264.98"/>
    <x v="0"/>
    <m/>
    <d v="2021-09-27T00:00:00"/>
    <x v="0"/>
    <m/>
    <x v="7"/>
  </r>
  <r>
    <x v="0"/>
    <m/>
    <m/>
    <s v="30 days pta"/>
    <x v="0"/>
    <n v="60205"/>
    <m/>
    <n v="60205"/>
    <x v="5"/>
    <m/>
    <m/>
    <d v="2026-09-04T00:00:00"/>
    <d v="2026-09-14T00:00:00"/>
    <n v="10"/>
    <x v="8"/>
    <n v="9"/>
    <n v="2026"/>
    <x v="1"/>
    <n v="0"/>
    <x v="0"/>
    <m/>
    <d v="2025-11-13T00:00:00"/>
    <x v="0"/>
    <m/>
    <x v="0"/>
  </r>
  <r>
    <x v="0"/>
    <m/>
    <m/>
    <s v="30 days pta"/>
    <x v="0"/>
    <n v="4555"/>
    <m/>
    <n v="4555"/>
    <x v="5"/>
    <m/>
    <m/>
    <d v="2026-09-05T00:00:00"/>
    <d v="2026-09-10T00:00:00"/>
    <n v="5"/>
    <x v="8"/>
    <n v="9"/>
    <n v="2026"/>
    <x v="1"/>
    <n v="906.2"/>
    <x v="0"/>
    <m/>
    <d v="2025-11-06T00:00:00"/>
    <x v="0"/>
    <m/>
    <x v="35"/>
  </r>
  <r>
    <x v="0"/>
    <m/>
    <m/>
    <s v="30 days pta"/>
    <x v="0"/>
    <n v="52304.28"/>
    <m/>
    <n v="52304.28"/>
    <x v="5"/>
    <m/>
    <m/>
    <d v="2026-09-15T00:00:00"/>
    <d v="2026-09-19T00:00:00"/>
    <n v="4"/>
    <x v="8"/>
    <n v="9"/>
    <n v="2026"/>
    <x v="1"/>
    <n v="22683.360000000001"/>
    <x v="0"/>
    <m/>
    <d v="2025-10-14T00:00:00"/>
    <x v="0"/>
    <m/>
    <x v="13"/>
  </r>
  <r>
    <x v="0"/>
    <m/>
    <m/>
    <s v="30 days pta"/>
    <x v="0"/>
    <n v="24061.38"/>
    <m/>
    <n v="24061.38"/>
    <x v="5"/>
    <m/>
    <m/>
    <d v="2026-09-17T00:00:00"/>
    <d v="2026-09-26T00:00:00"/>
    <n v="9"/>
    <x v="8"/>
    <n v="9"/>
    <n v="2026"/>
    <x v="1"/>
    <n v="10893.51"/>
    <x v="0"/>
    <m/>
    <d v="2025-10-22T00:00:00"/>
    <x v="0"/>
    <m/>
    <x v="31"/>
  </r>
  <r>
    <x v="0"/>
    <m/>
    <m/>
    <s v="30 days pta"/>
    <x v="0"/>
    <m/>
    <m/>
    <m/>
    <x v="1"/>
    <m/>
    <m/>
    <d v="2026-09-18T00:00:00"/>
    <d v="2026-09-20T00:00:00"/>
    <n v="2"/>
    <x v="8"/>
    <n v="9"/>
    <n v="2026"/>
    <x v="0"/>
    <n v="0"/>
    <x v="0"/>
    <m/>
    <d v="2025-09-10T00:00:00"/>
    <x v="0"/>
    <m/>
    <x v="31"/>
  </r>
  <r>
    <x v="0"/>
    <m/>
    <m/>
    <s v="30 days pta"/>
    <x v="0"/>
    <n v="77375.33"/>
    <m/>
    <n v="77375.33"/>
    <x v="5"/>
    <m/>
    <m/>
    <d v="2026-09-20T00:00:00"/>
    <d v="2026-10-05T00:00:00"/>
    <n v="15"/>
    <x v="8"/>
    <n v="9"/>
    <n v="2026"/>
    <x v="1"/>
    <n v="49416.15"/>
    <x v="0"/>
    <m/>
    <d v="2025-06-06T00:00:00"/>
    <x v="0"/>
    <m/>
    <x v="1"/>
  </r>
  <r>
    <x v="0"/>
    <m/>
    <m/>
    <s v="30 days pta"/>
    <x v="0"/>
    <n v="11999.6"/>
    <m/>
    <n v="11999.6"/>
    <x v="5"/>
    <m/>
    <m/>
    <d v="2026-09-20T00:00:00"/>
    <d v="2026-09-27T00:00:00"/>
    <n v="7"/>
    <x v="8"/>
    <n v="9"/>
    <n v="2026"/>
    <x v="1"/>
    <n v="4562.25"/>
    <x v="0"/>
    <m/>
    <d v="2025-12-05T00:00:00"/>
    <x v="0"/>
    <m/>
    <x v="8"/>
  </r>
  <r>
    <x v="0"/>
    <m/>
    <m/>
    <s v="30 days pta"/>
    <x v="0"/>
    <n v="11052.74"/>
    <m/>
    <n v="11052.74"/>
    <x v="5"/>
    <m/>
    <m/>
    <d v="2026-09-20T00:00:00"/>
    <d v="2026-09-23T00:00:00"/>
    <n v="3"/>
    <x v="8"/>
    <n v="9"/>
    <n v="2026"/>
    <x v="1"/>
    <n v="5363.04"/>
    <x v="0"/>
    <m/>
    <d v="2025-08-24T00:00:00"/>
    <x v="0"/>
    <m/>
    <x v="31"/>
  </r>
  <r>
    <x v="0"/>
    <m/>
    <m/>
    <s v="30 days pta"/>
    <x v="0"/>
    <n v="34325.81"/>
    <m/>
    <n v="34325.81"/>
    <x v="3"/>
    <m/>
    <m/>
    <d v="2026-09-22T00:00:00"/>
    <d v="2026-10-02T00:00:00"/>
    <n v="10"/>
    <x v="8"/>
    <n v="9"/>
    <n v="2026"/>
    <x v="1"/>
    <n v="25019.7"/>
    <x v="0"/>
    <m/>
    <d v="2025-10-30T00:00:00"/>
    <x v="0"/>
    <m/>
    <x v="1"/>
  </r>
  <r>
    <x v="0"/>
    <m/>
    <m/>
    <s v="30 days pta"/>
    <x v="0"/>
    <n v="15953"/>
    <m/>
    <n v="15953"/>
    <x v="5"/>
    <m/>
    <m/>
    <d v="2026-09-27T00:00:00"/>
    <d v="2026-10-04T00:00:00"/>
    <n v="7"/>
    <x v="8"/>
    <n v="9"/>
    <n v="2026"/>
    <x v="1"/>
    <n v="7063"/>
    <x v="0"/>
    <m/>
    <d v="2025-09-23T00:00:00"/>
    <x v="0"/>
    <m/>
    <x v="7"/>
  </r>
  <r>
    <x v="0"/>
    <m/>
    <m/>
    <s v="30 days pta"/>
    <x v="0"/>
    <n v="10092"/>
    <m/>
    <n v="10092"/>
    <x v="5"/>
    <m/>
    <m/>
    <d v="2026-10-02T00:00:00"/>
    <d v="2026-10-06T00:00:00"/>
    <n v="4"/>
    <x v="9"/>
    <n v="10"/>
    <n v="2026"/>
    <x v="1"/>
    <n v="4599.84"/>
    <x v="0"/>
    <m/>
    <d v="2025-10-18T00:00:00"/>
    <x v="0"/>
    <m/>
    <x v="31"/>
  </r>
  <r>
    <x v="0"/>
    <m/>
    <m/>
    <s v="30 days pta"/>
    <x v="0"/>
    <m/>
    <m/>
    <m/>
    <x v="2"/>
    <m/>
    <m/>
    <d v="2026-10-04T00:00:00"/>
    <d v="2026-10-18T00:00:00"/>
    <n v="14"/>
    <x v="9"/>
    <n v="10"/>
    <n v="2026"/>
    <x v="0"/>
    <n v="74514.44"/>
    <x v="0"/>
    <m/>
    <m/>
    <x v="0"/>
    <m/>
    <x v="9"/>
  </r>
  <r>
    <x v="0"/>
    <m/>
    <m/>
    <s v="30 days pta"/>
    <x v="0"/>
    <m/>
    <m/>
    <m/>
    <x v="1"/>
    <m/>
    <m/>
    <d v="2026-10-10T00:00:00"/>
    <d v="2026-11-15T00:00:00"/>
    <n v="36"/>
    <x v="9"/>
    <n v="10"/>
    <n v="2026"/>
    <x v="0"/>
    <n v="0"/>
    <x v="0"/>
    <m/>
    <d v="2025-10-31T00:00:00"/>
    <x v="0"/>
    <m/>
    <x v="7"/>
  </r>
  <r>
    <x v="0"/>
    <m/>
    <m/>
    <s v="30 days pta"/>
    <x v="0"/>
    <n v="15250"/>
    <m/>
    <n v="15250"/>
    <x v="5"/>
    <m/>
    <m/>
    <d v="2026-10-12T00:00:00"/>
    <d v="2026-10-19T00:00:00"/>
    <n v="7"/>
    <x v="9"/>
    <n v="10"/>
    <n v="2026"/>
    <x v="1"/>
    <n v="3064.46"/>
    <x v="0"/>
    <m/>
    <d v="2025-10-16T00:00:00"/>
    <x v="0"/>
    <m/>
    <x v="16"/>
  </r>
  <r>
    <x v="0"/>
    <m/>
    <m/>
    <s v="90 days pta"/>
    <x v="0"/>
    <n v="45487.54"/>
    <n v="11371.88"/>
    <n v="34115.660000000003"/>
    <x v="4"/>
    <m/>
    <m/>
    <d v="2026-10-18T00:00:00"/>
    <d v="2026-10-24T00:00:00"/>
    <n v="6"/>
    <x v="9"/>
    <n v="10"/>
    <n v="2026"/>
    <x v="1"/>
    <n v="27289.8"/>
    <x v="0"/>
    <m/>
    <d v="2025-11-24T00:00:00"/>
    <x v="0"/>
    <m/>
    <x v="7"/>
  </r>
  <r>
    <x v="0"/>
    <m/>
    <m/>
    <s v="90 days pta"/>
    <x v="0"/>
    <n v="133624"/>
    <n v="33406"/>
    <n v="100218"/>
    <x v="4"/>
    <m/>
    <m/>
    <d v="2026-10-18T00:00:00"/>
    <d v="2026-10-29T00:00:00"/>
    <n v="11"/>
    <x v="9"/>
    <n v="10"/>
    <n v="2026"/>
    <x v="1"/>
    <n v="68671.240000000005"/>
    <x v="0"/>
    <m/>
    <d v="2025-09-04T00:00:00"/>
    <x v="0"/>
    <m/>
    <x v="7"/>
  </r>
  <r>
    <x v="0"/>
    <m/>
    <m/>
    <s v="90 days pta"/>
    <x v="0"/>
    <n v="41000"/>
    <n v="4100"/>
    <n v="36900"/>
    <x v="4"/>
    <m/>
    <m/>
    <d v="2026-10-18T00:00:00"/>
    <d v="2026-11-01T00:00:00"/>
    <n v="14"/>
    <x v="9"/>
    <n v="10"/>
    <n v="2026"/>
    <x v="1"/>
    <n v="24474.18"/>
    <x v="0"/>
    <m/>
    <d v="2025-02-13T00:00:00"/>
    <x v="0"/>
    <m/>
    <x v="6"/>
  </r>
  <r>
    <x v="0"/>
    <m/>
    <m/>
    <s v="90 days pta"/>
    <x v="0"/>
    <m/>
    <m/>
    <m/>
    <x v="1"/>
    <m/>
    <m/>
    <d v="2026-11-01T00:00:00"/>
    <d v="2026-11-03T00:00:00"/>
    <n v="2"/>
    <x v="10"/>
    <n v="11"/>
    <n v="2026"/>
    <x v="0"/>
    <n v="0"/>
    <x v="0"/>
    <m/>
    <d v="2025-09-15T00:00:00"/>
    <x v="0"/>
    <m/>
    <x v="4"/>
  </r>
  <r>
    <x v="0"/>
    <m/>
    <m/>
    <s v="30 days pta"/>
    <x v="0"/>
    <n v="39048.589999999997"/>
    <m/>
    <n v="39048.589999999997"/>
    <x v="5"/>
    <m/>
    <m/>
    <d v="2026-11-04T00:00:00"/>
    <d v="2026-11-16T00:00:00"/>
    <n v="12"/>
    <x v="10"/>
    <n v="11"/>
    <n v="2026"/>
    <x v="1"/>
    <n v="26404.560000000001"/>
    <x v="0"/>
    <m/>
    <d v="2025-12-10T00:00:00"/>
    <x v="0"/>
    <m/>
    <x v="18"/>
  </r>
  <r>
    <x v="0"/>
    <m/>
    <m/>
    <s v="30 days pta"/>
    <x v="0"/>
    <n v="46963.34"/>
    <m/>
    <n v="46963.34"/>
    <x v="5"/>
    <m/>
    <m/>
    <d v="2026-11-08T00:00:00"/>
    <d v="2026-11-26T00:00:00"/>
    <n v="18"/>
    <x v="10"/>
    <n v="11"/>
    <n v="2026"/>
    <x v="1"/>
    <n v="24871.32"/>
    <x v="0"/>
    <m/>
    <d v="2025-11-28T00:00:00"/>
    <x v="0"/>
    <m/>
    <x v="30"/>
  </r>
  <r>
    <x v="0"/>
    <m/>
    <m/>
    <s v="30 days pta"/>
    <x v="0"/>
    <n v="47206"/>
    <m/>
    <n v="47206"/>
    <x v="5"/>
    <m/>
    <m/>
    <d v="2026-11-12T00:00:00"/>
    <d v="2026-11-22T00:00:00"/>
    <n v="10"/>
    <x v="10"/>
    <n v="11"/>
    <n v="2026"/>
    <x v="1"/>
    <n v="27065"/>
    <x v="0"/>
    <m/>
    <d v="2025-12-04T00:00:00"/>
    <x v="0"/>
    <m/>
    <x v="1"/>
  </r>
  <r>
    <x v="0"/>
    <m/>
    <m/>
    <s v="30 days pta"/>
    <x v="0"/>
    <n v="36163.879999999997"/>
    <n v="9040.9699999999993"/>
    <n v="27122.91"/>
    <x v="4"/>
    <m/>
    <m/>
    <d v="2026-11-15T00:00:00"/>
    <d v="2026-11-29T00:00:00"/>
    <n v="14"/>
    <x v="10"/>
    <n v="11"/>
    <n v="2026"/>
    <x v="1"/>
    <n v="18626.3"/>
    <x v="0"/>
    <m/>
    <d v="2025-11-30T00:00:00"/>
    <x v="0"/>
    <m/>
    <x v="7"/>
  </r>
  <r>
    <x v="0"/>
    <m/>
    <m/>
    <s v="30 days pta"/>
    <x v="0"/>
    <n v="35816.25"/>
    <m/>
    <n v="35816.25"/>
    <x v="5"/>
    <m/>
    <m/>
    <d v="2026-11-18T00:00:00"/>
    <d v="2026-12-13T00:00:00"/>
    <n v="25"/>
    <x v="10"/>
    <n v="11"/>
    <n v="2026"/>
    <x v="1"/>
    <n v="0"/>
    <x v="0"/>
    <m/>
    <d v="2025-01-20T00:00:00"/>
    <x v="0"/>
    <m/>
    <x v="30"/>
  </r>
  <r>
    <x v="0"/>
    <m/>
    <m/>
    <s v="30 days pta"/>
    <x v="0"/>
    <n v="139600"/>
    <n v="27500"/>
    <n v="112100"/>
    <x v="4"/>
    <m/>
    <m/>
    <d v="2026-11-21T00:00:00"/>
    <d v="2026-12-01T00:00:00"/>
    <n v="10"/>
    <x v="10"/>
    <n v="11"/>
    <n v="2026"/>
    <x v="1"/>
    <n v="29658.1"/>
    <x v="0"/>
    <m/>
    <d v="2025-10-02T00:00:00"/>
    <x v="0"/>
    <m/>
    <x v="15"/>
  </r>
  <r>
    <x v="0"/>
    <m/>
    <m/>
    <s v="30 days pta"/>
    <x v="0"/>
    <n v="69190"/>
    <m/>
    <n v="69190"/>
    <x v="5"/>
    <m/>
    <m/>
    <d v="2026-12-02T00:00:00"/>
    <d v="2026-12-12T00:00:00"/>
    <n v="10"/>
    <x v="11"/>
    <n v="12"/>
    <n v="2026"/>
    <x v="1"/>
    <n v="0"/>
    <x v="0"/>
    <m/>
    <d v="2025-09-30T00:00:00"/>
    <x v="0"/>
    <m/>
    <x v="1"/>
  </r>
  <r>
    <x v="0"/>
    <m/>
    <m/>
    <s v="30 days pta"/>
    <x v="0"/>
    <n v="40829.300000000003"/>
    <m/>
    <n v="40829.300000000003"/>
    <x v="5"/>
    <m/>
    <m/>
    <d v="2026-12-03T00:00:00"/>
    <d v="2026-12-07T00:00:00"/>
    <n v="4"/>
    <x v="11"/>
    <n v="12"/>
    <n v="2026"/>
    <x v="1"/>
    <n v="0"/>
    <x v="0"/>
    <m/>
    <d v="2024-08-29T00:00:00"/>
    <x v="0"/>
    <m/>
    <x v="15"/>
  </r>
  <r>
    <x v="0"/>
    <m/>
    <m/>
    <s v="30 days pta"/>
    <x v="0"/>
    <n v="40829.300000000003"/>
    <m/>
    <n v="40829.300000000003"/>
    <x v="5"/>
    <m/>
    <m/>
    <d v="2026-12-10T00:00:00"/>
    <d v="2026-12-15T00:00:00"/>
    <n v="5"/>
    <x v="11"/>
    <n v="12"/>
    <n v="2026"/>
    <x v="1"/>
    <n v="26451.3"/>
    <x v="0"/>
    <m/>
    <d v="2025-11-11T00:00:00"/>
    <x v="0"/>
    <m/>
    <x v="1"/>
  </r>
  <r>
    <x v="0"/>
    <m/>
    <m/>
    <s v="30 days pta"/>
    <x v="0"/>
    <n v="195732"/>
    <n v="48933"/>
    <n v="146799"/>
    <x v="4"/>
    <m/>
    <m/>
    <d v="2026-12-18T00:00:00"/>
    <d v="2026-12-28T00:00:00"/>
    <n v="10"/>
    <x v="11"/>
    <n v="12"/>
    <n v="2026"/>
    <x v="1"/>
    <n v="130130.78"/>
    <x v="0"/>
    <m/>
    <d v="2025-11-20T00:00:00"/>
    <x v="0"/>
    <m/>
    <x v="1"/>
  </r>
  <r>
    <x v="0"/>
    <m/>
    <m/>
    <s v="30 days pta"/>
    <x v="0"/>
    <m/>
    <m/>
    <m/>
    <x v="1"/>
    <m/>
    <m/>
    <d v="2026-12-20T00:00:00"/>
    <d v="2027-01-09T00:00:00"/>
    <n v="20"/>
    <x v="11"/>
    <n v="12"/>
    <n v="2026"/>
    <x v="0"/>
    <n v="0"/>
    <x v="0"/>
    <m/>
    <d v="2025-08-07T00:00:00"/>
    <x v="0"/>
    <m/>
    <x v="16"/>
  </r>
  <r>
    <x v="0"/>
    <m/>
    <m/>
    <s v="90 days pta"/>
    <x v="0"/>
    <n v="321650"/>
    <n v="166662.98000000001"/>
    <n v="154987.01999999999"/>
    <x v="4"/>
    <m/>
    <m/>
    <d v="2026-12-20T00:00:00"/>
    <d v="2027-01-04T00:00:00"/>
    <n v="15"/>
    <x v="11"/>
    <n v="12"/>
    <n v="2026"/>
    <x v="1"/>
    <n v="212683.2"/>
    <x v="0"/>
    <m/>
    <d v="2025-02-21T00:00:00"/>
    <x v="0"/>
    <m/>
    <x v="30"/>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2"/>
    <m/>
    <m/>
    <s v="90 days pta"/>
    <x v="0"/>
    <n v="13788.38"/>
    <n v="13788.38"/>
    <m/>
    <x v="0"/>
    <m/>
    <m/>
    <d v="2026-01-01T00:00:00"/>
    <d v="2026-01-02T00:00:00"/>
    <n v="1"/>
    <x v="0"/>
    <n v="1"/>
    <n v="2026"/>
    <x v="0"/>
    <n v="7349.19"/>
    <x v="0"/>
    <m/>
    <d v="2025-09-12T00:00:00"/>
    <x v="0"/>
    <m/>
    <x v="8"/>
  </r>
  <r>
    <x v="2"/>
    <m/>
    <m/>
    <s v="90 days pta"/>
    <x v="0"/>
    <n v="96137.600000000006"/>
    <n v="96137.600000000006"/>
    <m/>
    <x v="0"/>
    <m/>
    <m/>
    <d v="2026-01-01T00:00:00"/>
    <d v="2026-01-05T00:00:00"/>
    <n v="4"/>
    <x v="0"/>
    <n v="1"/>
    <n v="2026"/>
    <x v="0"/>
    <n v="66161.16"/>
    <x v="0"/>
    <m/>
    <d v="2025-05-17T00:00:00"/>
    <x v="0"/>
    <m/>
    <x v="8"/>
  </r>
  <r>
    <x v="2"/>
    <m/>
    <m/>
    <s v="90 days pta"/>
    <x v="0"/>
    <n v="79580"/>
    <n v="79580"/>
    <m/>
    <x v="0"/>
    <m/>
    <m/>
    <d v="2026-01-01T00:00:00"/>
    <d v="2026-01-05T00:00:00"/>
    <n v="4"/>
    <x v="0"/>
    <n v="1"/>
    <n v="2026"/>
    <x v="0"/>
    <n v="48593.64"/>
    <x v="0"/>
    <m/>
    <d v="2025-03-08T00:00:00"/>
    <x v="0"/>
    <m/>
    <x v="15"/>
  </r>
  <r>
    <x v="2"/>
    <m/>
    <m/>
    <s v="90 days pta"/>
    <x v="0"/>
    <n v="31054.799999999999"/>
    <n v="31054.799999999999"/>
    <m/>
    <x v="0"/>
    <m/>
    <m/>
    <d v="2026-01-02T00:00:00"/>
    <d v="2026-01-06T00:00:00"/>
    <n v="4"/>
    <x v="0"/>
    <n v="1"/>
    <n v="2026"/>
    <x v="0"/>
    <n v="21277.4"/>
    <x v="0"/>
    <m/>
    <d v="2025-02-11T00:00:00"/>
    <x v="0"/>
    <m/>
    <x v="15"/>
  </r>
  <r>
    <x v="2"/>
    <m/>
    <m/>
    <s v="90 days pta"/>
    <x v="0"/>
    <n v="142945.63"/>
    <n v="142945.63"/>
    <m/>
    <x v="0"/>
    <m/>
    <m/>
    <d v="2026-01-03T00:00:00"/>
    <d v="2026-01-10T00:00:00"/>
    <n v="7"/>
    <x v="0"/>
    <n v="1"/>
    <n v="2026"/>
    <x v="0"/>
    <n v="81000.78"/>
    <x v="0"/>
    <m/>
    <d v="2025-11-17T00:00:00"/>
    <x v="0"/>
    <m/>
    <x v="19"/>
  </r>
  <r>
    <x v="2"/>
    <m/>
    <m/>
    <s v="90 days pta"/>
    <x v="0"/>
    <n v="104286"/>
    <n v="104286"/>
    <m/>
    <x v="0"/>
    <m/>
    <m/>
    <d v="2026-01-04T00:00:00"/>
    <d v="2026-01-11T00:00:00"/>
    <n v="7"/>
    <x v="0"/>
    <n v="1"/>
    <n v="2026"/>
    <x v="0"/>
    <n v="76173.3"/>
    <x v="0"/>
    <m/>
    <d v="2025-10-23T00:00:00"/>
    <x v="0"/>
    <m/>
    <x v="15"/>
  </r>
  <r>
    <x v="2"/>
    <m/>
    <m/>
    <s v="90 days pta"/>
    <x v="0"/>
    <n v="108000"/>
    <n v="108000"/>
    <m/>
    <x v="0"/>
    <m/>
    <m/>
    <d v="2026-01-04T00:00:00"/>
    <d v="2026-01-12T00:00:00"/>
    <n v="8"/>
    <x v="0"/>
    <n v="1"/>
    <n v="2026"/>
    <x v="0"/>
    <n v="77793.279999999999"/>
    <x v="0"/>
    <m/>
    <d v="2025-11-21T00:00:00"/>
    <x v="0"/>
    <m/>
    <x v="0"/>
  </r>
  <r>
    <x v="2"/>
    <m/>
    <m/>
    <s v="90 days pta"/>
    <x v="0"/>
    <n v="64812.480000000003"/>
    <n v="64812.480000000003"/>
    <m/>
    <x v="0"/>
    <m/>
    <m/>
    <d v="2026-01-07T00:00:00"/>
    <d v="2026-01-11T00:00:00"/>
    <n v="4"/>
    <x v="0"/>
    <n v="1"/>
    <n v="2026"/>
    <x v="0"/>
    <n v="56040.44"/>
    <x v="0"/>
    <m/>
    <d v="2025-11-17T00:00:00"/>
    <x v="0"/>
    <m/>
    <x v="5"/>
  </r>
  <r>
    <x v="2"/>
    <m/>
    <m/>
    <s v="90 days pta"/>
    <x v="0"/>
    <n v="100000"/>
    <n v="25187.52"/>
    <n v="74812.486999999994"/>
    <x v="4"/>
    <m/>
    <m/>
    <d v="2026-01-07T00:00:00"/>
    <d v="2026-01-11T00:00:00"/>
    <n v="4"/>
    <x v="0"/>
    <n v="1"/>
    <n v="2026"/>
    <x v="1"/>
    <n v="55927.519999999997"/>
    <x v="0"/>
    <m/>
    <d v="2025-11-17T00:00:00"/>
    <x v="0"/>
    <m/>
    <x v="5"/>
  </r>
  <r>
    <x v="2"/>
    <m/>
    <m/>
    <s v="30 days pta"/>
    <x v="0"/>
    <n v="34931.980000000003"/>
    <n v="34931.980000000003"/>
    <m/>
    <x v="0"/>
    <m/>
    <m/>
    <d v="2026-01-07T00:00:00"/>
    <d v="2026-01-14T00:00:00"/>
    <n v="7"/>
    <x v="0"/>
    <n v="1"/>
    <n v="2026"/>
    <x v="0"/>
    <n v="22855.49"/>
    <x v="0"/>
    <m/>
    <d v="2025-06-16T00:00:00"/>
    <x v="0"/>
    <m/>
    <x v="0"/>
  </r>
  <r>
    <x v="2"/>
    <m/>
    <m/>
    <s v="30 days pta"/>
    <x v="0"/>
    <n v="53611.66"/>
    <m/>
    <n v="53611.66"/>
    <x v="5"/>
    <m/>
    <m/>
    <d v="2026-01-07T00:00:00"/>
    <d v="2026-01-21T00:00:00"/>
    <n v="14"/>
    <x v="0"/>
    <n v="1"/>
    <n v="2026"/>
    <x v="1"/>
    <n v="32521.86"/>
    <x v="0"/>
    <m/>
    <d v="2025-12-08T00:00:00"/>
    <x v="0"/>
    <m/>
    <x v="1"/>
  </r>
  <r>
    <x v="2"/>
    <m/>
    <m/>
    <s v="30 days pta"/>
    <x v="0"/>
    <n v="54341.599999999999"/>
    <n v="54341.599999999999"/>
    <m/>
    <x v="0"/>
    <m/>
    <m/>
    <d v="2026-01-07T00:00:00"/>
    <d v="2026-01-12T00:00:00"/>
    <n v="5"/>
    <x v="0"/>
    <n v="1"/>
    <n v="2026"/>
    <x v="0"/>
    <n v="28503.95"/>
    <x v="0"/>
    <m/>
    <d v="2025-10-08T00:00:00"/>
    <x v="0"/>
    <m/>
    <x v="31"/>
  </r>
  <r>
    <x v="2"/>
    <m/>
    <m/>
    <s v="30 days pta"/>
    <x v="0"/>
    <n v="28757.119999999999"/>
    <n v="28757.119999999999"/>
    <m/>
    <x v="0"/>
    <m/>
    <m/>
    <d v="2026-01-08T00:00:00"/>
    <d v="2026-01-12T00:00:00"/>
    <n v="4"/>
    <x v="0"/>
    <n v="1"/>
    <n v="2026"/>
    <x v="0"/>
    <n v="20483.16"/>
    <x v="0"/>
    <m/>
    <d v="2025-11-01T00:00:00"/>
    <x v="0"/>
    <m/>
    <x v="8"/>
  </r>
  <r>
    <x v="2"/>
    <m/>
    <m/>
    <s v="30 days pta"/>
    <x v="0"/>
    <n v="44845.14"/>
    <n v="44845.14"/>
    <m/>
    <x v="0"/>
    <m/>
    <m/>
    <d v="2026-01-09T00:00:00"/>
    <d v="2026-01-16T00:00:00"/>
    <n v="7"/>
    <x v="0"/>
    <n v="1"/>
    <n v="2026"/>
    <x v="0"/>
    <n v="28744.73"/>
    <x v="0"/>
    <m/>
    <d v="2025-03-05T00:00:00"/>
    <x v="0"/>
    <m/>
    <x v="15"/>
  </r>
  <r>
    <x v="2"/>
    <m/>
    <m/>
    <s v="30 days pta"/>
    <x v="0"/>
    <n v="63370.87"/>
    <n v="63370.87"/>
    <m/>
    <x v="0"/>
    <m/>
    <m/>
    <d v="2026-01-10T00:00:00"/>
    <d v="2026-01-17T00:00:00"/>
    <n v="7"/>
    <x v="0"/>
    <n v="1"/>
    <n v="2026"/>
    <x v="0"/>
    <n v="42746.34"/>
    <x v="0"/>
    <m/>
    <d v="2025-12-01T00:00:00"/>
    <x v="0"/>
    <m/>
    <x v="18"/>
  </r>
  <r>
    <x v="2"/>
    <m/>
    <m/>
    <s v="30 days pta"/>
    <x v="0"/>
    <n v="27132"/>
    <n v="27132"/>
    <m/>
    <x v="0"/>
    <m/>
    <m/>
    <d v="2026-01-11T00:00:00"/>
    <d v="2026-01-16T00:00:00"/>
    <n v="5"/>
    <x v="0"/>
    <n v="1"/>
    <n v="2026"/>
    <x v="0"/>
    <n v="16744.5"/>
    <x v="0"/>
    <m/>
    <d v="2025-09-18T00:00:00"/>
    <x v="0"/>
    <m/>
    <x v="18"/>
  </r>
  <r>
    <x v="2"/>
    <m/>
    <m/>
    <s v="30 days pta"/>
    <x v="0"/>
    <n v="19220"/>
    <n v="19220"/>
    <m/>
    <x v="0"/>
    <m/>
    <m/>
    <d v="2026-01-11T00:00:00"/>
    <d v="2026-01-16T00:00:00"/>
    <n v="5"/>
    <x v="0"/>
    <n v="1"/>
    <n v="2026"/>
    <x v="0"/>
    <n v="12315.45"/>
    <x v="0"/>
    <m/>
    <d v="2025-10-17T00:00:00"/>
    <x v="0"/>
    <m/>
    <x v="39"/>
  </r>
  <r>
    <x v="2"/>
    <m/>
    <m/>
    <s v="30 days pta"/>
    <x v="0"/>
    <n v="24522.32"/>
    <n v="24522.32"/>
    <m/>
    <x v="0"/>
    <m/>
    <m/>
    <d v="2026-01-11T00:00:00"/>
    <d v="2026-01-18T00:00:00"/>
    <n v="7"/>
    <x v="0"/>
    <n v="1"/>
    <n v="2026"/>
    <x v="0"/>
    <n v="15906.81"/>
    <x v="0"/>
    <m/>
    <d v="2025-11-06T00:00:00"/>
    <x v="0"/>
    <m/>
    <x v="15"/>
  </r>
  <r>
    <x v="2"/>
    <m/>
    <m/>
    <s v="30 days pta"/>
    <x v="0"/>
    <n v="31975.68"/>
    <n v="31975.68"/>
    <m/>
    <x v="7"/>
    <m/>
    <m/>
    <d v="2026-01-11T00:00:00"/>
    <d v="2026-01-15T00:00:00"/>
    <n v="4"/>
    <x v="0"/>
    <n v="1"/>
    <n v="2026"/>
    <x v="0"/>
    <n v="18803.16"/>
    <x v="0"/>
    <m/>
    <d v="2025-09-19T00:00:00"/>
    <x v="0"/>
    <m/>
    <x v="1"/>
  </r>
  <r>
    <x v="2"/>
    <m/>
    <m/>
    <s v="30 days pta"/>
    <x v="0"/>
    <n v="77066"/>
    <m/>
    <n v="77066"/>
    <x v="5"/>
    <m/>
    <m/>
    <d v="2026-01-12T00:00:00"/>
    <d v="2026-01-19T00:00:00"/>
    <n v="7"/>
    <x v="0"/>
    <n v="1"/>
    <n v="2026"/>
    <x v="1"/>
    <n v="53197.48"/>
    <x v="0"/>
    <m/>
    <d v="2025-02-14T00:00:00"/>
    <x v="0"/>
    <m/>
    <x v="31"/>
  </r>
  <r>
    <x v="2"/>
    <m/>
    <m/>
    <s v="30 days pta"/>
    <x v="0"/>
    <m/>
    <m/>
    <m/>
    <x v="2"/>
    <m/>
    <m/>
    <d v="2026-01-12T00:00:00"/>
    <d v="2026-01-16T00:00:00"/>
    <n v="4"/>
    <x v="0"/>
    <n v="1"/>
    <n v="2026"/>
    <x v="0"/>
    <n v="10531.12"/>
    <x v="0"/>
    <m/>
    <d v="2025-12-07T00:00:00"/>
    <x v="0"/>
    <m/>
    <x v="23"/>
  </r>
  <r>
    <x v="2"/>
    <m/>
    <m/>
    <s v="30 days pta"/>
    <x v="0"/>
    <m/>
    <m/>
    <m/>
    <x v="2"/>
    <m/>
    <m/>
    <d v="2026-01-12T00:00:00"/>
    <d v="2026-01-16T00:00:00"/>
    <n v="4"/>
    <x v="0"/>
    <n v="1"/>
    <n v="2026"/>
    <x v="0"/>
    <n v="10531.12"/>
    <x v="0"/>
    <m/>
    <d v="2025-12-09T00:00:00"/>
    <x v="0"/>
    <m/>
    <x v="23"/>
  </r>
  <r>
    <x v="2"/>
    <m/>
    <m/>
    <s v="30 days pta"/>
    <x v="0"/>
    <n v="5402.98"/>
    <m/>
    <n v="5402.98"/>
    <x v="3"/>
    <m/>
    <m/>
    <d v="2026-01-12T00:00:00"/>
    <d v="2026-01-13T00:00:00"/>
    <n v="1"/>
    <x v="0"/>
    <n v="1"/>
    <n v="2026"/>
    <x v="1"/>
    <n v="2021.5"/>
    <x v="0"/>
    <m/>
    <d v="2025-12-05T00:00:00"/>
    <x v="0"/>
    <m/>
    <x v="9"/>
  </r>
  <r>
    <x v="2"/>
    <m/>
    <m/>
    <s v="30 days pta"/>
    <x v="0"/>
    <n v="92486"/>
    <m/>
    <n v="92486"/>
    <x v="5"/>
    <m/>
    <m/>
    <d v="2026-01-12T00:00:00"/>
    <d v="2026-01-19T00:00:00"/>
    <n v="7"/>
    <x v="0"/>
    <n v="1"/>
    <n v="2026"/>
    <x v="1"/>
    <n v="66948.98"/>
    <x v="0"/>
    <m/>
    <d v="2024-12-28T00:00:00"/>
    <x v="0"/>
    <m/>
    <x v="31"/>
  </r>
  <r>
    <x v="2"/>
    <m/>
    <m/>
    <s v="30 days pta"/>
    <x v="0"/>
    <n v="32887.300000000003"/>
    <m/>
    <n v="32887.300000000003"/>
    <x v="5"/>
    <m/>
    <m/>
    <d v="2026-01-12T00:00:00"/>
    <d v="2026-01-19T00:00:00"/>
    <n v="7"/>
    <x v="0"/>
    <n v="1"/>
    <n v="2026"/>
    <x v="1"/>
    <n v="22290.31"/>
    <x v="0"/>
    <m/>
    <d v="2025-02-14T00:00:00"/>
    <x v="0"/>
    <m/>
    <x v="31"/>
  </r>
  <r>
    <x v="2"/>
    <m/>
    <m/>
    <s v="30 days pta"/>
    <x v="0"/>
    <n v="32887.25"/>
    <m/>
    <n v="32887.25"/>
    <x v="5"/>
    <m/>
    <m/>
    <d v="2026-01-12T00:00:00"/>
    <d v="2026-01-19T00:00:00"/>
    <n v="7"/>
    <x v="0"/>
    <n v="1"/>
    <n v="2026"/>
    <x v="1"/>
    <n v="22290.31"/>
    <x v="0"/>
    <m/>
    <d v="2025-02-19T00:00:00"/>
    <x v="0"/>
    <m/>
    <x v="31"/>
  </r>
  <r>
    <x v="2"/>
    <m/>
    <m/>
    <s v="30 days pta"/>
    <x v="0"/>
    <n v="23719.16"/>
    <n v="23719.16"/>
    <m/>
    <x v="0"/>
    <m/>
    <m/>
    <d v="2026-01-13T00:00:00"/>
    <d v="2026-01-18T00:00:00"/>
    <n v="5"/>
    <x v="0"/>
    <n v="1"/>
    <n v="2026"/>
    <x v="0"/>
    <n v="15529.6"/>
    <x v="0"/>
    <m/>
    <d v="2025-11-25T00:00:00"/>
    <x v="0"/>
    <m/>
    <x v="6"/>
  </r>
  <r>
    <x v="2"/>
    <m/>
    <m/>
    <s v="30 days pta"/>
    <x v="0"/>
    <n v="10491.53"/>
    <m/>
    <n v="10491.53"/>
    <x v="5"/>
    <m/>
    <m/>
    <d v="2026-01-13T00:00:00"/>
    <d v="2026-01-20T00:00:00"/>
    <n v="7"/>
    <x v="0"/>
    <n v="1"/>
    <n v="2026"/>
    <x v="1"/>
    <n v="0"/>
    <x v="0"/>
    <m/>
    <d v="2025-08-26T00:00:00"/>
    <x v="0"/>
    <m/>
    <x v="5"/>
  </r>
  <r>
    <x v="2"/>
    <m/>
    <m/>
    <s v="30 days pta"/>
    <x v="0"/>
    <n v="16044"/>
    <n v="4011"/>
    <n v="12033"/>
    <x v="4"/>
    <m/>
    <m/>
    <d v="2026-01-13T00:00:00"/>
    <d v="2026-01-17T00:00:00"/>
    <n v="4"/>
    <x v="0"/>
    <n v="1"/>
    <n v="2026"/>
    <x v="1"/>
    <n v="7379.42"/>
    <x v="0"/>
    <m/>
    <d v="2025-11-12T00:00:00"/>
    <x v="0"/>
    <m/>
    <x v="23"/>
  </r>
  <r>
    <x v="2"/>
    <m/>
    <m/>
    <s v="30 days pta"/>
    <x v="0"/>
    <n v="16744"/>
    <n v="4186"/>
    <n v="12558"/>
    <x v="4"/>
    <m/>
    <m/>
    <d v="2026-01-13T00:00:00"/>
    <d v="2026-01-17T00:00:00"/>
    <n v="4"/>
    <x v="0"/>
    <n v="1"/>
    <n v="2026"/>
    <x v="1"/>
    <n v="7913.62"/>
    <x v="0"/>
    <m/>
    <d v="2025-11-14T00:00:00"/>
    <x v="0"/>
    <m/>
    <x v="23"/>
  </r>
  <r>
    <x v="2"/>
    <m/>
    <m/>
    <s v="30 days pta"/>
    <x v="0"/>
    <n v="12547.66"/>
    <m/>
    <n v="12547.66"/>
    <x v="5"/>
    <m/>
    <m/>
    <d v="2026-01-14T00:00:00"/>
    <d v="2026-01-16T00:00:00"/>
    <n v="2"/>
    <x v="0"/>
    <n v="1"/>
    <n v="2026"/>
    <x v="1"/>
    <n v="6211.58"/>
    <x v="0"/>
    <m/>
    <d v="2025-11-19T00:00:00"/>
    <x v="0"/>
    <m/>
    <x v="40"/>
  </r>
  <r>
    <x v="2"/>
    <m/>
    <m/>
    <s v="30 days pta"/>
    <x v="0"/>
    <n v="14276"/>
    <n v="3569"/>
    <n v="10707"/>
    <x v="4"/>
    <m/>
    <m/>
    <d v="2026-01-14T00:00:00"/>
    <d v="2026-01-18T00:00:00"/>
    <n v="4"/>
    <x v="0"/>
    <n v="1"/>
    <n v="2026"/>
    <x v="1"/>
    <n v="8593.64"/>
    <x v="0"/>
    <m/>
    <d v="2025-10-17T00:00:00"/>
    <x v="0"/>
    <m/>
    <x v="23"/>
  </r>
  <r>
    <x v="2"/>
    <m/>
    <m/>
    <s v="30 days pta"/>
    <x v="0"/>
    <n v="28288.400000000001"/>
    <m/>
    <n v="28288.400000000001"/>
    <x v="5"/>
    <m/>
    <m/>
    <d v="2026-01-14T00:00:00"/>
    <d v="2026-01-21T00:00:00"/>
    <n v="7"/>
    <x v="0"/>
    <n v="1"/>
    <n v="2026"/>
    <x v="1"/>
    <n v="17820.46"/>
    <x v="0"/>
    <m/>
    <d v="2025-09-02T00:00:00"/>
    <x v="0"/>
    <m/>
    <x v="39"/>
  </r>
  <r>
    <x v="2"/>
    <m/>
    <m/>
    <s v="30 days pta"/>
    <x v="0"/>
    <n v="13655.36"/>
    <n v="11055.36"/>
    <n v="2600"/>
    <x v="4"/>
    <m/>
    <m/>
    <d v="2026-01-14T00:00:00"/>
    <d v="2026-01-16T00:00:00"/>
    <n v="2"/>
    <x v="0"/>
    <n v="1"/>
    <n v="2026"/>
    <x v="1"/>
    <n v="8201.58"/>
    <x v="0"/>
    <m/>
    <d v="2025-10-09T00:00:00"/>
    <x v="0"/>
    <m/>
    <x v="37"/>
  </r>
  <r>
    <x v="2"/>
    <m/>
    <m/>
    <s v="30 days pta"/>
    <x v="0"/>
    <n v="15446"/>
    <n v="3861"/>
    <n v="11585"/>
    <x v="4"/>
    <m/>
    <m/>
    <d v="2026-01-14T00:00:00"/>
    <d v="2026-01-18T00:00:00"/>
    <n v="4"/>
    <x v="0"/>
    <n v="1"/>
    <n v="2026"/>
    <x v="1"/>
    <n v="7577.84"/>
    <x v="0"/>
    <m/>
    <d v="2025-11-08T00:00:00"/>
    <x v="0"/>
    <m/>
    <x v="23"/>
  </r>
  <r>
    <x v="2"/>
    <m/>
    <m/>
    <s v="30 days pta"/>
    <x v="0"/>
    <n v="102038.43"/>
    <n v="102038.43"/>
    <m/>
    <x v="0"/>
    <m/>
    <m/>
    <d v="2026-01-15T00:00:00"/>
    <d v="2026-01-22T00:00:00"/>
    <n v="7"/>
    <x v="0"/>
    <n v="1"/>
    <n v="2026"/>
    <x v="0"/>
    <n v="75122.460000000006"/>
    <x v="0"/>
    <m/>
    <d v="2025-11-19T00:00:00"/>
    <x v="0"/>
    <m/>
    <x v="31"/>
  </r>
  <r>
    <x v="2"/>
    <m/>
    <m/>
    <s v="30 days pta"/>
    <x v="0"/>
    <n v="61778.720000000001"/>
    <n v="9542.5"/>
    <n v="52236.22"/>
    <x v="4"/>
    <m/>
    <m/>
    <d v="2026-01-15T00:00:00"/>
    <d v="2026-01-22T00:00:00"/>
    <n v="7"/>
    <x v="0"/>
    <n v="1"/>
    <n v="2026"/>
    <x v="1"/>
    <n v="39983.79"/>
    <x v="0"/>
    <m/>
    <d v="2025-10-14T00:00:00"/>
    <x v="0"/>
    <m/>
    <x v="31"/>
  </r>
  <r>
    <x v="2"/>
    <m/>
    <m/>
    <s v="30 days pta"/>
    <x v="0"/>
    <n v="23095"/>
    <m/>
    <n v="23095"/>
    <x v="5"/>
    <m/>
    <m/>
    <d v="2026-01-15T00:00:00"/>
    <d v="2026-01-20T00:00:00"/>
    <n v="5"/>
    <x v="0"/>
    <n v="1"/>
    <n v="2026"/>
    <x v="1"/>
    <n v="0"/>
    <x v="0"/>
    <m/>
    <d v="2025-11-23T00:00:00"/>
    <x v="0"/>
    <m/>
    <x v="26"/>
  </r>
  <r>
    <x v="2"/>
    <m/>
    <m/>
    <m/>
    <x v="0"/>
    <m/>
    <m/>
    <m/>
    <x v="8"/>
    <m/>
    <m/>
    <d v="2026-01-15T00:00:00"/>
    <d v="2026-01-19T00:00:00"/>
    <n v="4"/>
    <x v="0"/>
    <n v="1"/>
    <n v="2026"/>
    <x v="0"/>
    <m/>
    <x v="0"/>
    <m/>
    <m/>
    <x v="0"/>
    <m/>
    <x v="9"/>
  </r>
  <r>
    <x v="2"/>
    <m/>
    <m/>
    <m/>
    <x v="0"/>
    <m/>
    <m/>
    <m/>
    <x v="8"/>
    <m/>
    <m/>
    <d v="2026-01-15T00:00:00"/>
    <d v="2026-01-19T00:00:00"/>
    <n v="4"/>
    <x v="0"/>
    <n v="1"/>
    <n v="2026"/>
    <x v="0"/>
    <m/>
    <x v="0"/>
    <m/>
    <m/>
    <x v="0"/>
    <m/>
    <x v="9"/>
  </r>
  <r>
    <x v="2"/>
    <m/>
    <m/>
    <s v="30 days pta"/>
    <x v="0"/>
    <n v="31998.34"/>
    <n v="16144.25"/>
    <n v="15854.09"/>
    <x v="5"/>
    <m/>
    <m/>
    <d v="2026-01-16T00:00:00"/>
    <d v="2026-01-20T00:00:00"/>
    <n v="4"/>
    <x v="0"/>
    <n v="1"/>
    <n v="2026"/>
    <x v="1"/>
    <n v="15129.9"/>
    <x v="0"/>
    <m/>
    <d v="2025-07-22T00:00:00"/>
    <x v="0"/>
    <m/>
    <x v="25"/>
  </r>
  <r>
    <x v="2"/>
    <m/>
    <m/>
    <s v="30 days pta"/>
    <x v="0"/>
    <n v="25216"/>
    <m/>
    <n v="25216"/>
    <x v="5"/>
    <m/>
    <m/>
    <d v="2026-01-16T00:00:00"/>
    <d v="2026-01-20T00:00:00"/>
    <n v="4"/>
    <x v="0"/>
    <n v="1"/>
    <n v="2026"/>
    <x v="1"/>
    <n v="13557.12"/>
    <x v="0"/>
    <m/>
    <d v="2024-10-02T00:00:00"/>
    <x v="0"/>
    <m/>
    <x v="18"/>
  </r>
  <r>
    <x v="2"/>
    <m/>
    <m/>
    <s v="30 days pta"/>
    <x v="0"/>
    <n v="23719.15"/>
    <m/>
    <n v="23719.15"/>
    <x v="5"/>
    <m/>
    <m/>
    <d v="2026-01-16T00:00:00"/>
    <d v="2026-01-21T00:00:00"/>
    <n v="5"/>
    <x v="0"/>
    <n v="1"/>
    <n v="2026"/>
    <x v="1"/>
    <n v="15528.95"/>
    <x v="0"/>
    <m/>
    <d v="2025-12-03T00:00:00"/>
    <x v="0"/>
    <m/>
    <x v="4"/>
  </r>
  <r>
    <x v="2"/>
    <m/>
    <m/>
    <m/>
    <x v="0"/>
    <m/>
    <m/>
    <m/>
    <x v="8"/>
    <m/>
    <m/>
    <d v="2026-01-16T00:00:00"/>
    <d v="2026-01-20T00:00:00"/>
    <n v="4"/>
    <x v="0"/>
    <n v="1"/>
    <n v="2026"/>
    <x v="0"/>
    <m/>
    <x v="0"/>
    <m/>
    <m/>
    <x v="0"/>
    <m/>
    <x v="9"/>
  </r>
  <r>
    <x v="2"/>
    <m/>
    <m/>
    <m/>
    <x v="0"/>
    <m/>
    <m/>
    <m/>
    <x v="8"/>
    <m/>
    <m/>
    <d v="2026-01-16T00:00:00"/>
    <d v="2026-01-20T00:00:00"/>
    <n v="4"/>
    <x v="0"/>
    <n v="1"/>
    <n v="2026"/>
    <x v="0"/>
    <m/>
    <x v="0"/>
    <m/>
    <m/>
    <x v="0"/>
    <m/>
    <x v="9"/>
  </r>
  <r>
    <x v="2"/>
    <m/>
    <m/>
    <s v="30 days pta"/>
    <x v="0"/>
    <n v="50000"/>
    <m/>
    <n v="50000"/>
    <x v="5"/>
    <m/>
    <m/>
    <d v="2026-01-17T00:00:00"/>
    <d v="2026-01-27T00:00:00"/>
    <n v="10"/>
    <x v="0"/>
    <n v="1"/>
    <n v="2026"/>
    <x v="1"/>
    <n v="16208.2"/>
    <x v="0"/>
    <m/>
    <d v="2025-11-21T00:00:00"/>
    <x v="0"/>
    <m/>
    <x v="0"/>
  </r>
  <r>
    <x v="2"/>
    <m/>
    <m/>
    <s v="30 days pta"/>
    <x v="0"/>
    <n v="24538"/>
    <m/>
    <n v="24538"/>
    <x v="5"/>
    <m/>
    <m/>
    <d v="2026-01-17T00:00:00"/>
    <d v="2026-01-24T00:00:00"/>
    <n v="7"/>
    <x v="0"/>
    <n v="1"/>
    <n v="2026"/>
    <x v="1"/>
    <n v="13247.85"/>
    <x v="0"/>
    <m/>
    <d v="2025-11-01T00:00:00"/>
    <x v="0"/>
    <m/>
    <x v="1"/>
  </r>
  <r>
    <x v="2"/>
    <m/>
    <m/>
    <s v="30 days pta"/>
    <x v="0"/>
    <n v="864"/>
    <m/>
    <n v="864"/>
    <x v="5"/>
    <m/>
    <m/>
    <d v="2026-01-17T00:00:00"/>
    <d v="2026-02-04T00:00:00"/>
    <n v="18"/>
    <x v="0"/>
    <n v="1"/>
    <n v="2026"/>
    <x v="1"/>
    <n v="329.76"/>
    <x v="0"/>
    <m/>
    <d v="2025-04-06T00:00:00"/>
    <x v="0"/>
    <m/>
    <x v="7"/>
  </r>
  <r>
    <x v="2"/>
    <m/>
    <m/>
    <s v="30 days pta"/>
    <x v="0"/>
    <n v="77128.990000000005"/>
    <m/>
    <n v="77128.990000000005"/>
    <x v="5"/>
    <m/>
    <m/>
    <d v="2026-01-17T00:00:00"/>
    <d v="2026-01-24T00:00:00"/>
    <n v="7"/>
    <x v="0"/>
    <n v="1"/>
    <n v="2026"/>
    <x v="1"/>
    <n v="52957.1"/>
    <x v="0"/>
    <m/>
    <d v="2025-09-10T00:00:00"/>
    <x v="0"/>
    <m/>
    <x v="31"/>
  </r>
  <r>
    <x v="2"/>
    <m/>
    <m/>
    <s v="30 days pta"/>
    <x v="0"/>
    <n v="19506"/>
    <m/>
    <n v="19506"/>
    <x v="5"/>
    <m/>
    <m/>
    <d v="2026-01-17T00:00:00"/>
    <d v="2026-01-21T00:00:00"/>
    <n v="4"/>
    <x v="0"/>
    <n v="1"/>
    <n v="2026"/>
    <x v="1"/>
    <n v="10549.44"/>
    <x v="0"/>
    <m/>
    <d v="2025-09-07T00:00:00"/>
    <x v="0"/>
    <m/>
    <x v="5"/>
  </r>
  <r>
    <x v="2"/>
    <m/>
    <m/>
    <s v="30 days pta"/>
    <x v="0"/>
    <n v="6117.83"/>
    <m/>
    <n v="6117.83"/>
    <x v="5"/>
    <m/>
    <m/>
    <d v="2026-01-18T00:00:00"/>
    <d v="2026-01-19T00:00:00"/>
    <n v="1"/>
    <x v="0"/>
    <n v="1"/>
    <n v="2026"/>
    <x v="1"/>
    <n v="2567.0300000000002"/>
    <x v="0"/>
    <m/>
    <d v="2025-11-19T00:00:00"/>
    <x v="0"/>
    <m/>
    <x v="8"/>
  </r>
  <r>
    <x v="2"/>
    <m/>
    <m/>
    <s v="30 days pta"/>
    <x v="0"/>
    <n v="33872.800000000003"/>
    <n v="8468.2000000000007"/>
    <n v="25404.6"/>
    <x v="4"/>
    <m/>
    <m/>
    <d v="2026-01-18T00:00:00"/>
    <d v="2026-01-24T00:00:00"/>
    <n v="6"/>
    <x v="0"/>
    <n v="1"/>
    <n v="2026"/>
    <x v="1"/>
    <n v="19725.84"/>
    <x v="0"/>
    <m/>
    <d v="2025-09-21T00:00:00"/>
    <x v="0"/>
    <m/>
    <x v="1"/>
  </r>
  <r>
    <x v="2"/>
    <m/>
    <m/>
    <s v="30 days pta"/>
    <x v="0"/>
    <n v="18212.14"/>
    <m/>
    <n v="18212.14"/>
    <x v="3"/>
    <m/>
    <m/>
    <d v="2026-01-18T00:00:00"/>
    <d v="2026-01-25T00:00:00"/>
    <n v="7"/>
    <x v="0"/>
    <n v="1"/>
    <n v="2026"/>
    <x v="1"/>
    <n v="12494.79"/>
    <x v="0"/>
    <m/>
    <d v="2025-11-25T00:00:00"/>
    <x v="0"/>
    <m/>
    <x v="15"/>
  </r>
  <r>
    <x v="2"/>
    <m/>
    <m/>
    <s v="30 days pta"/>
    <x v="0"/>
    <n v="17402"/>
    <n v="4350.5"/>
    <n v="13051.5"/>
    <x v="4"/>
    <m/>
    <m/>
    <d v="2026-01-19T00:00:00"/>
    <d v="2026-01-23T00:00:00"/>
    <n v="4"/>
    <x v="0"/>
    <n v="1"/>
    <n v="2026"/>
    <x v="1"/>
    <n v="7760.98"/>
    <x v="0"/>
    <m/>
    <d v="2025-11-04T00:00:00"/>
    <x v="0"/>
    <m/>
    <x v="23"/>
  </r>
  <r>
    <x v="2"/>
    <m/>
    <m/>
    <s v="30 days pta"/>
    <x v="0"/>
    <n v="33278.76"/>
    <m/>
    <n v="33278.76"/>
    <x v="5"/>
    <m/>
    <m/>
    <d v="2026-01-19T00:00:00"/>
    <d v="2026-01-26T00:00:00"/>
    <n v="7"/>
    <x v="0"/>
    <n v="1"/>
    <n v="2026"/>
    <x v="1"/>
    <n v="22515.81"/>
    <x v="0"/>
    <m/>
    <d v="2025-06-19T00:00:00"/>
    <x v="0"/>
    <m/>
    <x v="28"/>
  </r>
  <r>
    <x v="2"/>
    <m/>
    <m/>
    <s v="30 days pta"/>
    <x v="0"/>
    <n v="12872"/>
    <m/>
    <n v="12872"/>
    <x v="5"/>
    <m/>
    <m/>
    <d v="2026-01-20T00:00:00"/>
    <d v="2026-01-23T00:00:00"/>
    <n v="3"/>
    <x v="0"/>
    <n v="1"/>
    <n v="2026"/>
    <x v="1"/>
    <n v="6456.87"/>
    <x v="0"/>
    <m/>
    <d v="2025-11-05T00:00:00"/>
    <x v="0"/>
    <m/>
    <x v="24"/>
  </r>
  <r>
    <x v="2"/>
    <m/>
    <m/>
    <s v="30 days pta"/>
    <x v="0"/>
    <n v="720"/>
    <m/>
    <n v="720"/>
    <x v="5"/>
    <m/>
    <m/>
    <d v="2026-01-21T00:00:00"/>
    <d v="2026-02-05T00:00:00"/>
    <n v="15"/>
    <x v="0"/>
    <n v="1"/>
    <n v="2026"/>
    <x v="1"/>
    <n v="0"/>
    <x v="0"/>
    <m/>
    <d v="2025-08-19T00:00:00"/>
    <x v="0"/>
    <m/>
    <x v="5"/>
  </r>
  <r>
    <x v="2"/>
    <m/>
    <m/>
    <s v="30 days pta"/>
    <x v="0"/>
    <n v="26592"/>
    <m/>
    <n v="26592"/>
    <x v="5"/>
    <m/>
    <m/>
    <d v="2026-01-21T00:00:00"/>
    <d v="2026-01-24T00:00:00"/>
    <n v="3"/>
    <x v="0"/>
    <n v="1"/>
    <n v="2026"/>
    <x v="1"/>
    <n v="13543.11"/>
    <x v="0"/>
    <m/>
    <d v="2025-10-03T00:00:00"/>
    <x v="0"/>
    <m/>
    <x v="12"/>
  </r>
  <r>
    <x v="2"/>
    <m/>
    <m/>
    <s v="30 days pta"/>
    <x v="0"/>
    <n v="95980.800000000003"/>
    <m/>
    <n v="95980.800000000003"/>
    <x v="5"/>
    <m/>
    <m/>
    <d v="2026-01-21T00:00:00"/>
    <d v="2026-01-31T00:00:00"/>
    <n v="10"/>
    <x v="0"/>
    <n v="1"/>
    <n v="2026"/>
    <x v="1"/>
    <n v="67315.44"/>
    <x v="0"/>
    <m/>
    <d v="2025-08-20T00:00:00"/>
    <x v="0"/>
    <m/>
    <x v="1"/>
  </r>
  <r>
    <x v="2"/>
    <m/>
    <m/>
    <s v="30 days pta"/>
    <x v="0"/>
    <n v="26617.68"/>
    <n v="26617.68"/>
    <m/>
    <x v="0"/>
    <m/>
    <m/>
    <d v="2026-01-22T00:00:00"/>
    <d v="2026-01-26T00:00:00"/>
    <n v="4"/>
    <x v="0"/>
    <n v="1"/>
    <n v="2026"/>
    <x v="0"/>
    <n v="10227.16"/>
    <x v="0"/>
    <m/>
    <d v="2025-12-04T00:00:00"/>
    <x v="0"/>
    <m/>
    <x v="15"/>
  </r>
  <r>
    <x v="2"/>
    <m/>
    <m/>
    <s v="30 days pta"/>
    <x v="0"/>
    <n v="0"/>
    <m/>
    <n v="0"/>
    <x v="1"/>
    <m/>
    <m/>
    <d v="2026-01-22T00:00:00"/>
    <d v="2026-01-26T00:00:00"/>
    <n v="4"/>
    <x v="0"/>
    <n v="1"/>
    <n v="2026"/>
    <x v="0"/>
    <n v="0"/>
    <x v="0"/>
    <m/>
    <d v="2025-11-16T00:00:00"/>
    <x v="0"/>
    <m/>
    <x v="2"/>
  </r>
  <r>
    <x v="2"/>
    <m/>
    <m/>
    <s v="30 days pta"/>
    <x v="0"/>
    <n v="20000"/>
    <m/>
    <n v="20000"/>
    <x v="5"/>
    <m/>
    <m/>
    <d v="2026-01-23T00:00:00"/>
    <d v="2026-01-25T00:00:00"/>
    <n v="2"/>
    <x v="0"/>
    <n v="1"/>
    <n v="2026"/>
    <x v="1"/>
    <n v="11212.6"/>
    <x v="0"/>
    <m/>
    <d v="2025-12-04T00:00:00"/>
    <x v="0"/>
    <m/>
    <x v="2"/>
  </r>
  <r>
    <x v="2"/>
    <m/>
    <m/>
    <s v="30 days pta"/>
    <x v="0"/>
    <n v="0"/>
    <m/>
    <n v="0"/>
    <x v="1"/>
    <m/>
    <m/>
    <d v="2026-01-23T00:00:00"/>
    <d v="2026-01-26T00:00:00"/>
    <n v="3"/>
    <x v="0"/>
    <n v="1"/>
    <n v="2026"/>
    <x v="0"/>
    <n v="-915.76"/>
    <x v="0"/>
    <m/>
    <d v="2025-06-28T00:00:00"/>
    <x v="0"/>
    <m/>
    <x v="9"/>
  </r>
  <r>
    <x v="2"/>
    <m/>
    <m/>
    <s v="30 days pta"/>
    <x v="0"/>
    <n v="0"/>
    <m/>
    <n v="0"/>
    <x v="1"/>
    <m/>
    <m/>
    <d v="2026-01-23T00:00:00"/>
    <d v="2026-01-26T00:00:00"/>
    <n v="3"/>
    <x v="0"/>
    <n v="1"/>
    <n v="2026"/>
    <x v="0"/>
    <n v="-915.76"/>
    <x v="0"/>
    <m/>
    <d v="2025-06-28T00:00:00"/>
    <x v="0"/>
    <m/>
    <x v="9"/>
  </r>
  <r>
    <x v="2"/>
    <m/>
    <m/>
    <m/>
    <x v="0"/>
    <m/>
    <m/>
    <m/>
    <x v="8"/>
    <m/>
    <m/>
    <d v="2026-01-24T00:00:00"/>
    <d v="2026-01-29T00:00:00"/>
    <n v="5"/>
    <x v="0"/>
    <n v="1"/>
    <n v="2026"/>
    <x v="0"/>
    <m/>
    <x v="0"/>
    <m/>
    <m/>
    <x v="0"/>
    <m/>
    <x v="9"/>
  </r>
  <r>
    <x v="2"/>
    <m/>
    <m/>
    <s v="30 days pta"/>
    <x v="0"/>
    <n v="94816.14"/>
    <n v="23705"/>
    <n v="71111.14"/>
    <x v="4"/>
    <m/>
    <m/>
    <d v="2026-01-24T00:00:00"/>
    <d v="2026-01-30T00:00:00"/>
    <n v="6"/>
    <x v="0"/>
    <n v="1"/>
    <n v="2026"/>
    <x v="1"/>
    <n v="54224.76"/>
    <x v="0"/>
    <m/>
    <d v="2025-10-24T00:00:00"/>
    <x v="0"/>
    <m/>
    <x v="17"/>
  </r>
  <r>
    <x v="2"/>
    <m/>
    <m/>
    <s v="30 days pta"/>
    <x v="0"/>
    <n v="0"/>
    <m/>
    <n v="0"/>
    <x v="2"/>
    <m/>
    <m/>
    <d v="2026-01-24T00:00:00"/>
    <d v="2026-01-29T00:00:00"/>
    <n v="5"/>
    <x v="0"/>
    <n v="1"/>
    <n v="2026"/>
    <x v="0"/>
    <n v="13345"/>
    <x v="0"/>
    <m/>
    <d v="2025-12-10T00:00:00"/>
    <x v="0"/>
    <m/>
    <x v="23"/>
  </r>
  <r>
    <x v="2"/>
    <m/>
    <m/>
    <s v="30 days pta"/>
    <x v="0"/>
    <n v="11008.94"/>
    <m/>
    <n v="11008.94"/>
    <x v="3"/>
    <m/>
    <m/>
    <d v="2026-01-24T00:00:00"/>
    <d v="2026-01-27T00:00:00"/>
    <n v="3"/>
    <x v="0"/>
    <n v="1"/>
    <n v="2026"/>
    <x v="1"/>
    <n v="6064.5"/>
    <x v="0"/>
    <m/>
    <d v="2025-12-04T00:00:00"/>
    <x v="0"/>
    <m/>
    <x v="24"/>
  </r>
  <r>
    <x v="2"/>
    <m/>
    <m/>
    <s v="30 days pta"/>
    <x v="0"/>
    <n v="302"/>
    <m/>
    <n v="302"/>
    <x v="6"/>
    <m/>
    <m/>
    <d v="2026-01-24T00:00:00"/>
    <d v="2026-01-26T00:00:00"/>
    <n v="2"/>
    <x v="0"/>
    <n v="1"/>
    <n v="2026"/>
    <x v="1"/>
    <n v="0"/>
    <x v="0"/>
    <m/>
    <d v="2025-10-25T00:00:00"/>
    <x v="0"/>
    <m/>
    <x v="23"/>
  </r>
  <r>
    <x v="2"/>
    <m/>
    <m/>
    <s v="30 days pta"/>
    <x v="0"/>
    <n v="1556"/>
    <m/>
    <n v="1556"/>
    <x v="5"/>
    <m/>
    <m/>
    <d v="2026-01-24T00:00:00"/>
    <d v="2026-01-26T00:00:00"/>
    <n v="2"/>
    <x v="0"/>
    <n v="1"/>
    <n v="2026"/>
    <x v="1"/>
    <n v="257.94"/>
    <x v="0"/>
    <m/>
    <d v="2025-11-24T00:00:00"/>
    <x v="0"/>
    <m/>
    <x v="23"/>
  </r>
  <r>
    <x v="2"/>
    <m/>
    <m/>
    <s v="30 days pta"/>
    <x v="0"/>
    <n v="15806.4"/>
    <n v="3899.1"/>
    <n v="11907.3"/>
    <x v="4"/>
    <m/>
    <m/>
    <d v="2026-01-25T00:00:00"/>
    <d v="2026-01-30T00:00:00"/>
    <n v="5"/>
    <x v="0"/>
    <n v="1"/>
    <n v="2026"/>
    <x v="1"/>
    <n v="8959.1"/>
    <x v="0"/>
    <m/>
    <d v="2025-11-05T00:00:00"/>
    <x v="0"/>
    <m/>
    <x v="5"/>
  </r>
  <r>
    <x v="2"/>
    <m/>
    <m/>
    <s v="30 days pta"/>
    <x v="0"/>
    <n v="24288.74"/>
    <m/>
    <n v="24288.74"/>
    <x v="5"/>
    <m/>
    <m/>
    <d v="2026-01-25T00:00:00"/>
    <d v="2026-01-27T00:00:00"/>
    <n v="2"/>
    <x v="0"/>
    <n v="1"/>
    <n v="2026"/>
    <x v="1"/>
    <n v="14485.46"/>
    <x v="0"/>
    <m/>
    <d v="2025-12-04T00:00:00"/>
    <x v="0"/>
    <m/>
    <x v="2"/>
  </r>
  <r>
    <x v="2"/>
    <m/>
    <m/>
    <s v="30 days pta"/>
    <x v="0"/>
    <n v="23790"/>
    <m/>
    <n v="23790"/>
    <x v="5"/>
    <m/>
    <m/>
    <d v="2026-01-25T00:00:00"/>
    <d v="2026-01-30T00:00:00"/>
    <n v="5"/>
    <x v="0"/>
    <n v="1"/>
    <n v="2026"/>
    <x v="1"/>
    <n v="15967.35"/>
    <x v="0"/>
    <m/>
    <d v="2025-08-27T00:00:00"/>
    <x v="0"/>
    <m/>
    <x v="15"/>
  </r>
  <r>
    <x v="2"/>
    <m/>
    <m/>
    <s v="30 days pta"/>
    <x v="0"/>
    <n v="12572"/>
    <m/>
    <n v="12572"/>
    <x v="5"/>
    <m/>
    <m/>
    <d v="2026-01-25T00:00:00"/>
    <d v="2026-01-28T00:00:00"/>
    <n v="3"/>
    <x v="0"/>
    <n v="1"/>
    <n v="2026"/>
    <x v="1"/>
    <n v="7389.27"/>
    <x v="0"/>
    <m/>
    <d v="2025-11-15T00:00:00"/>
    <x v="0"/>
    <m/>
    <x v="2"/>
  </r>
  <r>
    <x v="2"/>
    <m/>
    <m/>
    <s v="30 days pta"/>
    <x v="0"/>
    <n v="27122"/>
    <m/>
    <n v="27122"/>
    <x v="5"/>
    <m/>
    <m/>
    <d v="2026-01-25T00:00:00"/>
    <d v="2026-02-03T00:00:00"/>
    <n v="9"/>
    <x v="0"/>
    <n v="1"/>
    <n v="2026"/>
    <x v="1"/>
    <n v="16239.33"/>
    <x v="0"/>
    <m/>
    <d v="2025-10-23T00:00:00"/>
    <x v="0"/>
    <m/>
    <x v="23"/>
  </r>
  <r>
    <x v="2"/>
    <m/>
    <m/>
    <s v="30 days pta"/>
    <x v="0"/>
    <n v="8677"/>
    <n v="4351"/>
    <n v="4326"/>
    <x v="4"/>
    <m/>
    <m/>
    <d v="2026-01-25T00:00:00"/>
    <d v="2026-01-27T00:00:00"/>
    <n v="2"/>
    <x v="0"/>
    <n v="1"/>
    <n v="2026"/>
    <x v="1"/>
    <n v="2835.01"/>
    <x v="0"/>
    <m/>
    <d v="2025-11-01T00:00:00"/>
    <x v="0"/>
    <m/>
    <x v="23"/>
  </r>
  <r>
    <x v="2"/>
    <m/>
    <m/>
    <s v="30 days pta"/>
    <x v="0"/>
    <n v="24208"/>
    <m/>
    <n v="24208"/>
    <x v="5"/>
    <m/>
    <m/>
    <d v="2026-01-26T00:00:00"/>
    <d v="2026-01-31T00:00:00"/>
    <n v="5"/>
    <x v="0"/>
    <n v="1"/>
    <n v="2026"/>
    <x v="1"/>
    <n v="12027.95"/>
    <x v="0"/>
    <m/>
    <d v="2025-01-11T00:00:00"/>
    <x v="0"/>
    <m/>
    <x v="1"/>
  </r>
  <r>
    <x v="2"/>
    <m/>
    <m/>
    <s v="30 days pta"/>
    <x v="0"/>
    <n v="13113.26"/>
    <m/>
    <n v="13113.26"/>
    <x v="5"/>
    <m/>
    <m/>
    <d v="2026-01-26T00:00:00"/>
    <d v="2026-01-29T00:00:00"/>
    <n v="3"/>
    <x v="0"/>
    <n v="1"/>
    <n v="2026"/>
    <x v="1"/>
    <n v="9317.3700000000008"/>
    <x v="0"/>
    <m/>
    <d v="2025-10-22T00:00:00"/>
    <x v="0"/>
    <m/>
    <x v="31"/>
  </r>
  <r>
    <x v="2"/>
    <m/>
    <m/>
    <s v="30 days pta"/>
    <x v="0"/>
    <n v="33693.519999999997"/>
    <m/>
    <n v="33693.519999999997"/>
    <x v="5"/>
    <m/>
    <m/>
    <d v="2026-01-27T00:00:00"/>
    <d v="2026-02-03T00:00:00"/>
    <n v="7"/>
    <x v="0"/>
    <n v="1"/>
    <n v="2026"/>
    <x v="1"/>
    <n v="23605.54"/>
    <x v="0"/>
    <m/>
    <d v="2025-08-19T00:00:00"/>
    <x v="0"/>
    <m/>
    <x v="1"/>
  </r>
  <r>
    <x v="2"/>
    <m/>
    <m/>
    <s v="30 days pta"/>
    <x v="0"/>
    <n v="19162.64"/>
    <m/>
    <n v="19162.64"/>
    <x v="5"/>
    <m/>
    <m/>
    <d v="2026-01-27T00:00:00"/>
    <d v="2026-01-30T00:00:00"/>
    <n v="3"/>
    <x v="0"/>
    <n v="1"/>
    <n v="2026"/>
    <x v="1"/>
    <n v="12286.79"/>
    <x v="0"/>
    <m/>
    <d v="2025-09-07T00:00:00"/>
    <x v="0"/>
    <m/>
    <x v="27"/>
  </r>
  <r>
    <x v="2"/>
    <m/>
    <m/>
    <s v="30 days pta"/>
    <x v="0"/>
    <n v="8677"/>
    <m/>
    <n v="8677"/>
    <x v="5"/>
    <m/>
    <m/>
    <d v="2026-01-27T00:00:00"/>
    <d v="2026-01-29T00:00:00"/>
    <n v="2"/>
    <x v="0"/>
    <n v="1"/>
    <n v="2026"/>
    <x v="1"/>
    <n v="3063.94"/>
    <x v="0"/>
    <m/>
    <d v="2025-11-01T00:00:00"/>
    <x v="0"/>
    <m/>
    <x v="23"/>
  </r>
  <r>
    <x v="2"/>
    <m/>
    <m/>
    <s v="30 days pta"/>
    <x v="0"/>
    <n v="325"/>
    <m/>
    <n v="325"/>
    <x v="6"/>
    <m/>
    <m/>
    <d v="2026-01-28T00:00:00"/>
    <d v="2026-01-30T00:00:00"/>
    <n v="2"/>
    <x v="0"/>
    <n v="1"/>
    <n v="2026"/>
    <x v="1"/>
    <n v="0"/>
    <x v="0"/>
    <m/>
    <d v="2025-11-20T00:00:00"/>
    <x v="0"/>
    <m/>
    <x v="1"/>
  </r>
  <r>
    <x v="2"/>
    <m/>
    <m/>
    <s v="30 days pta"/>
    <x v="0"/>
    <n v="0"/>
    <m/>
    <n v="0"/>
    <x v="1"/>
    <m/>
    <m/>
    <d v="2026-01-28T00:00:00"/>
    <d v="2026-01-30T00:00:00"/>
    <n v="2"/>
    <x v="0"/>
    <n v="1"/>
    <n v="2026"/>
    <x v="0"/>
    <n v="0"/>
    <x v="0"/>
    <m/>
    <d v="2025-10-09T00:00:00"/>
    <x v="0"/>
    <m/>
    <x v="7"/>
  </r>
  <r>
    <x v="2"/>
    <m/>
    <m/>
    <s v="30 days pta"/>
    <x v="0"/>
    <n v="11232.35"/>
    <n v="11232.35"/>
    <m/>
    <x v="0"/>
    <m/>
    <m/>
    <d v="2026-01-28T00:00:00"/>
    <d v="2026-01-31T00:00:00"/>
    <n v="3"/>
    <x v="0"/>
    <n v="1"/>
    <n v="2026"/>
    <x v="0"/>
    <n v="6082.38"/>
    <x v="0"/>
    <m/>
    <d v="2025-05-08T00:00:00"/>
    <x v="0"/>
    <m/>
    <x v="6"/>
  </r>
  <r>
    <x v="2"/>
    <m/>
    <m/>
    <s v="30 days pta"/>
    <x v="0"/>
    <n v="33600"/>
    <m/>
    <n v="33600"/>
    <x v="5"/>
    <m/>
    <m/>
    <d v="2026-01-29T00:00:00"/>
    <d v="2026-02-03T00:00:00"/>
    <n v="5"/>
    <x v="0"/>
    <n v="1"/>
    <n v="2026"/>
    <x v="1"/>
    <n v="14786.3"/>
    <x v="0"/>
    <m/>
    <d v="2025-02-01T00:00:00"/>
    <x v="0"/>
    <m/>
    <x v="1"/>
  </r>
  <r>
    <x v="2"/>
    <m/>
    <m/>
    <s v="30 days pta"/>
    <x v="0"/>
    <n v="23747.599999999999"/>
    <n v="5286.9"/>
    <n v="18460.7"/>
    <x v="4"/>
    <m/>
    <m/>
    <d v="2026-01-29T00:00:00"/>
    <d v="2026-02-03T00:00:00"/>
    <n v="5"/>
    <x v="0"/>
    <n v="1"/>
    <n v="2026"/>
    <x v="1"/>
    <n v="12688.95"/>
    <x v="0"/>
    <m/>
    <d v="2025-11-03T00:00:00"/>
    <x v="0"/>
    <m/>
    <x v="24"/>
  </r>
  <r>
    <x v="2"/>
    <m/>
    <m/>
    <s v="30 days pta"/>
    <x v="0"/>
    <n v="15099.44"/>
    <n v="3774.86"/>
    <n v="11324.58"/>
    <x v="4"/>
    <m/>
    <m/>
    <d v="2026-01-29T00:00:00"/>
    <d v="2026-02-02T00:00:00"/>
    <n v="4"/>
    <x v="0"/>
    <n v="1"/>
    <n v="2026"/>
    <x v="1"/>
    <n v="10133.879999999999"/>
    <x v="0"/>
    <m/>
    <d v="2025-10-25T00:00:00"/>
    <x v="0"/>
    <m/>
    <x v="1"/>
  </r>
  <r>
    <x v="2"/>
    <m/>
    <m/>
    <s v="30 days pta"/>
    <x v="0"/>
    <n v="44593.66"/>
    <m/>
    <n v="44593.66"/>
    <x v="5"/>
    <m/>
    <m/>
    <d v="2026-01-29T00:00:00"/>
    <d v="2026-02-15T00:00:00"/>
    <n v="17"/>
    <x v="0"/>
    <n v="1"/>
    <n v="2026"/>
    <x v="1"/>
    <n v="29403.03"/>
    <x v="0"/>
    <m/>
    <d v="2025-12-01T00:00:00"/>
    <x v="0"/>
    <m/>
    <x v="36"/>
  </r>
  <r>
    <x v="2"/>
    <m/>
    <m/>
    <s v="30 days pta"/>
    <x v="0"/>
    <n v="29960.95"/>
    <n v="7490.23"/>
    <n v="22470.720000000001"/>
    <x v="4"/>
    <m/>
    <m/>
    <d v="2026-01-31T00:00:00"/>
    <d v="2026-02-07T00:00:00"/>
    <n v="7"/>
    <x v="0"/>
    <n v="1"/>
    <n v="2026"/>
    <x v="1"/>
    <n v="19283.39"/>
    <x v="0"/>
    <m/>
    <d v="2025-11-10T00:00:00"/>
    <x v="0"/>
    <m/>
    <x v="7"/>
  </r>
  <r>
    <x v="2"/>
    <m/>
    <m/>
    <s v="30 days pta"/>
    <x v="0"/>
    <n v="74312"/>
    <m/>
    <n v="74312"/>
    <x v="5"/>
    <m/>
    <m/>
    <d v="2026-01-31T00:00:00"/>
    <d v="2026-02-16T00:00:00"/>
    <n v="16"/>
    <x v="0"/>
    <n v="1"/>
    <n v="2026"/>
    <x v="1"/>
    <n v="52844.959999999999"/>
    <x v="0"/>
    <m/>
    <d v="2025-07-12T00:00:00"/>
    <x v="0"/>
    <m/>
    <x v="1"/>
  </r>
  <r>
    <x v="2"/>
    <m/>
    <m/>
    <s v="30 days pta"/>
    <x v="0"/>
    <n v="5720.95"/>
    <m/>
    <n v="5720.95"/>
    <x v="5"/>
    <m/>
    <m/>
    <d v="2026-01-31T00:00:00"/>
    <d v="2026-02-01T00:00:00"/>
    <n v="1"/>
    <x v="0"/>
    <n v="1"/>
    <n v="2026"/>
    <x v="1"/>
    <n v="2305.3200000000002"/>
    <x v="0"/>
    <m/>
    <d v="2025-11-25T00:00:00"/>
    <x v="0"/>
    <m/>
    <x v="23"/>
  </r>
  <r>
    <x v="2"/>
    <m/>
    <m/>
    <s v="30 days pta"/>
    <x v="0"/>
    <n v="2600"/>
    <m/>
    <n v="2600"/>
    <x v="5"/>
    <m/>
    <m/>
    <d v="2026-01-31T00:00:00"/>
    <d v="2026-02-07T00:00:00"/>
    <n v="7"/>
    <x v="0"/>
    <n v="1"/>
    <n v="2026"/>
    <x v="1"/>
    <n v="0"/>
    <x v="0"/>
    <m/>
    <d v="2025-09-27T00:00:00"/>
    <x v="0"/>
    <m/>
    <x v="16"/>
  </r>
  <r>
    <x v="2"/>
    <m/>
    <m/>
    <s v="30 days pta"/>
    <x v="0"/>
    <n v="9004"/>
    <m/>
    <n v="9004"/>
    <x v="5"/>
    <m/>
    <m/>
    <d v="2026-01-31T00:00:00"/>
    <d v="2026-02-02T00:00:00"/>
    <n v="2"/>
    <x v="0"/>
    <n v="1"/>
    <n v="2026"/>
    <x v="1"/>
    <n v="0"/>
    <x v="0"/>
    <m/>
    <d v="2025-11-24T00:00:00"/>
    <x v="0"/>
    <m/>
    <x v="23"/>
  </r>
  <r>
    <x v="2"/>
    <m/>
    <m/>
    <s v="30 days pta"/>
    <x v="0"/>
    <n v="5025"/>
    <m/>
    <n v="5025"/>
    <x v="6"/>
    <m/>
    <m/>
    <d v="2026-02-01T00:00:00"/>
    <d v="2026-02-07T00:00:00"/>
    <n v="6"/>
    <x v="1"/>
    <n v="2"/>
    <n v="2026"/>
    <x v="1"/>
    <n v="-482.28"/>
    <x v="0"/>
    <m/>
    <d v="2025-07-09T00:00:00"/>
    <x v="0"/>
    <m/>
    <x v="1"/>
  </r>
  <r>
    <x v="2"/>
    <m/>
    <m/>
    <s v="30 days pta"/>
    <x v="0"/>
    <n v="20779.52"/>
    <n v="20779.52"/>
    <m/>
    <x v="0"/>
    <m/>
    <m/>
    <d v="2026-02-01T00:00:00"/>
    <d v="2026-02-05T00:00:00"/>
    <n v="4"/>
    <x v="1"/>
    <n v="2"/>
    <n v="2026"/>
    <x v="0"/>
    <n v="13329.9"/>
    <x v="0"/>
    <m/>
    <d v="2025-08-26T00:00:00"/>
    <x v="0"/>
    <m/>
    <x v="31"/>
  </r>
  <r>
    <x v="2"/>
    <m/>
    <m/>
    <s v="30 days pta"/>
    <x v="0"/>
    <n v="19942"/>
    <n v="4570.5"/>
    <n v="15371.5"/>
    <x v="4"/>
    <m/>
    <m/>
    <d v="2026-02-01T00:00:00"/>
    <d v="2026-02-05T00:00:00"/>
    <n v="4"/>
    <x v="1"/>
    <n v="2"/>
    <n v="2026"/>
    <x v="1"/>
    <n v="6982.61"/>
    <x v="0"/>
    <m/>
    <d v="2025-11-12T00:00:00"/>
    <x v="0"/>
    <m/>
    <x v="23"/>
  </r>
  <r>
    <x v="2"/>
    <m/>
    <m/>
    <s v="30 days pta"/>
    <x v="0"/>
    <n v="26038.28"/>
    <n v="6509.57"/>
    <n v="19528.71"/>
    <x v="4"/>
    <m/>
    <m/>
    <d v="2026-02-02T00:00:00"/>
    <d v="2026-02-08T00:00:00"/>
    <n v="6"/>
    <x v="1"/>
    <n v="2"/>
    <n v="2026"/>
    <x v="1"/>
    <n v="13747.14"/>
    <x v="0"/>
    <m/>
    <d v="2025-12-01T00:00:00"/>
    <x v="0"/>
    <m/>
    <x v="35"/>
  </r>
  <r>
    <x v="2"/>
    <m/>
    <m/>
    <s v="30 days pta"/>
    <x v="0"/>
    <n v="13506"/>
    <m/>
    <n v="13506"/>
    <x v="5"/>
    <m/>
    <m/>
    <d v="2026-02-02T00:00:00"/>
    <d v="2026-02-05T00:00:00"/>
    <n v="3"/>
    <x v="1"/>
    <n v="2"/>
    <n v="2026"/>
    <x v="1"/>
    <n v="5366.31"/>
    <x v="0"/>
    <m/>
    <d v="2025-11-23T00:00:00"/>
    <x v="0"/>
    <m/>
    <x v="23"/>
  </r>
  <r>
    <x v="2"/>
    <m/>
    <m/>
    <s v="30 days pta"/>
    <x v="0"/>
    <n v="15496"/>
    <n v="3874"/>
    <n v="11622"/>
    <x v="4"/>
    <m/>
    <m/>
    <d v="2026-02-04T00:00:00"/>
    <d v="2026-02-08T00:00:00"/>
    <n v="4"/>
    <x v="1"/>
    <n v="2"/>
    <n v="2026"/>
    <x v="1"/>
    <n v="7615.99"/>
    <x v="0"/>
    <m/>
    <d v="2025-12-02T00:00:00"/>
    <x v="0"/>
    <m/>
    <x v="23"/>
  </r>
  <r>
    <x v="2"/>
    <m/>
    <m/>
    <s v="30 days pta"/>
    <x v="0"/>
    <n v="17815.400000000001"/>
    <n v="3803.85"/>
    <n v="14011.55"/>
    <x v="4"/>
    <m/>
    <m/>
    <d v="2026-02-04T00:00:00"/>
    <d v="2026-02-08T00:00:00"/>
    <n v="4"/>
    <x v="1"/>
    <n v="2"/>
    <n v="2026"/>
    <x v="1"/>
    <n v="11141.16"/>
    <x v="0"/>
    <m/>
    <d v="2025-10-28T00:00:00"/>
    <x v="0"/>
    <m/>
    <x v="35"/>
  </r>
  <r>
    <x v="2"/>
    <m/>
    <m/>
    <s v="30 days pta"/>
    <x v="0"/>
    <n v="10397"/>
    <m/>
    <n v="10397"/>
    <x v="5"/>
    <m/>
    <m/>
    <d v="2026-02-04T00:00:00"/>
    <d v="2026-02-05T00:00:00"/>
    <n v="1"/>
    <x v="1"/>
    <n v="2"/>
    <n v="2026"/>
    <x v="1"/>
    <n v="5260.3"/>
    <x v="0"/>
    <m/>
    <d v="2025-10-17T00:00:00"/>
    <x v="0"/>
    <m/>
    <x v="23"/>
  </r>
  <r>
    <x v="2"/>
    <m/>
    <m/>
    <s v="30 days pta"/>
    <x v="0"/>
    <m/>
    <m/>
    <m/>
    <x v="2"/>
    <m/>
    <m/>
    <d v="2026-02-05T00:00:00"/>
    <d v="2026-02-15T00:00:00"/>
    <n v="10"/>
    <x v="1"/>
    <n v="2"/>
    <n v="2026"/>
    <x v="0"/>
    <n v="3899.6"/>
    <x v="0"/>
    <m/>
    <d v="2025-12-10T00:00:00"/>
    <x v="0"/>
    <m/>
    <x v="25"/>
  </r>
  <r>
    <x v="2"/>
    <m/>
    <m/>
    <s v="30 days pta"/>
    <x v="0"/>
    <m/>
    <m/>
    <m/>
    <x v="2"/>
    <m/>
    <m/>
    <d v="2026-02-05T00:00:00"/>
    <d v="2026-02-12T00:00:00"/>
    <n v="7"/>
    <x v="1"/>
    <n v="2"/>
    <n v="2026"/>
    <x v="0"/>
    <n v="17767.12"/>
    <x v="0"/>
    <m/>
    <m/>
    <x v="0"/>
    <m/>
    <x v="23"/>
  </r>
  <r>
    <x v="2"/>
    <m/>
    <m/>
    <s v="30 days pta"/>
    <x v="0"/>
    <m/>
    <m/>
    <m/>
    <x v="2"/>
    <m/>
    <m/>
    <d v="2026-02-05T00:00:00"/>
    <d v="2026-02-12T00:00:00"/>
    <n v="7"/>
    <x v="1"/>
    <n v="2"/>
    <n v="2026"/>
    <x v="0"/>
    <n v="17767.12"/>
    <x v="0"/>
    <m/>
    <m/>
    <x v="0"/>
    <m/>
    <x v="23"/>
  </r>
  <r>
    <x v="2"/>
    <m/>
    <m/>
    <s v="30 days pta"/>
    <x v="0"/>
    <m/>
    <m/>
    <m/>
    <x v="2"/>
    <m/>
    <m/>
    <d v="2026-02-05T00:00:00"/>
    <d v="2026-02-12T00:00:00"/>
    <n v="7"/>
    <x v="1"/>
    <n v="2"/>
    <n v="2026"/>
    <x v="0"/>
    <n v="19647.46"/>
    <x v="0"/>
    <m/>
    <m/>
    <x v="0"/>
    <m/>
    <x v="23"/>
  </r>
  <r>
    <x v="2"/>
    <m/>
    <m/>
    <s v="30 days pta"/>
    <x v="0"/>
    <n v="21800"/>
    <m/>
    <n v="21800"/>
    <x v="5"/>
    <m/>
    <m/>
    <d v="2026-02-06T00:00:00"/>
    <d v="2026-02-13T00:00:00"/>
    <n v="7"/>
    <x v="1"/>
    <n v="2"/>
    <n v="2026"/>
    <x v="1"/>
    <n v="9610.7800000000007"/>
    <x v="0"/>
    <m/>
    <d v="2025-11-14T00:00:00"/>
    <x v="0"/>
    <m/>
    <x v="16"/>
  </r>
  <r>
    <x v="2"/>
    <m/>
    <m/>
    <s v="30 days pta"/>
    <x v="0"/>
    <n v="23850"/>
    <n v="23850"/>
    <m/>
    <x v="0"/>
    <m/>
    <m/>
    <d v="2026-02-07T00:00:00"/>
    <d v="2026-02-14T00:00:00"/>
    <n v="7"/>
    <x v="1"/>
    <n v="2"/>
    <n v="2026"/>
    <x v="0"/>
    <n v="10124.24"/>
    <x v="0"/>
    <m/>
    <d v="2025-07-31T00:00:00"/>
    <x v="0"/>
    <m/>
    <x v="16"/>
  </r>
  <r>
    <x v="2"/>
    <m/>
    <m/>
    <s v="30 days pta"/>
    <x v="0"/>
    <n v="14020"/>
    <m/>
    <n v="14020"/>
    <x v="5"/>
    <m/>
    <m/>
    <d v="2026-02-07T00:00:00"/>
    <d v="2026-02-12T00:00:00"/>
    <n v="5"/>
    <x v="1"/>
    <n v="2"/>
    <n v="2026"/>
    <x v="1"/>
    <n v="9615.4"/>
    <x v="0"/>
    <m/>
    <d v="2025-10-29T00:00:00"/>
    <x v="0"/>
    <m/>
    <x v="5"/>
  </r>
  <r>
    <x v="2"/>
    <m/>
    <m/>
    <s v="30 days pta"/>
    <x v="0"/>
    <n v="21074.84"/>
    <m/>
    <n v="21074.84"/>
    <x v="5"/>
    <m/>
    <m/>
    <d v="2026-02-07T00:00:00"/>
    <d v="2026-02-11T00:00:00"/>
    <n v="4"/>
    <x v="1"/>
    <n v="2"/>
    <n v="2026"/>
    <x v="1"/>
    <n v="12319"/>
    <x v="0"/>
    <m/>
    <d v="2025-08-01T00:00:00"/>
    <x v="0"/>
    <m/>
    <x v="10"/>
  </r>
  <r>
    <x v="2"/>
    <m/>
    <m/>
    <s v="30 days pta"/>
    <x v="0"/>
    <n v="21780"/>
    <n v="5445"/>
    <n v="16335"/>
    <x v="4"/>
    <m/>
    <m/>
    <d v="2026-02-07T00:00:00"/>
    <d v="2026-02-12T00:00:00"/>
    <n v="5"/>
    <x v="1"/>
    <n v="2"/>
    <n v="2026"/>
    <x v="1"/>
    <n v="9558.14"/>
    <x v="0"/>
    <m/>
    <d v="2025-11-11T00:00:00"/>
    <x v="0"/>
    <m/>
    <x v="23"/>
  </r>
  <r>
    <x v="2"/>
    <m/>
    <m/>
    <s v="30 days pta"/>
    <x v="0"/>
    <n v="33160"/>
    <n v="8290"/>
    <n v="24870"/>
    <x v="4"/>
    <m/>
    <m/>
    <d v="2026-02-08T00:00:00"/>
    <d v="2026-02-17T00:00:00"/>
    <n v="9"/>
    <x v="1"/>
    <n v="2"/>
    <n v="2026"/>
    <x v="1"/>
    <n v="21836.07"/>
    <x v="0"/>
    <m/>
    <d v="2025-11-06T00:00:00"/>
    <x v="0"/>
    <m/>
    <x v="15"/>
  </r>
  <r>
    <x v="2"/>
    <m/>
    <m/>
    <s v="30 days pta"/>
    <x v="0"/>
    <n v="15213.4"/>
    <m/>
    <n v="15213.4"/>
    <x v="3"/>
    <m/>
    <m/>
    <d v="2026-02-08T00:00:00"/>
    <d v="2026-02-13T00:00:00"/>
    <n v="5"/>
    <x v="1"/>
    <n v="2"/>
    <n v="2026"/>
    <x v="1"/>
    <n v="9038"/>
    <x v="0"/>
    <m/>
    <d v="2025-12-02T00:00:00"/>
    <x v="0"/>
    <m/>
    <x v="23"/>
  </r>
  <r>
    <x v="2"/>
    <m/>
    <m/>
    <s v="30 days pta"/>
    <x v="0"/>
    <n v="325"/>
    <m/>
    <n v="325"/>
    <x v="6"/>
    <m/>
    <m/>
    <d v="2026-02-08T00:00:00"/>
    <d v="2026-02-10T00:00:00"/>
    <n v="2"/>
    <x v="1"/>
    <n v="2"/>
    <n v="2026"/>
    <x v="1"/>
    <n v="0"/>
    <x v="0"/>
    <m/>
    <d v="2025-07-31T00:00:00"/>
    <x v="0"/>
    <m/>
    <x v="0"/>
  </r>
  <r>
    <x v="2"/>
    <m/>
    <m/>
    <s v="30 days pta"/>
    <x v="0"/>
    <n v="32974.769999999997"/>
    <m/>
    <n v="32974.769999999997"/>
    <x v="5"/>
    <m/>
    <m/>
    <d v="2026-02-08T00:00:00"/>
    <d v="2026-02-16T00:00:00"/>
    <n v="8"/>
    <x v="1"/>
    <n v="2"/>
    <n v="2026"/>
    <x v="1"/>
    <n v="22239.64"/>
    <x v="0"/>
    <m/>
    <d v="2025-12-08T00:00:00"/>
    <x v="0"/>
    <m/>
    <x v="33"/>
  </r>
  <r>
    <x v="2"/>
    <m/>
    <m/>
    <s v="30 days pta"/>
    <x v="0"/>
    <n v="32974.769999999997"/>
    <m/>
    <n v="32974.769999999997"/>
    <x v="5"/>
    <m/>
    <m/>
    <d v="2026-02-08T00:00:00"/>
    <d v="2026-02-16T00:00:00"/>
    <n v="8"/>
    <x v="1"/>
    <n v="2"/>
    <n v="2026"/>
    <x v="1"/>
    <n v="22239.64"/>
    <x v="0"/>
    <m/>
    <d v="2025-12-08T00:00:00"/>
    <x v="0"/>
    <m/>
    <x v="33"/>
  </r>
  <r>
    <x v="2"/>
    <m/>
    <m/>
    <s v="30 days pta"/>
    <x v="0"/>
    <n v="19530"/>
    <m/>
    <n v="19530"/>
    <x v="5"/>
    <m/>
    <m/>
    <d v="2026-02-08T00:00:00"/>
    <d v="2026-02-11T00:00:00"/>
    <n v="3"/>
    <x v="1"/>
    <n v="2"/>
    <n v="2026"/>
    <x v="1"/>
    <n v="3133.2"/>
    <x v="0"/>
    <m/>
    <d v="2025-09-26T00:00:00"/>
    <x v="0"/>
    <m/>
    <x v="16"/>
  </r>
  <r>
    <x v="2"/>
    <m/>
    <m/>
    <s v="30 days pta"/>
    <x v="0"/>
    <n v="20244"/>
    <m/>
    <n v="20244"/>
    <x v="5"/>
    <m/>
    <m/>
    <d v="2026-02-08T00:00:00"/>
    <d v="2026-02-12T00:00:00"/>
    <n v="4"/>
    <x v="1"/>
    <n v="2"/>
    <n v="2026"/>
    <x v="1"/>
    <n v="11981.36"/>
    <x v="0"/>
    <m/>
    <d v="2025-09-02T00:00:00"/>
    <x v="0"/>
    <m/>
    <x v="24"/>
  </r>
  <r>
    <x v="2"/>
    <m/>
    <m/>
    <s v="30 days pta"/>
    <x v="0"/>
    <n v="20740"/>
    <n v="5185"/>
    <n v="15555"/>
    <x v="4"/>
    <m/>
    <m/>
    <d v="2026-02-08T00:00:00"/>
    <d v="2026-02-13T00:00:00"/>
    <n v="5"/>
    <x v="1"/>
    <n v="2"/>
    <n v="2026"/>
    <x v="1"/>
    <n v="9729.86"/>
    <x v="0"/>
    <m/>
    <d v="2025-11-21T00:00:00"/>
    <x v="0"/>
    <m/>
    <x v="23"/>
  </r>
  <r>
    <x v="2"/>
    <m/>
    <m/>
    <s v="30 days pta"/>
    <x v="0"/>
    <n v="36542"/>
    <m/>
    <n v="36542"/>
    <x v="5"/>
    <m/>
    <m/>
    <d v="2026-02-09T00:00:00"/>
    <d v="2026-02-13T00:00:00"/>
    <n v="4"/>
    <x v="1"/>
    <n v="2"/>
    <n v="2026"/>
    <x v="1"/>
    <n v="0"/>
    <x v="0"/>
    <m/>
    <d v="2025-12-07T00:00:00"/>
    <x v="0"/>
    <m/>
    <x v="23"/>
  </r>
  <r>
    <x v="2"/>
    <m/>
    <m/>
    <s v="30 days pta"/>
    <x v="0"/>
    <n v="16661.599999999999"/>
    <n v="3515.4"/>
    <n v="13146.2"/>
    <x v="4"/>
    <m/>
    <m/>
    <d v="2026-02-09T00:00:00"/>
    <d v="2026-02-13T00:00:00"/>
    <n v="4"/>
    <x v="1"/>
    <n v="2"/>
    <n v="2026"/>
    <x v="1"/>
    <n v="10260.68"/>
    <x v="0"/>
    <m/>
    <d v="2025-11-08T00:00:00"/>
    <x v="0"/>
    <m/>
    <x v="8"/>
  </r>
  <r>
    <x v="2"/>
    <m/>
    <m/>
    <s v="30 days pta"/>
    <x v="0"/>
    <n v="48742.84"/>
    <n v="12185.71"/>
    <n v="36557.129999999997"/>
    <x v="4"/>
    <m/>
    <m/>
    <d v="2026-02-09T00:00:00"/>
    <d v="2026-02-15T00:00:00"/>
    <n v="6"/>
    <x v="1"/>
    <n v="2"/>
    <n v="2026"/>
    <x v="1"/>
    <n v="31818.42"/>
    <x v="0"/>
    <m/>
    <d v="2025-12-08T00:00:00"/>
    <x v="0"/>
    <m/>
    <x v="15"/>
  </r>
  <r>
    <x v="2"/>
    <m/>
    <m/>
    <s v="30 days pta"/>
    <x v="0"/>
    <n v="36838.400000000001"/>
    <m/>
    <n v="36838.400000000001"/>
    <x v="5"/>
    <m/>
    <m/>
    <d v="2026-02-09T00:00:00"/>
    <d v="2026-02-16T00:00:00"/>
    <n v="7"/>
    <x v="1"/>
    <n v="2"/>
    <n v="2026"/>
    <x v="1"/>
    <n v="25305.56"/>
    <x v="0"/>
    <m/>
    <d v="2025-08-31T00:00:00"/>
    <x v="0"/>
    <m/>
    <x v="10"/>
  </r>
  <r>
    <x v="2"/>
    <m/>
    <m/>
    <s v="30 days pta"/>
    <x v="0"/>
    <n v="17700"/>
    <n v="4425"/>
    <n v="13275"/>
    <x v="4"/>
    <m/>
    <m/>
    <d v="2026-02-09T00:00:00"/>
    <d v="2026-02-13T00:00:00"/>
    <n v="4"/>
    <x v="1"/>
    <n v="2"/>
    <n v="2026"/>
    <x v="1"/>
    <n v="4204.82"/>
    <x v="0"/>
    <m/>
    <d v="2025-10-31T00:00:00"/>
    <x v="0"/>
    <m/>
    <x v="23"/>
  </r>
  <r>
    <x v="2"/>
    <m/>
    <m/>
    <s v="30 days pta"/>
    <x v="0"/>
    <n v="28188.28"/>
    <n v="28188.28"/>
    <m/>
    <x v="0"/>
    <m/>
    <m/>
    <d v="2026-02-10T00:00:00"/>
    <d v="2026-02-19T00:00:00"/>
    <n v="9"/>
    <x v="1"/>
    <n v="2"/>
    <n v="2026"/>
    <x v="0"/>
    <n v="18469.349999999999"/>
    <x v="0"/>
    <m/>
    <d v="2025-11-17T00:00:00"/>
    <x v="0"/>
    <m/>
    <x v="9"/>
  </r>
  <r>
    <x v="2"/>
    <m/>
    <m/>
    <s v="30 days pta"/>
    <x v="0"/>
    <n v="16155"/>
    <m/>
    <n v="16155"/>
    <x v="5"/>
    <m/>
    <m/>
    <d v="2026-02-10T00:00:00"/>
    <d v="2026-02-15T00:00:00"/>
    <n v="5"/>
    <x v="1"/>
    <n v="2"/>
    <n v="2026"/>
    <x v="1"/>
    <n v="0"/>
    <x v="0"/>
    <m/>
    <d v="2025-12-05T00:00:00"/>
    <x v="0"/>
    <m/>
    <x v="0"/>
  </r>
  <r>
    <x v="2"/>
    <m/>
    <m/>
    <s v="30 days pta"/>
    <x v="0"/>
    <n v="22090"/>
    <m/>
    <n v="22090"/>
    <x v="5"/>
    <m/>
    <m/>
    <d v="2026-02-10T00:00:00"/>
    <d v="2026-02-15T00:00:00"/>
    <n v="5"/>
    <x v="1"/>
    <n v="2"/>
    <n v="2026"/>
    <x v="1"/>
    <n v="11523.2"/>
    <x v="0"/>
    <m/>
    <d v="2025-11-08T00:00:00"/>
    <x v="0"/>
    <m/>
    <x v="1"/>
  </r>
  <r>
    <x v="2"/>
    <m/>
    <m/>
    <s v="30 days pta"/>
    <x v="0"/>
    <n v="30200"/>
    <n v="3000"/>
    <n v="27200"/>
    <x v="4"/>
    <m/>
    <m/>
    <d v="2026-02-10T00:00:00"/>
    <d v="2026-02-20T00:00:00"/>
    <n v="10"/>
    <x v="1"/>
    <n v="2"/>
    <n v="2026"/>
    <x v="1"/>
    <n v="19887.099999999999"/>
    <x v="0"/>
    <m/>
    <d v="2025-11-21T00:00:00"/>
    <x v="0"/>
    <m/>
    <x v="6"/>
  </r>
  <r>
    <x v="2"/>
    <m/>
    <m/>
    <s v="30 days pta"/>
    <x v="0"/>
    <n v="3567.75"/>
    <m/>
    <n v="3567.75"/>
    <x v="5"/>
    <m/>
    <m/>
    <d v="2026-02-11T00:00:00"/>
    <d v="2026-02-12T00:00:00"/>
    <n v="1"/>
    <x v="1"/>
    <n v="2"/>
    <n v="2026"/>
    <x v="1"/>
    <n v="239.43"/>
    <x v="0"/>
    <m/>
    <d v="2025-11-16T00:00:00"/>
    <x v="0"/>
    <m/>
    <x v="23"/>
  </r>
  <r>
    <x v="2"/>
    <m/>
    <m/>
    <s v="30 days pta"/>
    <x v="0"/>
    <n v="17356"/>
    <n v="4339"/>
    <n v="13017"/>
    <x v="4"/>
    <m/>
    <m/>
    <d v="2026-02-11T00:00:00"/>
    <d v="2026-02-15T00:00:00"/>
    <n v="4"/>
    <x v="1"/>
    <n v="2"/>
    <n v="2026"/>
    <x v="1"/>
    <n v="9035.4"/>
    <x v="0"/>
    <m/>
    <d v="2025-11-15T00:00:00"/>
    <x v="0"/>
    <m/>
    <x v="23"/>
  </r>
  <r>
    <x v="2"/>
    <m/>
    <m/>
    <s v="30 days pta"/>
    <x v="0"/>
    <n v="48141.98"/>
    <m/>
    <n v="48141.98"/>
    <x v="5"/>
    <m/>
    <m/>
    <d v="2026-02-11T00:00:00"/>
    <d v="2026-02-18T00:00:00"/>
    <n v="7"/>
    <x v="1"/>
    <n v="2"/>
    <n v="2026"/>
    <x v="1"/>
    <n v="33760.65"/>
    <x v="0"/>
    <m/>
    <d v="2025-05-09T00:00:00"/>
    <x v="0"/>
    <m/>
    <x v="1"/>
  </r>
  <r>
    <x v="2"/>
    <m/>
    <m/>
    <s v="30 days pta"/>
    <x v="0"/>
    <n v="12881.13"/>
    <m/>
    <n v="12881.13"/>
    <x v="5"/>
    <m/>
    <m/>
    <d v="2026-02-11T00:00:00"/>
    <d v="2026-02-14T00:00:00"/>
    <n v="3"/>
    <x v="1"/>
    <n v="2"/>
    <n v="2026"/>
    <x v="1"/>
    <n v="9239.25"/>
    <x v="0"/>
    <m/>
    <d v="2025-08-01T00:00:00"/>
    <x v="0"/>
    <m/>
    <x v="10"/>
  </r>
  <r>
    <x v="2"/>
    <m/>
    <m/>
    <s v="30 days pta"/>
    <x v="0"/>
    <m/>
    <m/>
    <m/>
    <x v="1"/>
    <m/>
    <m/>
    <d v="2026-02-11T00:00:00"/>
    <d v="2026-02-13T00:00:00"/>
    <n v="2"/>
    <x v="1"/>
    <n v="2"/>
    <n v="2026"/>
    <x v="0"/>
    <n v="0"/>
    <x v="0"/>
    <m/>
    <d v="2025-04-19T00:00:00"/>
    <x v="0"/>
    <m/>
    <x v="18"/>
  </r>
  <r>
    <x v="2"/>
    <m/>
    <m/>
    <s v="30 days pta"/>
    <x v="0"/>
    <m/>
    <m/>
    <m/>
    <x v="1"/>
    <m/>
    <m/>
    <d v="2026-02-11T00:00:00"/>
    <d v="2026-02-13T00:00:00"/>
    <n v="2"/>
    <x v="1"/>
    <n v="2"/>
    <n v="2026"/>
    <x v="0"/>
    <n v="0"/>
    <x v="0"/>
    <m/>
    <d v="2025-04-19T00:00:00"/>
    <x v="0"/>
    <m/>
    <x v="18"/>
  </r>
  <r>
    <x v="2"/>
    <m/>
    <m/>
    <s v="30 days pta"/>
    <x v="0"/>
    <m/>
    <m/>
    <m/>
    <x v="1"/>
    <m/>
    <m/>
    <d v="2026-02-11T00:00:00"/>
    <d v="2026-02-13T00:00:00"/>
    <n v="2"/>
    <x v="1"/>
    <n v="2"/>
    <n v="2026"/>
    <x v="0"/>
    <n v="0"/>
    <x v="0"/>
    <m/>
    <d v="2025-04-19T00:00:00"/>
    <x v="0"/>
    <m/>
    <x v="18"/>
  </r>
  <r>
    <x v="2"/>
    <m/>
    <m/>
    <s v="30 days pta"/>
    <x v="0"/>
    <m/>
    <m/>
    <m/>
    <x v="1"/>
    <m/>
    <m/>
    <d v="2026-02-11T00:00:00"/>
    <d v="2026-02-13T00:00:00"/>
    <n v="2"/>
    <x v="1"/>
    <n v="2"/>
    <n v="2026"/>
    <x v="0"/>
    <n v="0"/>
    <x v="0"/>
    <m/>
    <d v="2025-04-19T00:00:00"/>
    <x v="0"/>
    <m/>
    <x v="18"/>
  </r>
  <r>
    <x v="2"/>
    <m/>
    <m/>
    <s v="30 days pta"/>
    <x v="0"/>
    <n v="19000"/>
    <m/>
    <n v="19000"/>
    <x v="5"/>
    <m/>
    <m/>
    <d v="2026-02-11T00:00:00"/>
    <d v="2026-02-15T00:00:00"/>
    <n v="4"/>
    <x v="1"/>
    <n v="2"/>
    <n v="2026"/>
    <x v="1"/>
    <n v="-478.64"/>
    <x v="0"/>
    <m/>
    <d v="2025-12-10T00:00:00"/>
    <x v="0"/>
    <m/>
    <x v="23"/>
  </r>
  <r>
    <x v="2"/>
    <m/>
    <m/>
    <s v="30 days pta"/>
    <x v="0"/>
    <n v="19000"/>
    <m/>
    <n v="19000"/>
    <x v="5"/>
    <m/>
    <m/>
    <d v="2026-02-11T00:00:00"/>
    <d v="2026-02-15T00:00:00"/>
    <n v="4"/>
    <x v="1"/>
    <n v="2"/>
    <n v="2026"/>
    <x v="1"/>
    <n v="-478.64"/>
    <x v="0"/>
    <m/>
    <d v="2025-12-10T00:00:00"/>
    <x v="0"/>
    <m/>
    <x v="23"/>
  </r>
  <r>
    <x v="2"/>
    <m/>
    <m/>
    <s v="30 days pta"/>
    <x v="0"/>
    <n v="19000"/>
    <m/>
    <n v="19000"/>
    <x v="5"/>
    <m/>
    <m/>
    <d v="2026-02-11T00:00:00"/>
    <d v="2026-02-15T00:00:00"/>
    <n v="4"/>
    <x v="1"/>
    <n v="2"/>
    <n v="2026"/>
    <x v="1"/>
    <n v="-478.64"/>
    <x v="0"/>
    <m/>
    <d v="2025-12-10T00:00:00"/>
    <x v="0"/>
    <m/>
    <x v="23"/>
  </r>
  <r>
    <x v="2"/>
    <m/>
    <m/>
    <s v="30 days pta"/>
    <x v="0"/>
    <n v="16942"/>
    <m/>
    <n v="16942"/>
    <x v="5"/>
    <m/>
    <m/>
    <d v="2026-02-11T00:00:00"/>
    <d v="2026-02-15T00:00:00"/>
    <n v="4"/>
    <x v="1"/>
    <n v="2"/>
    <n v="2026"/>
    <x v="1"/>
    <n v="7409.94"/>
    <x v="0"/>
    <m/>
    <d v="2025-12-03T00:00:00"/>
    <x v="0"/>
    <m/>
    <x v="23"/>
  </r>
  <r>
    <x v="2"/>
    <m/>
    <m/>
    <s v="30 days pta"/>
    <x v="0"/>
    <n v="2100"/>
    <n v="2100"/>
    <m/>
    <x v="6"/>
    <m/>
    <m/>
    <d v="2026-02-12T00:00:00"/>
    <d v="2026-02-15T00:00:00"/>
    <n v="3"/>
    <x v="1"/>
    <n v="2"/>
    <n v="2026"/>
    <x v="0"/>
    <n v="1485.04"/>
    <x v="0"/>
    <m/>
    <d v="2025-07-03T00:00:00"/>
    <x v="0"/>
    <m/>
    <x v="15"/>
  </r>
  <r>
    <x v="2"/>
    <m/>
    <m/>
    <s v="30 days pta"/>
    <x v="0"/>
    <n v="21826"/>
    <n v="6734"/>
    <n v="15092"/>
    <x v="4"/>
    <m/>
    <m/>
    <d v="2026-02-12T00:00:00"/>
    <d v="2026-02-18T00:00:00"/>
    <n v="6"/>
    <x v="1"/>
    <n v="2"/>
    <n v="2026"/>
    <x v="1"/>
    <n v="13232.58"/>
    <x v="0"/>
    <m/>
    <d v="2025-11-22T00:00:00"/>
    <x v="0"/>
    <m/>
    <x v="29"/>
  </r>
  <r>
    <x v="2"/>
    <m/>
    <m/>
    <s v="30 days pta"/>
    <x v="0"/>
    <n v="10703.25"/>
    <m/>
    <n v="10703.25"/>
    <x v="5"/>
    <m/>
    <m/>
    <d v="2026-02-12T00:00:00"/>
    <d v="2026-02-15T00:00:00"/>
    <n v="3"/>
    <x v="1"/>
    <n v="2"/>
    <n v="2026"/>
    <x v="1"/>
    <n v="6441.74"/>
    <x v="0"/>
    <m/>
    <d v="2025-11-16T00:00:00"/>
    <x v="0"/>
    <m/>
    <x v="23"/>
  </r>
  <r>
    <x v="2"/>
    <m/>
    <m/>
    <s v="30 days pta"/>
    <x v="0"/>
    <n v="33138.239999999998"/>
    <m/>
    <n v="33138.239999999998"/>
    <x v="5"/>
    <m/>
    <m/>
    <d v="2026-02-12T00:00:00"/>
    <d v="2026-02-16T00:00:00"/>
    <n v="4"/>
    <x v="1"/>
    <n v="2"/>
    <n v="2026"/>
    <x v="1"/>
    <n v="15203.16"/>
    <x v="0"/>
    <m/>
    <d v="2025-09-28T00:00:00"/>
    <x v="0"/>
    <m/>
    <x v="15"/>
  </r>
  <r>
    <x v="2"/>
    <m/>
    <m/>
    <s v="30 days pta"/>
    <x v="0"/>
    <n v="34161.300000000003"/>
    <n v="2600"/>
    <n v="31561.3"/>
    <x v="3"/>
    <m/>
    <m/>
    <d v="2026-02-12T00:00:00"/>
    <d v="2026-02-22T00:00:00"/>
    <n v="10"/>
    <x v="1"/>
    <n v="2"/>
    <n v="2026"/>
    <x v="1"/>
    <n v="22055.3"/>
    <x v="0"/>
    <m/>
    <d v="2025-10-24T00:00:00"/>
    <x v="0"/>
    <m/>
    <x v="24"/>
  </r>
  <r>
    <x v="2"/>
    <m/>
    <m/>
    <s v="30 days pta"/>
    <x v="0"/>
    <n v="16440.41"/>
    <m/>
    <n v="16440.41"/>
    <x v="5"/>
    <m/>
    <m/>
    <d v="2026-02-12T00:00:00"/>
    <d v="2026-02-15T00:00:00"/>
    <n v="3"/>
    <x v="1"/>
    <n v="2"/>
    <n v="2026"/>
    <x v="1"/>
    <n v="8492.3700000000008"/>
    <x v="0"/>
    <m/>
    <d v="2025-11-26T00:00:00"/>
    <x v="0"/>
    <m/>
    <x v="22"/>
  </r>
  <r>
    <x v="2"/>
    <m/>
    <m/>
    <s v="30 days pta"/>
    <x v="0"/>
    <n v="9821"/>
    <m/>
    <n v="9821"/>
    <x v="5"/>
    <m/>
    <m/>
    <d v="2026-02-12T00:00:00"/>
    <d v="2026-02-14T00:00:00"/>
    <n v="2"/>
    <x v="1"/>
    <n v="2"/>
    <n v="2026"/>
    <x v="1"/>
    <n v="4770.78"/>
    <x v="0"/>
    <m/>
    <d v="2025-12-08T00:00:00"/>
    <x v="0"/>
    <m/>
    <x v="23"/>
  </r>
  <r>
    <x v="2"/>
    <m/>
    <m/>
    <s v="30 days pta"/>
    <x v="0"/>
    <n v="13643.88"/>
    <m/>
    <n v="13643.88"/>
    <x v="5"/>
    <m/>
    <m/>
    <d v="2026-02-13T00:00:00"/>
    <d v="2026-02-17T00:00:00"/>
    <n v="4"/>
    <x v="1"/>
    <n v="2"/>
    <n v="2026"/>
    <x v="1"/>
    <n v="8102.48"/>
    <x v="0"/>
    <m/>
    <d v="2025-11-19T00:00:00"/>
    <x v="0"/>
    <m/>
    <x v="23"/>
  </r>
  <r>
    <x v="2"/>
    <m/>
    <m/>
    <s v="30 days pta"/>
    <x v="0"/>
    <n v="45117.84"/>
    <n v="3796.78"/>
    <n v="41321.06"/>
    <x v="4"/>
    <m/>
    <m/>
    <d v="2026-02-13T00:00:00"/>
    <d v="2026-02-17T00:00:00"/>
    <n v="4"/>
    <x v="1"/>
    <n v="2"/>
    <n v="2026"/>
    <x v="1"/>
    <n v="27557.88"/>
    <x v="0"/>
    <m/>
    <d v="2025-12-01T00:00:00"/>
    <x v="0"/>
    <m/>
    <x v="41"/>
  </r>
  <r>
    <x v="2"/>
    <m/>
    <m/>
    <s v="30 days pta"/>
    <x v="0"/>
    <n v="298"/>
    <n v="298"/>
    <m/>
    <x v="6"/>
    <m/>
    <m/>
    <d v="2026-02-13T00:00:00"/>
    <d v="2026-02-15T00:00:00"/>
    <n v="2"/>
    <x v="1"/>
    <n v="2"/>
    <n v="2026"/>
    <x v="0"/>
    <n v="0"/>
    <x v="0"/>
    <m/>
    <d v="2025-09-25T00:00:00"/>
    <x v="0"/>
    <m/>
    <x v="1"/>
  </r>
  <r>
    <x v="2"/>
    <m/>
    <m/>
    <s v="30 days pta"/>
    <x v="0"/>
    <n v="23692"/>
    <n v="13472"/>
    <n v="10220"/>
    <x v="4"/>
    <m/>
    <m/>
    <d v="2026-02-13T00:00:00"/>
    <d v="2026-02-17T00:00:00"/>
    <n v="4"/>
    <x v="1"/>
    <n v="2"/>
    <n v="2026"/>
    <x v="1"/>
    <n v="13022.52"/>
    <x v="0"/>
    <m/>
    <d v="2025-08-14T00:00:00"/>
    <x v="0"/>
    <m/>
    <x v="23"/>
  </r>
  <r>
    <x v="2"/>
    <m/>
    <m/>
    <s v="30 days pta"/>
    <x v="0"/>
    <n v="14890.08"/>
    <n v="7904.75"/>
    <n v="6985.33"/>
    <x v="4"/>
    <m/>
    <m/>
    <d v="2026-02-13T00:00:00"/>
    <d v="2026-02-17T00:00:00"/>
    <n v="4"/>
    <x v="1"/>
    <n v="2"/>
    <n v="2026"/>
    <x v="1"/>
    <n v="9888.64"/>
    <x v="0"/>
    <m/>
    <d v="2025-11-07T00:00:00"/>
    <x v="0"/>
    <m/>
    <x v="15"/>
  </r>
  <r>
    <x v="2"/>
    <m/>
    <m/>
    <s v="30 days pta"/>
    <x v="0"/>
    <n v="18528.88"/>
    <m/>
    <n v="18528.88"/>
    <x v="5"/>
    <m/>
    <m/>
    <d v="2026-02-13T00:00:00"/>
    <d v="2026-02-17T00:00:00"/>
    <n v="4"/>
    <x v="1"/>
    <n v="2"/>
    <n v="2026"/>
    <x v="1"/>
    <n v="9971.08"/>
    <x v="0"/>
    <m/>
    <d v="2025-11-07T00:00:00"/>
    <x v="0"/>
    <m/>
    <x v="15"/>
  </r>
  <r>
    <x v="2"/>
    <m/>
    <m/>
    <s v="30 days pta"/>
    <x v="0"/>
    <n v="27546"/>
    <n v="6886.5"/>
    <n v="20659.5"/>
    <x v="4"/>
    <m/>
    <m/>
    <d v="2026-02-13T00:00:00"/>
    <d v="2026-02-20T00:00:00"/>
    <n v="7"/>
    <x v="1"/>
    <n v="2"/>
    <n v="2026"/>
    <x v="1"/>
    <n v="12804.47"/>
    <x v="0"/>
    <m/>
    <d v="2025-11-05T00:00:00"/>
    <x v="0"/>
    <m/>
    <x v="1"/>
  </r>
  <r>
    <x v="2"/>
    <m/>
    <m/>
    <s v="30 days pta"/>
    <x v="0"/>
    <n v="21196"/>
    <m/>
    <n v="21196"/>
    <x v="5"/>
    <m/>
    <m/>
    <d v="2026-02-13T00:00:00"/>
    <d v="2026-02-17T00:00:00"/>
    <n v="4"/>
    <x v="1"/>
    <n v="2"/>
    <n v="2026"/>
    <x v="1"/>
    <n v="12416.48"/>
    <x v="0"/>
    <m/>
    <d v="2025-08-19T00:00:00"/>
    <x v="0"/>
    <m/>
    <x v="15"/>
  </r>
  <r>
    <x v="2"/>
    <m/>
    <m/>
    <s v="30 days pta"/>
    <x v="0"/>
    <n v="30550"/>
    <n v="7637.5"/>
    <n v="22912.5"/>
    <x v="4"/>
    <m/>
    <m/>
    <d v="2026-02-13T00:00:00"/>
    <d v="2026-02-18T00:00:00"/>
    <n v="5"/>
    <x v="1"/>
    <n v="2"/>
    <n v="2026"/>
    <x v="1"/>
    <n v="13202.07"/>
    <x v="0"/>
    <m/>
    <d v="2025-11-11T00:00:00"/>
    <x v="0"/>
    <m/>
    <x v="23"/>
  </r>
  <r>
    <x v="2"/>
    <m/>
    <m/>
    <s v="30 days pta"/>
    <x v="0"/>
    <n v="18204"/>
    <n v="4551"/>
    <n v="13653"/>
    <x v="4"/>
    <m/>
    <m/>
    <d v="2026-02-13T00:00:00"/>
    <d v="2026-02-17T00:00:00"/>
    <n v="4"/>
    <x v="1"/>
    <n v="2"/>
    <n v="2026"/>
    <x v="1"/>
    <n v="13504.28"/>
    <x v="0"/>
    <m/>
    <d v="2025-10-28T00:00:00"/>
    <x v="0"/>
    <m/>
    <x v="23"/>
  </r>
  <r>
    <x v="2"/>
    <m/>
    <m/>
    <s v="30 days pta"/>
    <x v="0"/>
    <n v="27850"/>
    <n v="6962.5"/>
    <n v="20887.5"/>
    <x v="4"/>
    <m/>
    <m/>
    <d v="2026-02-13T00:00:00"/>
    <d v="2026-02-18T00:00:00"/>
    <n v="5"/>
    <x v="1"/>
    <n v="2"/>
    <n v="2026"/>
    <x v="1"/>
    <n v="13495.87"/>
    <x v="0"/>
    <m/>
    <d v="2025-11-11T00:00:00"/>
    <x v="0"/>
    <m/>
    <x v="23"/>
  </r>
  <r>
    <x v="2"/>
    <m/>
    <m/>
    <s v="30 days pta"/>
    <x v="0"/>
    <n v="8162.08"/>
    <m/>
    <n v="8162.08"/>
    <x v="5"/>
    <m/>
    <m/>
    <d v="2026-02-13T00:00:00"/>
    <d v="2026-02-15T00:00:00"/>
    <n v="2"/>
    <x v="1"/>
    <n v="2"/>
    <n v="2026"/>
    <x v="1"/>
    <n v="5001.58"/>
    <x v="0"/>
    <m/>
    <d v="2025-08-23T00:00:00"/>
    <x v="0"/>
    <m/>
    <x v="15"/>
  </r>
  <r>
    <x v="2"/>
    <m/>
    <m/>
    <s v="30 days pta"/>
    <x v="0"/>
    <n v="65949.039999999994"/>
    <n v="16475.259999999998"/>
    <n v="49473.78"/>
    <x v="4"/>
    <m/>
    <m/>
    <d v="2026-02-13T00:00:00"/>
    <d v="2026-02-21T00:00:00"/>
    <n v="8"/>
    <x v="1"/>
    <n v="2"/>
    <n v="2026"/>
    <x v="1"/>
    <n v="43665.36"/>
    <x v="0"/>
    <m/>
    <d v="2025-11-23T00:00:00"/>
    <x v="0"/>
    <m/>
    <x v="35"/>
  </r>
  <r>
    <x v="2"/>
    <m/>
    <m/>
    <s v="30 days pta"/>
    <x v="0"/>
    <n v="10326.94"/>
    <n v="1931.73"/>
    <n v="8395.2099999999991"/>
    <x v="4"/>
    <m/>
    <m/>
    <d v="2026-02-13T00:00:00"/>
    <d v="2026-02-15T00:00:00"/>
    <n v="2"/>
    <x v="1"/>
    <n v="2"/>
    <n v="2026"/>
    <x v="1"/>
    <n v="5661.58"/>
    <x v="0"/>
    <m/>
    <d v="2025-10-28T00:00:00"/>
    <x v="0"/>
    <m/>
    <x v="15"/>
  </r>
  <r>
    <x v="2"/>
    <m/>
    <m/>
    <s v="30 days pta"/>
    <x v="0"/>
    <m/>
    <m/>
    <m/>
    <x v="8"/>
    <m/>
    <m/>
    <d v="2026-02-14T00:00:00"/>
    <d v="2026-02-16T00:00:00"/>
    <n v="2"/>
    <x v="1"/>
    <n v="2"/>
    <n v="2026"/>
    <x v="0"/>
    <m/>
    <x v="0"/>
    <m/>
    <m/>
    <x v="0"/>
    <m/>
    <x v="9"/>
  </r>
  <r>
    <x v="2"/>
    <m/>
    <m/>
    <s v="30 days pta"/>
    <x v="0"/>
    <n v="87731"/>
    <n v="21932.75"/>
    <n v="65798.25"/>
    <x v="4"/>
    <m/>
    <m/>
    <d v="2026-02-14T00:00:00"/>
    <d v="2026-02-21T00:00:00"/>
    <n v="7"/>
    <x v="1"/>
    <n v="2"/>
    <n v="2026"/>
    <x v="1"/>
    <n v="36250.97"/>
    <x v="0"/>
    <m/>
    <d v="2025-10-20T00:00:00"/>
    <x v="0"/>
    <m/>
    <x v="1"/>
  </r>
  <r>
    <x v="2"/>
    <m/>
    <m/>
    <s v="30 days pta"/>
    <x v="0"/>
    <n v="138817.97"/>
    <n v="34704.49"/>
    <n v="104113.48"/>
    <x v="4"/>
    <m/>
    <m/>
    <d v="2026-02-14T00:00:00"/>
    <d v="2026-02-21T00:00:00"/>
    <n v="7"/>
    <x v="1"/>
    <n v="2"/>
    <n v="2026"/>
    <x v="1"/>
    <n v="73612.63"/>
    <x v="0"/>
    <m/>
    <d v="2025-11-02T00:00:00"/>
    <x v="0"/>
    <m/>
    <x v="42"/>
  </r>
  <r>
    <x v="2"/>
    <m/>
    <m/>
    <s v="30 days pta"/>
    <x v="0"/>
    <n v="9552"/>
    <m/>
    <n v="9552"/>
    <x v="5"/>
    <m/>
    <m/>
    <d v="2026-02-14T00:00:00"/>
    <d v="2026-02-16T00:00:00"/>
    <n v="2"/>
    <x v="1"/>
    <n v="2"/>
    <n v="2026"/>
    <x v="1"/>
    <n v="12538.16"/>
    <x v="0"/>
    <m/>
    <d v="2025-12-10T00:00:00"/>
    <x v="0"/>
    <m/>
    <x v="23"/>
  </r>
  <r>
    <x v="2"/>
    <m/>
    <m/>
    <s v="30 days pta"/>
    <x v="0"/>
    <n v="15196"/>
    <n v="3799"/>
    <n v="11397"/>
    <x v="4"/>
    <m/>
    <m/>
    <d v="2026-02-14T00:00:00"/>
    <d v="2026-02-18T00:00:00"/>
    <n v="4"/>
    <x v="1"/>
    <n v="2"/>
    <n v="2026"/>
    <x v="1"/>
    <n v="11328.68"/>
    <x v="0"/>
    <m/>
    <d v="2025-10-28T00:00:00"/>
    <x v="0"/>
    <m/>
    <x v="23"/>
  </r>
  <r>
    <x v="2"/>
    <m/>
    <m/>
    <s v="30 days pta"/>
    <x v="0"/>
    <n v="0"/>
    <m/>
    <n v="0"/>
    <x v="1"/>
    <m/>
    <m/>
    <d v="2026-02-14T00:00:00"/>
    <d v="2026-02-19T00:00:00"/>
    <n v="5"/>
    <x v="1"/>
    <n v="2"/>
    <n v="2026"/>
    <x v="0"/>
    <n v="0"/>
    <x v="0"/>
    <m/>
    <d v="2025-11-25T00:00:00"/>
    <x v="0"/>
    <m/>
    <x v="5"/>
  </r>
  <r>
    <x v="2"/>
    <m/>
    <m/>
    <s v="30 days pta"/>
    <x v="0"/>
    <n v="9821"/>
    <m/>
    <n v="9821"/>
    <x v="5"/>
    <m/>
    <m/>
    <d v="2026-02-14T00:00:00"/>
    <d v="2026-02-16T00:00:00"/>
    <n v="2"/>
    <x v="1"/>
    <n v="2"/>
    <n v="2026"/>
    <x v="1"/>
    <n v="5236.9799999999996"/>
    <x v="0"/>
    <m/>
    <d v="2025-12-09T00:00:00"/>
    <x v="0"/>
    <m/>
    <x v="23"/>
  </r>
  <r>
    <x v="2"/>
    <m/>
    <m/>
    <s v="30 days pta"/>
    <x v="0"/>
    <n v="74156"/>
    <m/>
    <n v="74156"/>
    <x v="5"/>
    <m/>
    <m/>
    <d v="2026-02-14T00:00:00"/>
    <d v="2026-02-23T00:00:00"/>
    <n v="9"/>
    <x v="1"/>
    <n v="2"/>
    <n v="2026"/>
    <x v="1"/>
    <n v="0"/>
    <x v="0"/>
    <m/>
    <d v="2025-10-09T00:00:00"/>
    <x v="0"/>
    <m/>
    <x v="27"/>
  </r>
  <r>
    <x v="2"/>
    <m/>
    <m/>
    <s v="30 days pta"/>
    <x v="0"/>
    <n v="30871.25"/>
    <m/>
    <n v="30871.25"/>
    <x v="5"/>
    <m/>
    <m/>
    <d v="2026-02-14T00:00:00"/>
    <d v="2026-02-17T00:00:00"/>
    <n v="3"/>
    <x v="1"/>
    <n v="2"/>
    <n v="2026"/>
    <x v="1"/>
    <n v="18270.18"/>
    <x v="0"/>
    <m/>
    <d v="2025-11-25T00:00:00"/>
    <x v="0"/>
    <m/>
    <x v="25"/>
  </r>
  <r>
    <x v="2"/>
    <m/>
    <m/>
    <s v="30 days pta"/>
    <x v="0"/>
    <n v="97560"/>
    <n v="92175.2"/>
    <n v="5384.8"/>
    <x v="4"/>
    <m/>
    <m/>
    <d v="2026-02-14T00:00:00"/>
    <d v="2026-02-21T00:00:00"/>
    <n v="7"/>
    <x v="1"/>
    <n v="2"/>
    <n v="2026"/>
    <x v="1"/>
    <n v="68958.33"/>
    <x v="0"/>
    <m/>
    <d v="2025-04-03T00:00:00"/>
    <x v="0"/>
    <m/>
    <x v="15"/>
  </r>
  <r>
    <x v="2"/>
    <m/>
    <m/>
    <s v="30 days pta"/>
    <x v="0"/>
    <n v="10824.5"/>
    <n v="3391.5"/>
    <n v="7433"/>
    <x v="4"/>
    <m/>
    <m/>
    <d v="2026-02-14T00:00:00"/>
    <d v="2026-02-17T00:00:00"/>
    <n v="3"/>
    <x v="1"/>
    <n v="2"/>
    <n v="2026"/>
    <x v="1"/>
    <n v="6031.47"/>
    <x v="0"/>
    <m/>
    <d v="2025-11-06T00:00:00"/>
    <x v="0"/>
    <m/>
    <x v="23"/>
  </r>
  <r>
    <x v="2"/>
    <m/>
    <m/>
    <s v="30 days pta"/>
    <x v="0"/>
    <n v="12542"/>
    <n v="3135.5"/>
    <n v="9406.5"/>
    <x v="4"/>
    <m/>
    <m/>
    <d v="2026-02-14T00:00:00"/>
    <d v="2026-02-18T00:00:00"/>
    <n v="4"/>
    <x v="1"/>
    <n v="2"/>
    <n v="2026"/>
    <x v="1"/>
    <n v="7544.68"/>
    <x v="0"/>
    <m/>
    <d v="2025-10-29T00:00:00"/>
    <x v="0"/>
    <m/>
    <x v="23"/>
  </r>
  <r>
    <x v="2"/>
    <m/>
    <m/>
    <s v="30 days pta"/>
    <x v="0"/>
    <n v="93448.35"/>
    <n v="93448.35"/>
    <m/>
    <x v="0"/>
    <m/>
    <m/>
    <d v="2026-02-15T00:00:00"/>
    <d v="2026-02-22T00:00:00"/>
    <n v="7"/>
    <x v="1"/>
    <n v="2"/>
    <n v="2026"/>
    <x v="0"/>
    <n v="64781.22"/>
    <x v="0"/>
    <m/>
    <d v="2025-05-19T00:00:00"/>
    <x v="0"/>
    <m/>
    <x v="1"/>
  </r>
  <r>
    <x v="2"/>
    <m/>
    <m/>
    <s v="30 days pta"/>
    <x v="0"/>
    <n v="17711.400000000001"/>
    <n v="17711.400000000001"/>
    <m/>
    <x v="0"/>
    <m/>
    <m/>
    <d v="2026-02-15T00:00:00"/>
    <d v="2026-02-19T00:00:00"/>
    <n v="4"/>
    <x v="1"/>
    <n v="2"/>
    <n v="2026"/>
    <x v="0"/>
    <n v="10744.36"/>
    <x v="0"/>
    <m/>
    <d v="2025-11-10T00:00:00"/>
    <x v="0"/>
    <m/>
    <x v="15"/>
  </r>
  <r>
    <x v="2"/>
    <m/>
    <m/>
    <s v="30 days pta"/>
    <x v="0"/>
    <n v="24540"/>
    <n v="5070"/>
    <n v="19470"/>
    <x v="4"/>
    <m/>
    <m/>
    <d v="2026-02-15T00:00:00"/>
    <d v="2026-02-20T00:00:00"/>
    <n v="5"/>
    <x v="1"/>
    <n v="2"/>
    <n v="2026"/>
    <x v="1"/>
    <n v="11829.85"/>
    <x v="0"/>
    <m/>
    <d v="2025-10-30T00:00:00"/>
    <x v="0"/>
    <m/>
    <x v="37"/>
  </r>
  <r>
    <x v="2"/>
    <m/>
    <m/>
    <s v="30 days pta"/>
    <x v="0"/>
    <n v="15470"/>
    <n v="7735"/>
    <n v="7735"/>
    <x v="4"/>
    <m/>
    <m/>
    <d v="2026-02-15T00:00:00"/>
    <d v="2026-02-20T00:00:00"/>
    <n v="5"/>
    <x v="1"/>
    <n v="2"/>
    <n v="2026"/>
    <x v="1"/>
    <n v="9401.7000000000007"/>
    <x v="0"/>
    <m/>
    <d v="2025-10-24T00:00:00"/>
    <x v="0"/>
    <m/>
    <x v="23"/>
  </r>
  <r>
    <x v="2"/>
    <m/>
    <m/>
    <s v="30 days pta"/>
    <x v="0"/>
    <n v="20096.64"/>
    <n v="9884"/>
    <n v="10212.64"/>
    <x v="4"/>
    <m/>
    <m/>
    <d v="2026-02-15T00:00:00"/>
    <d v="2026-02-17T00:00:00"/>
    <n v="2"/>
    <x v="1"/>
    <n v="2"/>
    <n v="2026"/>
    <x v="1"/>
    <n v="12882.06"/>
    <x v="0"/>
    <m/>
    <d v="2025-10-24T00:00:00"/>
    <x v="0"/>
    <m/>
    <x v="7"/>
  </r>
  <r>
    <x v="2"/>
    <m/>
    <m/>
    <s v="30 days pta"/>
    <x v="0"/>
    <n v="25539.24"/>
    <n v="6384.81"/>
    <n v="19154.43"/>
    <x v="4"/>
    <m/>
    <m/>
    <d v="2026-02-15T00:00:00"/>
    <d v="2026-02-20T00:00:00"/>
    <n v="5"/>
    <x v="1"/>
    <n v="2"/>
    <n v="2026"/>
    <x v="1"/>
    <n v="13621.2"/>
    <x v="0"/>
    <m/>
    <d v="2025-10-31T00:00:00"/>
    <x v="0"/>
    <m/>
    <x v="15"/>
  </r>
  <r>
    <x v="2"/>
    <m/>
    <m/>
    <s v="30 days pta"/>
    <x v="0"/>
    <n v="16576"/>
    <n v="4144"/>
    <n v="12432"/>
    <x v="4"/>
    <m/>
    <m/>
    <d v="2026-02-15T00:00:00"/>
    <d v="2026-02-19T00:00:00"/>
    <n v="4"/>
    <x v="1"/>
    <n v="2"/>
    <n v="2026"/>
    <x v="1"/>
    <n v="8440.18"/>
    <x v="0"/>
    <m/>
    <d v="2025-11-04T00:00:00"/>
    <x v="0"/>
    <m/>
    <x v="22"/>
  </r>
  <r>
    <x v="2"/>
    <m/>
    <m/>
    <s v="30 days pta"/>
    <x v="0"/>
    <n v="12204"/>
    <m/>
    <n v="12204"/>
    <x v="5"/>
    <m/>
    <m/>
    <d v="2026-02-15T00:00:00"/>
    <d v="2026-02-18T00:00:00"/>
    <n v="3"/>
    <x v="1"/>
    <n v="2"/>
    <n v="2026"/>
    <x v="1"/>
    <n v="0"/>
    <x v="0"/>
    <m/>
    <d v="2025-12-07T00:00:00"/>
    <x v="0"/>
    <m/>
    <x v="23"/>
  </r>
  <r>
    <x v="2"/>
    <m/>
    <m/>
    <s v="30 days pta"/>
    <x v="0"/>
    <n v="15470"/>
    <m/>
    <n v="15470"/>
    <x v="5"/>
    <m/>
    <m/>
    <d v="2026-02-15T00:00:00"/>
    <d v="2026-02-20T00:00:00"/>
    <n v="5"/>
    <x v="1"/>
    <n v="2"/>
    <n v="2026"/>
    <x v="1"/>
    <n v="9401.7000000000007"/>
    <x v="0"/>
    <m/>
    <d v="2025-10-24T00:00:00"/>
    <x v="0"/>
    <m/>
    <x v="23"/>
  </r>
  <r>
    <x v="2"/>
    <m/>
    <m/>
    <s v="30 days pta"/>
    <x v="0"/>
    <n v="49923.360000000001"/>
    <n v="49923.360000000001"/>
    <m/>
    <x v="0"/>
    <m/>
    <m/>
    <d v="2026-02-15T00:00:00"/>
    <d v="2026-02-22T00:00:00"/>
    <n v="7"/>
    <x v="1"/>
    <n v="2"/>
    <n v="2026"/>
    <x v="0"/>
    <n v="31072.44"/>
    <x v="0"/>
    <m/>
    <d v="2025-10-20T00:00:00"/>
    <x v="0"/>
    <m/>
    <x v="1"/>
  </r>
  <r>
    <x v="2"/>
    <m/>
    <m/>
    <s v="30 days pta"/>
    <x v="0"/>
    <n v="86051.04"/>
    <n v="86051.04"/>
    <m/>
    <x v="0"/>
    <m/>
    <m/>
    <d v="2026-02-15T00:00:00"/>
    <d v="2026-02-21T00:00:00"/>
    <n v="6"/>
    <x v="1"/>
    <n v="2"/>
    <n v="2026"/>
    <x v="0"/>
    <n v="57600"/>
    <x v="0"/>
    <m/>
    <d v="2025-12-01T00:00:00"/>
    <x v="0"/>
    <m/>
    <x v="1"/>
  </r>
  <r>
    <x v="2"/>
    <m/>
    <m/>
    <s v="30 days pta"/>
    <x v="0"/>
    <n v="36392.370000000003"/>
    <n v="35098.089999999997"/>
    <n v="1294.28"/>
    <x v="4"/>
    <m/>
    <m/>
    <d v="2026-02-15T00:00:00"/>
    <d v="2026-02-21T00:00:00"/>
    <n v="6"/>
    <x v="1"/>
    <n v="2"/>
    <n v="2026"/>
    <x v="1"/>
    <n v="24348.54"/>
    <x v="0"/>
    <m/>
    <d v="2025-04-09T00:00:00"/>
    <x v="0"/>
    <m/>
    <x v="35"/>
  </r>
  <r>
    <x v="2"/>
    <m/>
    <m/>
    <s v="30 days pta"/>
    <x v="0"/>
    <n v="16124"/>
    <n v="4031"/>
    <n v="12093"/>
    <x v="4"/>
    <m/>
    <m/>
    <d v="2026-02-15T00:00:00"/>
    <d v="2026-02-19T00:00:00"/>
    <n v="4"/>
    <x v="1"/>
    <n v="2"/>
    <n v="2026"/>
    <x v="1"/>
    <n v="8890.41"/>
    <x v="0"/>
    <m/>
    <d v="2025-11-04T00:00:00"/>
    <x v="0"/>
    <m/>
    <x v="22"/>
  </r>
  <r>
    <x v="2"/>
    <m/>
    <m/>
    <s v="30 days pta"/>
    <x v="0"/>
    <n v="15136"/>
    <n v="3799"/>
    <n v="11337"/>
    <x v="4"/>
    <m/>
    <m/>
    <d v="2026-02-15T00:00:00"/>
    <d v="2026-02-19T00:00:00"/>
    <n v="4"/>
    <x v="1"/>
    <n v="2"/>
    <n v="2026"/>
    <x v="1"/>
    <n v="11328.68"/>
    <x v="0"/>
    <m/>
    <d v="2025-10-28T00:00:00"/>
    <x v="0"/>
    <m/>
    <x v="23"/>
  </r>
  <r>
    <x v="2"/>
    <m/>
    <m/>
    <s v="30 days pta"/>
    <x v="0"/>
    <n v="15656"/>
    <n v="3944"/>
    <n v="11712"/>
    <x v="4"/>
    <m/>
    <m/>
    <d v="2026-02-15T00:00:00"/>
    <d v="2026-02-19T00:00:00"/>
    <n v="4"/>
    <x v="1"/>
    <n v="2"/>
    <n v="2026"/>
    <x v="1"/>
    <n v="9665.8799999999992"/>
    <x v="0"/>
    <m/>
    <d v="2025-10-31T00:00:00"/>
    <x v="0"/>
    <m/>
    <x v="37"/>
  </r>
  <r>
    <x v="2"/>
    <m/>
    <m/>
    <s v="30 days pta"/>
    <x v="0"/>
    <n v="16529"/>
    <n v="4132.25"/>
    <n v="12396.75"/>
    <x v="4"/>
    <m/>
    <m/>
    <d v="2026-02-15T00:00:00"/>
    <d v="2026-02-19T00:00:00"/>
    <n v="4"/>
    <x v="1"/>
    <n v="2"/>
    <n v="2026"/>
    <x v="1"/>
    <n v="8417.27"/>
    <x v="0"/>
    <m/>
    <d v="2025-11-21T00:00:00"/>
    <x v="0"/>
    <m/>
    <x v="23"/>
  </r>
  <r>
    <x v="2"/>
    <m/>
    <m/>
    <s v="30 days pta"/>
    <x v="0"/>
    <n v="19302"/>
    <n v="4825.5"/>
    <n v="14476.5"/>
    <x v="4"/>
    <m/>
    <m/>
    <d v="2026-02-15T00:00:00"/>
    <d v="2026-02-19T00:00:00"/>
    <n v="4"/>
    <x v="1"/>
    <n v="2"/>
    <n v="2026"/>
    <x v="1"/>
    <n v="9210.93"/>
    <x v="0"/>
    <m/>
    <d v="2025-11-25T00:00:00"/>
    <x v="0"/>
    <m/>
    <x v="23"/>
  </r>
  <r>
    <x v="2"/>
    <m/>
    <m/>
    <s v="30 days pta"/>
    <x v="0"/>
    <n v="17004"/>
    <n v="4251"/>
    <n v="12753"/>
    <x v="4"/>
    <m/>
    <m/>
    <d v="2026-02-15T00:00:00"/>
    <d v="2026-02-19T00:00:00"/>
    <n v="4"/>
    <x v="1"/>
    <n v="2"/>
    <n v="2026"/>
    <x v="1"/>
    <n v="9463.8799999999992"/>
    <x v="0"/>
    <m/>
    <d v="2025-10-31T00:00:00"/>
    <x v="0"/>
    <m/>
    <x v="37"/>
  </r>
  <r>
    <x v="2"/>
    <m/>
    <m/>
    <s v="30 days pta"/>
    <x v="0"/>
    <m/>
    <m/>
    <m/>
    <x v="1"/>
    <m/>
    <m/>
    <d v="2026-02-16T00:00:00"/>
    <d v="2026-02-18T00:00:00"/>
    <n v="2"/>
    <x v="1"/>
    <n v="2"/>
    <n v="2026"/>
    <x v="0"/>
    <n v="0"/>
    <x v="0"/>
    <m/>
    <d v="2025-12-10T00:00:00"/>
    <x v="0"/>
    <m/>
    <x v="43"/>
  </r>
  <r>
    <x v="2"/>
    <m/>
    <m/>
    <s v="30 days pta"/>
    <x v="0"/>
    <n v="35527.480000000003"/>
    <n v="20302.400000000001"/>
    <n v="15225.08"/>
    <x v="4"/>
    <m/>
    <m/>
    <d v="2026-02-16T00:00:00"/>
    <d v="2026-02-20T00:00:00"/>
    <n v="4"/>
    <x v="1"/>
    <n v="2"/>
    <n v="2026"/>
    <x v="1"/>
    <n v="11150.4"/>
    <x v="0"/>
    <m/>
    <d v="2025-11-18T00:00:00"/>
    <x v="0"/>
    <m/>
    <x v="37"/>
  </r>
  <r>
    <x v="2"/>
    <m/>
    <m/>
    <s v="30 days pta"/>
    <x v="0"/>
    <n v="14328"/>
    <m/>
    <n v="14328"/>
    <x v="5"/>
    <m/>
    <m/>
    <d v="2026-02-16T00:00:00"/>
    <d v="2026-02-19T00:00:00"/>
    <n v="3"/>
    <x v="1"/>
    <n v="2"/>
    <n v="2026"/>
    <x v="1"/>
    <n v="9741.2999999999993"/>
    <x v="0"/>
    <m/>
    <d v="2025-12-10T00:00:00"/>
    <x v="0"/>
    <m/>
    <x v="23"/>
  </r>
  <r>
    <x v="2"/>
    <m/>
    <m/>
    <s v="30 days pta"/>
    <x v="0"/>
    <n v="15227.48"/>
    <m/>
    <n v="15227.48"/>
    <x v="5"/>
    <m/>
    <m/>
    <d v="2026-02-16T00:00:00"/>
    <d v="2026-02-20T00:00:00"/>
    <n v="4"/>
    <x v="1"/>
    <n v="2"/>
    <n v="2026"/>
    <x v="1"/>
    <n v="10832.92"/>
    <x v="0"/>
    <m/>
    <d v="2025-11-18T00:00:00"/>
    <x v="0"/>
    <m/>
    <x v="37"/>
  </r>
  <r>
    <x v="2"/>
    <m/>
    <m/>
    <s v="30 days pta"/>
    <x v="0"/>
    <n v="15227.48"/>
    <m/>
    <n v="15227.48"/>
    <x v="5"/>
    <m/>
    <m/>
    <d v="2026-02-16T00:00:00"/>
    <d v="2026-02-20T00:00:00"/>
    <n v="4"/>
    <x v="1"/>
    <n v="2"/>
    <n v="2026"/>
    <x v="1"/>
    <n v="11385.44"/>
    <x v="0"/>
    <m/>
    <d v="2025-11-18T00:00:00"/>
    <x v="0"/>
    <m/>
    <x v="37"/>
  </r>
  <r>
    <x v="2"/>
    <m/>
    <m/>
    <s v="30 days pta"/>
    <x v="0"/>
    <n v="57021.75"/>
    <m/>
    <n v="57021.75"/>
    <x v="5"/>
    <m/>
    <m/>
    <d v="2026-02-16T00:00:00"/>
    <d v="2026-02-21T00:00:00"/>
    <n v="5"/>
    <x v="1"/>
    <n v="2"/>
    <n v="2026"/>
    <x v="1"/>
    <n v="31403.95"/>
    <x v="0"/>
    <m/>
    <d v="2025-08-05T00:00:00"/>
    <x v="0"/>
    <m/>
    <x v="8"/>
  </r>
  <r>
    <x v="2"/>
    <m/>
    <m/>
    <s v="30 days pta"/>
    <x v="0"/>
    <n v="15227.48"/>
    <m/>
    <n v="15227.48"/>
    <x v="5"/>
    <m/>
    <m/>
    <d v="2026-02-16T00:00:00"/>
    <d v="2026-02-20T00:00:00"/>
    <n v="4"/>
    <x v="1"/>
    <n v="2"/>
    <n v="2026"/>
    <x v="1"/>
    <n v="10832.92"/>
    <x v="0"/>
    <m/>
    <d v="2025-11-18T00:00:00"/>
    <x v="0"/>
    <m/>
    <x v="37"/>
  </r>
  <r>
    <x v="2"/>
    <m/>
    <m/>
    <s v="30 days pta"/>
    <x v="0"/>
    <n v="38176"/>
    <n v="4550"/>
    <n v="33626"/>
    <x v="4"/>
    <m/>
    <m/>
    <d v="2026-02-16T00:00:00"/>
    <d v="2026-02-21T00:00:00"/>
    <n v="5"/>
    <x v="1"/>
    <n v="2"/>
    <n v="2026"/>
    <x v="1"/>
    <n v="24581.05"/>
    <x v="0"/>
    <m/>
    <d v="2025-10-21T00:00:00"/>
    <x v="0"/>
    <m/>
    <x v="23"/>
  </r>
  <r>
    <x v="2"/>
    <m/>
    <m/>
    <s v="30 days pta"/>
    <x v="0"/>
    <n v="42048"/>
    <m/>
    <n v="42048"/>
    <x v="5"/>
    <m/>
    <m/>
    <d v="2026-02-16T00:00:00"/>
    <d v="2026-02-20T00:00:00"/>
    <n v="4"/>
    <x v="1"/>
    <n v="2"/>
    <n v="2026"/>
    <x v="1"/>
    <n v="0"/>
    <x v="0"/>
    <m/>
    <d v="2025-11-19T00:00:00"/>
    <x v="0"/>
    <m/>
    <x v="23"/>
  </r>
  <r>
    <x v="2"/>
    <m/>
    <m/>
    <s v="30 days pta"/>
    <x v="0"/>
    <n v="17316"/>
    <n v="8808"/>
    <n v="8508"/>
    <x v="4"/>
    <m/>
    <m/>
    <d v="2026-02-17T00:00:00"/>
    <d v="2026-02-23T00:00:00"/>
    <n v="6"/>
    <x v="1"/>
    <n v="2"/>
    <n v="2026"/>
    <x v="1"/>
    <n v="11804.22"/>
    <x v="0"/>
    <m/>
    <d v="2025-10-24T00:00:00"/>
    <x v="0"/>
    <m/>
    <x v="23"/>
  </r>
  <r>
    <x v="2"/>
    <m/>
    <m/>
    <s v="30 days pta"/>
    <x v="0"/>
    <n v="17916"/>
    <m/>
    <n v="17916"/>
    <x v="5"/>
    <m/>
    <m/>
    <d v="2026-02-17T00:00:00"/>
    <d v="2026-02-23T00:00:00"/>
    <n v="6"/>
    <x v="1"/>
    <n v="2"/>
    <n v="2026"/>
    <x v="1"/>
    <n v="11319.36"/>
    <x v="0"/>
    <m/>
    <d v="2025-10-24T00:00:00"/>
    <x v="0"/>
    <m/>
    <x v="23"/>
  </r>
  <r>
    <x v="2"/>
    <m/>
    <m/>
    <s v="30 days pta"/>
    <x v="0"/>
    <n v="20186"/>
    <n v="20186"/>
    <m/>
    <x v="0"/>
    <m/>
    <m/>
    <d v="2026-02-17T00:00:00"/>
    <d v="2026-02-19T00:00:00"/>
    <n v="2"/>
    <x v="1"/>
    <n v="2"/>
    <n v="2026"/>
    <x v="0"/>
    <n v="12609.9"/>
    <x v="0"/>
    <m/>
    <d v="2025-05-16T00:00:00"/>
    <x v="0"/>
    <m/>
    <x v="8"/>
  </r>
  <r>
    <x v="2"/>
    <m/>
    <m/>
    <s v="30 days pta"/>
    <x v="0"/>
    <n v="27240"/>
    <n v="6810"/>
    <n v="20430"/>
    <x v="4"/>
    <m/>
    <m/>
    <d v="2026-02-17T00:00:00"/>
    <d v="2026-02-22T00:00:00"/>
    <n v="5"/>
    <x v="1"/>
    <n v="2"/>
    <n v="2026"/>
    <x v="1"/>
    <n v="15186.5"/>
    <x v="0"/>
    <m/>
    <d v="2025-06-07T00:00:00"/>
    <x v="0"/>
    <m/>
    <x v="1"/>
  </r>
  <r>
    <x v="2"/>
    <m/>
    <m/>
    <s v="30 days pta"/>
    <x v="0"/>
    <n v="58366"/>
    <m/>
    <n v="58366"/>
    <x v="5"/>
    <m/>
    <m/>
    <d v="2026-02-17T00:00:00"/>
    <d v="2026-02-21T00:00:00"/>
    <n v="4"/>
    <x v="1"/>
    <n v="2"/>
    <n v="2026"/>
    <x v="1"/>
    <n v="36416.480000000003"/>
    <x v="0"/>
    <m/>
    <d v="2025-06-10T00:00:00"/>
    <x v="0"/>
    <m/>
    <x v="33"/>
  </r>
  <r>
    <x v="2"/>
    <m/>
    <m/>
    <s v="30 days pta"/>
    <x v="0"/>
    <n v="51204"/>
    <n v="12801"/>
    <n v="38403"/>
    <x v="4"/>
    <m/>
    <m/>
    <d v="2026-02-17T00:00:00"/>
    <d v="2026-02-21T00:00:00"/>
    <n v="4"/>
    <x v="1"/>
    <n v="2"/>
    <n v="2026"/>
    <x v="1"/>
    <n v="24603.17"/>
    <x v="0"/>
    <m/>
    <d v="2025-11-07T00:00:00"/>
    <x v="0"/>
    <m/>
    <x v="23"/>
  </r>
  <r>
    <x v="2"/>
    <m/>
    <m/>
    <s v="30 days pta"/>
    <x v="0"/>
    <n v="23564"/>
    <m/>
    <n v="23564"/>
    <x v="5"/>
    <m/>
    <m/>
    <d v="2026-02-17T00:00:00"/>
    <d v="2026-02-23T00:00:00"/>
    <n v="6"/>
    <x v="1"/>
    <n v="2"/>
    <n v="2026"/>
    <x v="1"/>
    <n v="0"/>
    <x v="0"/>
    <m/>
    <d v="2025-12-07T00:00:00"/>
    <x v="0"/>
    <m/>
    <x v="15"/>
  </r>
  <r>
    <x v="2"/>
    <m/>
    <m/>
    <s v="30 days pta"/>
    <x v="0"/>
    <n v="36396"/>
    <m/>
    <n v="36396"/>
    <x v="5"/>
    <m/>
    <m/>
    <d v="2026-02-17T00:00:00"/>
    <d v="2026-02-21T00:00:00"/>
    <n v="4"/>
    <x v="1"/>
    <n v="2"/>
    <n v="2026"/>
    <x v="1"/>
    <n v="0"/>
    <x v="0"/>
    <m/>
    <d v="2025-11-27T00:00:00"/>
    <x v="0"/>
    <m/>
    <x v="44"/>
  </r>
  <r>
    <x v="2"/>
    <m/>
    <m/>
    <s v="30 days pta"/>
    <x v="0"/>
    <n v="2741.5"/>
    <m/>
    <n v="2741.5"/>
    <x v="5"/>
    <m/>
    <m/>
    <d v="2026-02-17T00:00:00"/>
    <d v="2026-02-18T00:00:00"/>
    <n v="1"/>
    <x v="1"/>
    <n v="2"/>
    <n v="2026"/>
    <x v="1"/>
    <n v="2010.49"/>
    <x v="0"/>
    <m/>
    <d v="2025-11-03T00:00:00"/>
    <x v="0"/>
    <m/>
    <x v="23"/>
  </r>
  <r>
    <x v="2"/>
    <m/>
    <m/>
    <s v="30 days pta"/>
    <x v="0"/>
    <m/>
    <m/>
    <m/>
    <x v="8"/>
    <m/>
    <m/>
    <d v="2026-02-18T00:00:00"/>
    <d v="2026-02-22T00:00:00"/>
    <n v="4"/>
    <x v="1"/>
    <n v="2"/>
    <n v="2026"/>
    <x v="0"/>
    <m/>
    <x v="0"/>
    <m/>
    <m/>
    <x v="0"/>
    <m/>
    <x v="9"/>
  </r>
  <r>
    <x v="2"/>
    <m/>
    <m/>
    <s v="30 days pta"/>
    <x v="0"/>
    <n v="8136"/>
    <m/>
    <n v="8136"/>
    <x v="5"/>
    <m/>
    <m/>
    <d v="2026-02-18T00:00:00"/>
    <d v="2026-02-20T00:00:00"/>
    <n v="2"/>
    <x v="1"/>
    <n v="2"/>
    <n v="2026"/>
    <x v="1"/>
    <n v="4368.13"/>
    <x v="0"/>
    <m/>
    <d v="2025-12-05T00:00:00"/>
    <x v="0"/>
    <m/>
    <x v="23"/>
  </r>
  <r>
    <x v="2"/>
    <m/>
    <m/>
    <s v="30 days pta"/>
    <x v="0"/>
    <n v="15920"/>
    <n v="3980"/>
    <n v="11940"/>
    <x v="4"/>
    <m/>
    <m/>
    <d v="2026-02-18T00:00:00"/>
    <d v="2026-02-23T00:00:00"/>
    <n v="5"/>
    <x v="1"/>
    <n v="2"/>
    <n v="2026"/>
    <x v="1"/>
    <n v="9751.35"/>
    <x v="0"/>
    <m/>
    <d v="2025-09-16T00:00:00"/>
    <x v="0"/>
    <m/>
    <x v="23"/>
  </r>
  <r>
    <x v="2"/>
    <m/>
    <m/>
    <s v="30 days pta"/>
    <x v="0"/>
    <m/>
    <m/>
    <m/>
    <x v="8"/>
    <m/>
    <m/>
    <d v="2026-02-18T00:00:00"/>
    <d v="2026-02-22T00:00:00"/>
    <n v="4"/>
    <x v="1"/>
    <n v="2"/>
    <n v="2026"/>
    <x v="0"/>
    <n v="30884.48"/>
    <x v="0"/>
    <m/>
    <d v="2025-06-03T00:00:00"/>
    <x v="0"/>
    <m/>
    <x v="41"/>
  </r>
  <r>
    <x v="2"/>
    <m/>
    <m/>
    <s v="30 days pta"/>
    <x v="0"/>
    <n v="5112"/>
    <m/>
    <n v="5112"/>
    <x v="5"/>
    <m/>
    <m/>
    <d v="2026-02-18T00:00:00"/>
    <d v="2026-02-20T00:00:00"/>
    <n v="2"/>
    <x v="1"/>
    <n v="2"/>
    <n v="2026"/>
    <x v="1"/>
    <n v="3586.7"/>
    <x v="0"/>
    <m/>
    <d v="2025-11-22T00:00:00"/>
    <x v="0"/>
    <m/>
    <x v="29"/>
  </r>
  <r>
    <x v="2"/>
    <m/>
    <m/>
    <s v="30 days pta"/>
    <x v="0"/>
    <n v="51760.72"/>
    <n v="51760.72"/>
    <m/>
    <x v="0"/>
    <m/>
    <m/>
    <d v="2026-02-18T00:00:00"/>
    <d v="2026-02-20T00:00:00"/>
    <n v="2"/>
    <x v="1"/>
    <n v="2"/>
    <n v="2026"/>
    <x v="0"/>
    <n v="2744.2"/>
    <x v="0"/>
    <m/>
    <d v="2025-12-04T00:00:00"/>
    <x v="0"/>
    <m/>
    <x v="23"/>
  </r>
  <r>
    <x v="2"/>
    <m/>
    <m/>
    <s v="30 days pta"/>
    <x v="0"/>
    <n v="7848"/>
    <m/>
    <n v="7848"/>
    <x v="5"/>
    <m/>
    <m/>
    <d v="2026-02-18T00:00:00"/>
    <d v="2026-02-20T00:00:00"/>
    <n v="2"/>
    <x v="1"/>
    <n v="2"/>
    <n v="2026"/>
    <x v="1"/>
    <n v="4926.18"/>
    <x v="0"/>
    <m/>
    <d v="2025-11-18T00:00:00"/>
    <x v="0"/>
    <m/>
    <x v="23"/>
  </r>
  <r>
    <x v="2"/>
    <m/>
    <m/>
    <s v="30 days pta"/>
    <x v="0"/>
    <n v="14876"/>
    <n v="3719"/>
    <n v="11157"/>
    <x v="4"/>
    <m/>
    <m/>
    <d v="2026-02-18T00:00:00"/>
    <d v="2026-02-22T00:00:00"/>
    <n v="4"/>
    <x v="1"/>
    <n v="2"/>
    <n v="2026"/>
    <x v="1"/>
    <n v="10147.64"/>
    <x v="0"/>
    <m/>
    <d v="2025-10-29T00:00:00"/>
    <x v="0"/>
    <m/>
    <x v="23"/>
  </r>
  <r>
    <x v="2"/>
    <m/>
    <m/>
    <s v="30 days pta"/>
    <x v="0"/>
    <n v="14876"/>
    <n v="3719"/>
    <n v="11157"/>
    <x v="4"/>
    <m/>
    <m/>
    <d v="2026-02-18T00:00:00"/>
    <d v="2026-02-22T00:00:00"/>
    <n v="4"/>
    <x v="1"/>
    <n v="2"/>
    <n v="2026"/>
    <x v="1"/>
    <n v="10147.64"/>
    <x v="0"/>
    <m/>
    <d v="2025-10-29T00:00:00"/>
    <x v="0"/>
    <m/>
    <x v="23"/>
  </r>
  <r>
    <x v="2"/>
    <m/>
    <m/>
    <s v="30 days pta"/>
    <x v="0"/>
    <n v="23750"/>
    <n v="5937.5"/>
    <n v="17812.5"/>
    <x v="4"/>
    <m/>
    <m/>
    <d v="2026-02-18T00:00:00"/>
    <d v="2026-02-22T00:00:00"/>
    <n v="4"/>
    <x v="1"/>
    <n v="2"/>
    <n v="2026"/>
    <x v="1"/>
    <n v="10500.61"/>
    <x v="0"/>
    <m/>
    <d v="2025-11-13T00:00:00"/>
    <x v="0"/>
    <m/>
    <x v="23"/>
  </r>
  <r>
    <x v="2"/>
    <m/>
    <m/>
    <s v="30 days pta"/>
    <x v="0"/>
    <n v="11436"/>
    <n v="2859"/>
    <n v="8577"/>
    <x v="4"/>
    <m/>
    <m/>
    <d v="2026-02-18T00:00:00"/>
    <d v="2026-02-22T00:00:00"/>
    <n v="4"/>
    <x v="1"/>
    <n v="2"/>
    <n v="2026"/>
    <x v="1"/>
    <n v="7474.76"/>
    <x v="0"/>
    <m/>
    <d v="2025-10-24T00:00:00"/>
    <x v="0"/>
    <m/>
    <x v="23"/>
  </r>
  <r>
    <x v="2"/>
    <m/>
    <m/>
    <s v="30 days pta"/>
    <x v="0"/>
    <n v="21865"/>
    <n v="5466.25"/>
    <n v="16398.75"/>
    <x v="4"/>
    <m/>
    <m/>
    <d v="2026-02-18T00:00:00"/>
    <d v="2026-02-22T00:00:00"/>
    <n v="4"/>
    <x v="1"/>
    <n v="2"/>
    <n v="2026"/>
    <x v="1"/>
    <n v="7539.67"/>
    <x v="0"/>
    <m/>
    <d v="2025-11-24T00:00:00"/>
    <x v="0"/>
    <m/>
    <x v="23"/>
  </r>
  <r>
    <x v="2"/>
    <m/>
    <m/>
    <s v="30 days pta"/>
    <x v="0"/>
    <n v="21649.88"/>
    <n v="6699"/>
    <n v="14950.88"/>
    <x v="4"/>
    <m/>
    <m/>
    <d v="2026-02-19T00:00:00"/>
    <d v="2026-02-23T00:00:00"/>
    <n v="4"/>
    <x v="1"/>
    <n v="2"/>
    <n v="2026"/>
    <x v="1"/>
    <n v="12757.84"/>
    <x v="0"/>
    <m/>
    <d v="2025-11-30T00:00:00"/>
    <x v="0"/>
    <m/>
    <x v="35"/>
  </r>
  <r>
    <x v="2"/>
    <m/>
    <m/>
    <s v="30 days pta"/>
    <x v="0"/>
    <n v="23628"/>
    <n v="5907"/>
    <n v="17721"/>
    <x v="4"/>
    <m/>
    <m/>
    <d v="2026-02-19T00:00:00"/>
    <d v="2026-02-22T00:00:00"/>
    <n v="3"/>
    <x v="1"/>
    <n v="2"/>
    <n v="2026"/>
    <x v="1"/>
    <n v="15785.25"/>
    <x v="0"/>
    <m/>
    <d v="2025-12-03T00:00:00"/>
    <x v="0"/>
    <m/>
    <x v="23"/>
  </r>
  <r>
    <x v="2"/>
    <m/>
    <m/>
    <s v="30 days pta"/>
    <x v="0"/>
    <n v="27308"/>
    <n v="6827"/>
    <n v="20481"/>
    <x v="4"/>
    <m/>
    <m/>
    <d v="2026-02-19T00:00:00"/>
    <d v="2026-02-25T00:00:00"/>
    <n v="6"/>
    <x v="1"/>
    <n v="2"/>
    <n v="2026"/>
    <x v="1"/>
    <n v="18235.650000000001"/>
    <x v="0"/>
    <m/>
    <d v="2025-11-12T00:00:00"/>
    <x v="0"/>
    <m/>
    <x v="23"/>
  </r>
  <r>
    <x v="2"/>
    <m/>
    <m/>
    <s v="30 days pta"/>
    <x v="0"/>
    <n v="23256.36"/>
    <m/>
    <n v="23256.36"/>
    <x v="3"/>
    <m/>
    <m/>
    <d v="2026-02-19T00:00:00"/>
    <d v="2026-02-23T00:00:00"/>
    <n v="4"/>
    <x v="1"/>
    <n v="2"/>
    <n v="2026"/>
    <x v="1"/>
    <n v="15058.28"/>
    <x v="0"/>
    <m/>
    <d v="2025-10-11T00:00:00"/>
    <x v="0"/>
    <m/>
    <x v="23"/>
  </r>
  <r>
    <x v="2"/>
    <m/>
    <m/>
    <s v="30 days pta"/>
    <x v="0"/>
    <n v="39110.959999999999"/>
    <n v="14095.9"/>
    <n v="25014.99"/>
    <x v="4"/>
    <m/>
    <m/>
    <d v="2026-02-20T00:00:00"/>
    <d v="2026-02-27T00:00:00"/>
    <n v="7"/>
    <x v="1"/>
    <n v="2"/>
    <n v="2026"/>
    <x v="1"/>
    <n v="21235.41"/>
    <x v="0"/>
    <m/>
    <d v="2025-10-22T00:00:00"/>
    <x v="0"/>
    <m/>
    <x v="1"/>
  </r>
  <r>
    <x v="2"/>
    <m/>
    <m/>
    <s v="30 days pta"/>
    <x v="0"/>
    <n v="15271.49"/>
    <m/>
    <n v="15271.49"/>
    <x v="5"/>
    <m/>
    <m/>
    <d v="2026-02-20T00:00:00"/>
    <d v="2026-02-23T00:00:00"/>
    <n v="3"/>
    <x v="1"/>
    <n v="2"/>
    <n v="2026"/>
    <x v="1"/>
    <n v="6984.9"/>
    <x v="0"/>
    <m/>
    <d v="2025-12-10T00:00:00"/>
    <x v="0"/>
    <m/>
    <x v="9"/>
  </r>
  <r>
    <x v="2"/>
    <m/>
    <m/>
    <s v="30 days pta"/>
    <x v="0"/>
    <m/>
    <m/>
    <m/>
    <x v="2"/>
    <m/>
    <m/>
    <d v="2026-02-20T00:00:00"/>
    <d v="2026-02-24T00:00:00"/>
    <n v="4"/>
    <x v="1"/>
    <n v="2"/>
    <n v="2026"/>
    <x v="0"/>
    <n v="12622.12"/>
    <x v="0"/>
    <m/>
    <d v="2025-12-10T00:00:00"/>
    <x v="0"/>
    <m/>
    <x v="23"/>
  </r>
  <r>
    <x v="2"/>
    <m/>
    <m/>
    <s v="30 days pta"/>
    <x v="0"/>
    <n v="9908"/>
    <m/>
    <n v="9908"/>
    <x v="5"/>
    <m/>
    <m/>
    <d v="2026-02-20T00:00:00"/>
    <d v="2026-02-22T00:00:00"/>
    <n v="2"/>
    <x v="1"/>
    <n v="2"/>
    <n v="2026"/>
    <x v="1"/>
    <n v="6063.8"/>
    <x v="0"/>
    <m/>
    <d v="2025-12-04T00:00:00"/>
    <x v="0"/>
    <m/>
    <x v="23"/>
  </r>
  <r>
    <x v="2"/>
    <m/>
    <m/>
    <s v="30 days pta"/>
    <x v="0"/>
    <n v="22902"/>
    <m/>
    <n v="22902"/>
    <x v="5"/>
    <m/>
    <m/>
    <d v="2026-02-20T00:00:00"/>
    <d v="2026-02-24T00:00:00"/>
    <n v="4"/>
    <x v="1"/>
    <n v="2"/>
    <n v="2026"/>
    <x v="1"/>
    <n v="10508.25"/>
    <x v="0"/>
    <m/>
    <d v="2025-11-29T00:00:00"/>
    <x v="0"/>
    <m/>
    <x v="23"/>
  </r>
  <r>
    <x v="2"/>
    <m/>
    <m/>
    <s v="30 days pta"/>
    <x v="0"/>
    <n v="19922"/>
    <n v="4980.5"/>
    <n v="14941.5"/>
    <x v="4"/>
    <m/>
    <m/>
    <d v="2026-02-20T00:00:00"/>
    <d v="2026-02-24T00:00:00"/>
    <n v="4"/>
    <x v="1"/>
    <n v="2"/>
    <n v="2026"/>
    <x v="1"/>
    <n v="9684.06"/>
    <x v="0"/>
    <m/>
    <d v="2025-11-25T00:00:00"/>
    <x v="0"/>
    <m/>
    <x v="23"/>
  </r>
  <r>
    <x v="2"/>
    <m/>
    <m/>
    <s v="30 days pta"/>
    <x v="0"/>
    <n v="27120"/>
    <m/>
    <n v="27120"/>
    <x v="5"/>
    <m/>
    <m/>
    <d v="2026-02-21T00:00:00"/>
    <d v="2026-02-26T00:00:00"/>
    <n v="5"/>
    <x v="1"/>
    <n v="2"/>
    <n v="2026"/>
    <x v="1"/>
    <n v="18453.75"/>
    <x v="0"/>
    <m/>
    <d v="2025-08-30T00:00:00"/>
    <x v="0"/>
    <m/>
    <x v="15"/>
  </r>
  <r>
    <x v="2"/>
    <m/>
    <m/>
    <s v="30 days pta"/>
    <x v="0"/>
    <n v="30773.279999999999"/>
    <n v="30773.279999999999"/>
    <m/>
    <x v="8"/>
    <m/>
    <m/>
    <d v="2026-02-21T00:00:00"/>
    <d v="2026-02-25T00:00:00"/>
    <n v="4"/>
    <x v="1"/>
    <n v="2"/>
    <n v="2026"/>
    <x v="0"/>
    <n v="15999.44"/>
    <x v="0"/>
    <m/>
    <d v="2025-10-20T00:00:00"/>
    <x v="0"/>
    <m/>
    <x v="23"/>
  </r>
  <r>
    <x v="2"/>
    <m/>
    <m/>
    <s v="30 days pta"/>
    <x v="0"/>
    <n v="20770.66"/>
    <m/>
    <n v="20770.66"/>
    <x v="5"/>
    <m/>
    <m/>
    <d v="2026-02-21T00:00:00"/>
    <d v="2026-02-23T00:00:00"/>
    <n v="2"/>
    <x v="1"/>
    <n v="2"/>
    <n v="2026"/>
    <x v="1"/>
    <n v="6051.32"/>
    <x v="0"/>
    <m/>
    <d v="2025-11-02T00:00:00"/>
    <x v="0"/>
    <m/>
    <x v="45"/>
  </r>
  <r>
    <x v="2"/>
    <m/>
    <m/>
    <s v="30 days pta"/>
    <x v="0"/>
    <n v="3704"/>
    <m/>
    <n v="3704"/>
    <x v="5"/>
    <m/>
    <m/>
    <d v="2026-02-22T00:00:00"/>
    <d v="2026-03-02T00:00:00"/>
    <n v="8"/>
    <x v="1"/>
    <n v="2"/>
    <n v="2026"/>
    <x v="1"/>
    <n v="1971.92"/>
    <x v="0"/>
    <m/>
    <d v="2025-11-05T00:00:00"/>
    <x v="0"/>
    <m/>
    <x v="46"/>
  </r>
  <r>
    <x v="2"/>
    <m/>
    <m/>
    <s v="30 days pta"/>
    <x v="0"/>
    <n v="7732.72"/>
    <m/>
    <n v="7732.72"/>
    <x v="5"/>
    <m/>
    <m/>
    <d v="2026-02-23T00:00:00"/>
    <d v="2026-02-25T00:00:00"/>
    <n v="2"/>
    <x v="1"/>
    <n v="2"/>
    <n v="2026"/>
    <x v="1"/>
    <n v="5649.36"/>
    <x v="0"/>
    <m/>
    <d v="2025-11-07T00:00:00"/>
    <x v="0"/>
    <m/>
    <x v="23"/>
  </r>
  <r>
    <x v="2"/>
    <m/>
    <m/>
    <s v="30 days pta"/>
    <x v="0"/>
    <n v="18124"/>
    <m/>
    <n v="18124"/>
    <x v="5"/>
    <m/>
    <m/>
    <d v="2026-02-23T00:00:00"/>
    <d v="2026-02-28T00:00:00"/>
    <n v="5"/>
    <x v="1"/>
    <n v="2"/>
    <n v="2026"/>
    <x v="1"/>
    <n v="8115.1"/>
    <x v="0"/>
    <m/>
    <d v="2025-10-29T00:00:00"/>
    <x v="0"/>
    <m/>
    <x v="18"/>
  </r>
  <r>
    <x v="2"/>
    <m/>
    <m/>
    <s v="30 days pta"/>
    <x v="0"/>
    <n v="16294"/>
    <n v="4073.5"/>
    <n v="12220.5"/>
    <x v="4"/>
    <m/>
    <m/>
    <d v="2026-02-23T00:00:00"/>
    <d v="2026-02-27T00:00:00"/>
    <n v="4"/>
    <x v="1"/>
    <n v="2"/>
    <n v="2026"/>
    <x v="1"/>
    <n v="7570.22"/>
    <x v="0"/>
    <m/>
    <d v="2025-12-04T00:00:00"/>
    <x v="0"/>
    <m/>
    <x v="23"/>
  </r>
  <r>
    <x v="2"/>
    <m/>
    <m/>
    <s v="30 days pta"/>
    <x v="0"/>
    <n v="16294"/>
    <n v="4073.5"/>
    <n v="12220.5"/>
    <x v="4"/>
    <m/>
    <m/>
    <d v="2026-02-25T00:00:00"/>
    <d v="2026-03-01T00:00:00"/>
    <n v="4"/>
    <x v="1"/>
    <n v="2"/>
    <n v="2026"/>
    <x v="1"/>
    <n v="7570.22"/>
    <x v="0"/>
    <m/>
    <d v="2025-11-19T00:00:00"/>
    <x v="0"/>
    <m/>
    <x v="23"/>
  </r>
  <r>
    <x v="2"/>
    <m/>
    <m/>
    <s v="30 days pta"/>
    <x v="0"/>
    <n v="45890.74"/>
    <n v="33515.72"/>
    <n v="12375.02"/>
    <x v="4"/>
    <m/>
    <m/>
    <d v="2026-02-25T00:00:00"/>
    <d v="2026-03-04T00:00:00"/>
    <n v="7"/>
    <x v="1"/>
    <n v="2"/>
    <n v="2026"/>
    <x v="1"/>
    <n v="27999.02"/>
    <x v="0"/>
    <m/>
    <d v="2025-10-20T00:00:00"/>
    <x v="0"/>
    <m/>
    <x v="23"/>
  </r>
  <r>
    <x v="2"/>
    <m/>
    <m/>
    <s v="30 days pta"/>
    <x v="0"/>
    <n v="14472"/>
    <n v="3698"/>
    <n v="10774"/>
    <x v="4"/>
    <m/>
    <m/>
    <d v="2026-02-25T00:00:00"/>
    <d v="2026-03-01T00:00:00"/>
    <n v="4"/>
    <x v="1"/>
    <n v="2"/>
    <n v="2026"/>
    <x v="1"/>
    <n v="4395.6099999999997"/>
    <x v="0"/>
    <m/>
    <d v="2025-11-16T00:00:00"/>
    <x v="0"/>
    <m/>
    <x v="23"/>
  </r>
  <r>
    <x v="2"/>
    <m/>
    <m/>
    <s v="30 days pta"/>
    <x v="0"/>
    <n v="16345"/>
    <m/>
    <n v="16345"/>
    <x v="5"/>
    <m/>
    <m/>
    <d v="2026-02-25T00:00:00"/>
    <d v="2026-03-03T00:00:00"/>
    <n v="6"/>
    <x v="1"/>
    <n v="2"/>
    <n v="2026"/>
    <x v="1"/>
    <n v="6245.4"/>
    <x v="0"/>
    <m/>
    <d v="2025-03-19T00:00:00"/>
    <x v="0"/>
    <m/>
    <x v="1"/>
  </r>
  <r>
    <x v="2"/>
    <m/>
    <m/>
    <s v="30 days pta"/>
    <x v="0"/>
    <n v="25400"/>
    <n v="6350"/>
    <n v="19050"/>
    <x v="4"/>
    <m/>
    <m/>
    <d v="2026-02-25T00:00:00"/>
    <d v="2026-03-02T00:00:00"/>
    <n v="5"/>
    <x v="1"/>
    <n v="2"/>
    <n v="2026"/>
    <x v="1"/>
    <n v="17117.349999999999"/>
    <x v="0"/>
    <m/>
    <d v="2024-12-10T00:00:00"/>
    <x v="0"/>
    <m/>
    <x v="1"/>
  </r>
  <r>
    <x v="2"/>
    <m/>
    <m/>
    <s v="30 days pta"/>
    <x v="0"/>
    <n v="5187.22"/>
    <n v="5187.22"/>
    <m/>
    <x v="0"/>
    <m/>
    <m/>
    <d v="2026-02-25T00:00:00"/>
    <d v="2026-02-26T00:00:00"/>
    <n v="1"/>
    <x v="1"/>
    <n v="2"/>
    <n v="2026"/>
    <x v="0"/>
    <n v="2556.79"/>
    <x v="0"/>
    <m/>
    <d v="2025-12-07T00:00:00"/>
    <x v="0"/>
    <m/>
    <x v="18"/>
  </r>
  <r>
    <x v="2"/>
    <m/>
    <m/>
    <s v="30 days pta"/>
    <x v="0"/>
    <n v="15296"/>
    <m/>
    <n v="15296"/>
    <x v="5"/>
    <m/>
    <m/>
    <d v="2026-02-25T00:00:00"/>
    <d v="2026-03-01T00:00:00"/>
    <n v="4"/>
    <x v="1"/>
    <n v="2"/>
    <n v="2026"/>
    <x v="1"/>
    <n v="7463.38"/>
    <x v="0"/>
    <m/>
    <d v="2025-11-25T00:00:00"/>
    <x v="0"/>
    <m/>
    <x v="23"/>
  </r>
  <r>
    <x v="2"/>
    <m/>
    <m/>
    <s v="30 days pta"/>
    <x v="0"/>
    <n v="17142"/>
    <m/>
    <n v="17142"/>
    <x v="5"/>
    <m/>
    <m/>
    <d v="2026-02-25T00:00:00"/>
    <d v="2026-03-01T00:00:00"/>
    <n v="4"/>
    <x v="1"/>
    <n v="2"/>
    <n v="2026"/>
    <x v="1"/>
    <n v="7562.58"/>
    <x v="0"/>
    <m/>
    <d v="2025-11-19T00:00:00"/>
    <x v="0"/>
    <m/>
    <x v="23"/>
  </r>
  <r>
    <x v="2"/>
    <m/>
    <m/>
    <s v="30 days pta"/>
    <x v="0"/>
    <m/>
    <m/>
    <m/>
    <x v="8"/>
    <m/>
    <m/>
    <d v="2026-02-25T00:00:00"/>
    <d v="2026-03-04T00:00:00"/>
    <n v="7"/>
    <x v="1"/>
    <n v="2"/>
    <n v="2026"/>
    <x v="0"/>
    <n v="14151.41"/>
    <x v="0"/>
    <m/>
    <m/>
    <x v="0"/>
    <m/>
    <x v="9"/>
  </r>
  <r>
    <x v="2"/>
    <m/>
    <m/>
    <s v="30 days pta"/>
    <x v="0"/>
    <n v="65133.599999999999"/>
    <n v="65133.599999999999"/>
    <m/>
    <x v="0"/>
    <m/>
    <m/>
    <d v="2026-02-26T00:00:00"/>
    <d v="2026-03-02T00:00:00"/>
    <n v="4"/>
    <x v="1"/>
    <n v="2"/>
    <n v="2026"/>
    <x v="0"/>
    <n v="43487.199999999997"/>
    <x v="0"/>
    <m/>
    <d v="2025-07-28T00:00:00"/>
    <x v="0"/>
    <m/>
    <x v="35"/>
  </r>
  <r>
    <x v="2"/>
    <m/>
    <m/>
    <s v="30 days pta"/>
    <x v="0"/>
    <n v="34119.25"/>
    <n v="8529.81"/>
    <n v="25589.439999999999"/>
    <x v="4"/>
    <m/>
    <m/>
    <d v="2026-02-26T00:00:00"/>
    <d v="2026-03-03T00:00:00"/>
    <n v="5"/>
    <x v="1"/>
    <n v="2"/>
    <n v="2026"/>
    <x v="1"/>
    <n v="14018.05"/>
    <x v="0"/>
    <m/>
    <d v="2025-10-23T00:00:00"/>
    <x v="0"/>
    <m/>
    <x v="15"/>
  </r>
  <r>
    <x v="2"/>
    <m/>
    <m/>
    <s v="30 days pta"/>
    <x v="0"/>
    <n v="13461.68"/>
    <n v="13461.68"/>
    <m/>
    <x v="1"/>
    <m/>
    <m/>
    <d v="2026-02-26T00:00:00"/>
    <d v="2026-03-02T00:00:00"/>
    <n v="4"/>
    <x v="1"/>
    <n v="2"/>
    <n v="2026"/>
    <x v="0"/>
    <n v="3725.34"/>
    <x v="0"/>
    <m/>
    <d v="2025-10-28T00:00:00"/>
    <x v="0"/>
    <m/>
    <x v="7"/>
  </r>
  <r>
    <x v="2"/>
    <m/>
    <m/>
    <s v="30 days pta"/>
    <x v="0"/>
    <m/>
    <m/>
    <m/>
    <x v="8"/>
    <m/>
    <m/>
    <d v="2026-02-26T00:00:00"/>
    <d v="2026-02-28T00:00:00"/>
    <n v="2"/>
    <x v="1"/>
    <n v="2"/>
    <n v="2026"/>
    <x v="0"/>
    <m/>
    <x v="0"/>
    <m/>
    <m/>
    <x v="0"/>
    <m/>
    <x v="9"/>
  </r>
  <r>
    <x v="2"/>
    <m/>
    <m/>
    <s v="30 days pta"/>
    <x v="0"/>
    <m/>
    <m/>
    <m/>
    <x v="8"/>
    <m/>
    <m/>
    <d v="2026-02-28T00:00:00"/>
    <d v="2026-03-02T00:00:00"/>
    <n v="2"/>
    <x v="1"/>
    <n v="2"/>
    <n v="2026"/>
    <x v="0"/>
    <m/>
    <x v="0"/>
    <m/>
    <m/>
    <x v="0"/>
    <m/>
    <x v="9"/>
  </r>
  <r>
    <x v="2"/>
    <m/>
    <m/>
    <s v="30 days pta"/>
    <x v="0"/>
    <n v="31024.639999999999"/>
    <n v="7756.16"/>
    <n v="23268.48"/>
    <x v="4"/>
    <m/>
    <m/>
    <d v="2026-02-27T00:00:00"/>
    <d v="2026-03-04T00:00:00"/>
    <n v="5"/>
    <x v="1"/>
    <n v="2"/>
    <n v="2026"/>
    <x v="1"/>
    <n v="21030.74"/>
    <x v="0"/>
    <m/>
    <d v="2025-10-22T00:00:00"/>
    <x v="0"/>
    <m/>
    <x v="6"/>
  </r>
  <r>
    <x v="2"/>
    <m/>
    <m/>
    <s v="30 days pta"/>
    <x v="0"/>
    <n v="11976"/>
    <m/>
    <n v="11976"/>
    <x v="5"/>
    <m/>
    <m/>
    <d v="2026-02-27T00:00:00"/>
    <d v="2026-03-03T00:00:00"/>
    <n v="4"/>
    <x v="1"/>
    <n v="2"/>
    <n v="2026"/>
    <x v="1"/>
    <n v="6806.52"/>
    <x v="0"/>
    <m/>
    <d v="2025-09-30T00:00:00"/>
    <x v="0"/>
    <m/>
    <x v="7"/>
  </r>
  <r>
    <x v="2"/>
    <m/>
    <m/>
    <s v="30 days pta"/>
    <x v="0"/>
    <n v="288"/>
    <m/>
    <n v="288"/>
    <x v="6"/>
    <m/>
    <m/>
    <d v="2026-02-28T00:00:00"/>
    <d v="2026-03-04T00:00:00"/>
    <n v="4"/>
    <x v="1"/>
    <n v="2"/>
    <n v="2026"/>
    <x v="1"/>
    <n v="0"/>
    <x v="0"/>
    <m/>
    <d v="2025-11-07T00:00:00"/>
    <x v="0"/>
    <m/>
    <x v="16"/>
  </r>
  <r>
    <x v="2"/>
    <m/>
    <m/>
    <s v="30 days pta"/>
    <x v="0"/>
    <n v="24537.81"/>
    <n v="24537.81"/>
    <m/>
    <x v="0"/>
    <m/>
    <m/>
    <d v="2026-02-28T00:00:00"/>
    <d v="2026-03-07T00:00:00"/>
    <n v="7"/>
    <x v="1"/>
    <n v="2"/>
    <n v="2026"/>
    <x v="0"/>
    <n v="15918.63"/>
    <x v="0"/>
    <m/>
    <d v="2025-11-28T00:00:00"/>
    <x v="0"/>
    <m/>
    <x v="33"/>
  </r>
  <r>
    <x v="2"/>
    <m/>
    <m/>
    <s v="30 days pta"/>
    <x v="0"/>
    <n v="35847.14"/>
    <m/>
    <n v="35847.14"/>
    <x v="5"/>
    <m/>
    <m/>
    <d v="2026-03-01T00:00:00"/>
    <d v="2026-03-08T00:00:00"/>
    <n v="7"/>
    <x v="2"/>
    <n v="3"/>
    <n v="2026"/>
    <x v="1"/>
    <n v="23001.5"/>
    <x v="0"/>
    <m/>
    <d v="2025-12-02T00:00:00"/>
    <x v="0"/>
    <m/>
    <x v="26"/>
  </r>
  <r>
    <x v="2"/>
    <m/>
    <m/>
    <s v="30 days pta"/>
    <x v="0"/>
    <n v="36538.28"/>
    <m/>
    <n v="36538.28"/>
    <x v="5"/>
    <m/>
    <m/>
    <d v="2026-03-02T00:00:00"/>
    <d v="2026-03-08T00:00:00"/>
    <n v="6"/>
    <x v="2"/>
    <n v="3"/>
    <n v="2026"/>
    <x v="1"/>
    <n v="13747.14"/>
    <x v="0"/>
    <m/>
    <d v="2025-12-10T00:00:00"/>
    <x v="0"/>
    <m/>
    <x v="1"/>
  </r>
  <r>
    <x v="2"/>
    <m/>
    <m/>
    <s v="30 days pta"/>
    <x v="0"/>
    <n v="0"/>
    <m/>
    <n v="0"/>
    <x v="1"/>
    <m/>
    <m/>
    <d v="2026-03-04T00:00:00"/>
    <d v="2026-03-06T00:00:00"/>
    <n v="2"/>
    <x v="2"/>
    <n v="3"/>
    <n v="2026"/>
    <x v="0"/>
    <n v="0"/>
    <x v="0"/>
    <m/>
    <d v="2025-10-31T00:00:00"/>
    <x v="0"/>
    <m/>
    <x v="23"/>
  </r>
  <r>
    <x v="2"/>
    <m/>
    <m/>
    <s v="30 days pta"/>
    <x v="0"/>
    <n v="14190.41"/>
    <m/>
    <n v="14190.41"/>
    <x v="5"/>
    <m/>
    <m/>
    <d v="2026-03-04T00:00:00"/>
    <d v="2026-03-07T00:00:00"/>
    <n v="3"/>
    <x v="2"/>
    <n v="3"/>
    <n v="2026"/>
    <x v="1"/>
    <n v="8492.3700000000008"/>
    <x v="0"/>
    <m/>
    <d v="2025-12-02T00:00:00"/>
    <x v="0"/>
    <m/>
    <x v="15"/>
  </r>
  <r>
    <x v="2"/>
    <m/>
    <m/>
    <s v="30 days pta"/>
    <x v="0"/>
    <n v="21619.25"/>
    <n v="5404.81"/>
    <n v="16214.44"/>
    <x v="4"/>
    <m/>
    <m/>
    <d v="2026-03-05T00:00:00"/>
    <d v="2026-03-10T00:00:00"/>
    <n v="5"/>
    <x v="2"/>
    <n v="3"/>
    <n v="2026"/>
    <x v="1"/>
    <n v="13926.45"/>
    <x v="0"/>
    <m/>
    <d v="2025-11-30T00:00:00"/>
    <x v="0"/>
    <m/>
    <x v="27"/>
  </r>
  <r>
    <x v="2"/>
    <m/>
    <m/>
    <s v="30 days pta"/>
    <x v="0"/>
    <n v="11172"/>
    <m/>
    <n v="11172"/>
    <x v="5"/>
    <m/>
    <m/>
    <d v="2026-03-05T00:00:00"/>
    <d v="2026-03-08T00:00:00"/>
    <n v="3"/>
    <x v="2"/>
    <n v="3"/>
    <n v="2026"/>
    <x v="1"/>
    <n v="5990.67"/>
    <x v="0"/>
    <m/>
    <d v="2025-12-05T00:00:00"/>
    <x v="0"/>
    <m/>
    <x v="8"/>
  </r>
  <r>
    <x v="2"/>
    <m/>
    <m/>
    <s v="30 days pta"/>
    <x v="0"/>
    <n v="122505.82"/>
    <m/>
    <n v="122505.82"/>
    <x v="5"/>
    <m/>
    <m/>
    <d v="2026-03-05T00:00:00"/>
    <d v="2026-03-15T00:00:00"/>
    <n v="10"/>
    <x v="2"/>
    <n v="3"/>
    <n v="2026"/>
    <x v="1"/>
    <n v="0"/>
    <x v="0"/>
    <m/>
    <d v="2025-08-27T00:00:00"/>
    <x v="0"/>
    <m/>
    <x v="9"/>
  </r>
  <r>
    <x v="2"/>
    <m/>
    <m/>
    <s v="30 days pta"/>
    <x v="0"/>
    <n v="0"/>
    <m/>
    <n v="0"/>
    <x v="1"/>
    <m/>
    <m/>
    <d v="2026-03-05T00:00:00"/>
    <d v="2026-03-07T00:00:00"/>
    <n v="2"/>
    <x v="2"/>
    <n v="3"/>
    <n v="2026"/>
    <x v="0"/>
    <n v="0"/>
    <x v="0"/>
    <m/>
    <d v="2025-12-02T00:00:00"/>
    <x v="0"/>
    <m/>
    <x v="15"/>
  </r>
  <r>
    <x v="2"/>
    <m/>
    <m/>
    <s v="30 days pta"/>
    <x v="0"/>
    <n v="27879.68"/>
    <m/>
    <n v="27879.68"/>
    <x v="5"/>
    <m/>
    <m/>
    <d v="2026-03-05T00:00:00"/>
    <d v="2026-03-10T00:00:00"/>
    <n v="5"/>
    <x v="2"/>
    <n v="3"/>
    <n v="2026"/>
    <x v="1"/>
    <n v="0"/>
    <x v="0"/>
    <m/>
    <d v="2025-09-26T00:00:00"/>
    <x v="0"/>
    <m/>
    <x v="15"/>
  </r>
  <r>
    <x v="2"/>
    <m/>
    <m/>
    <s v="30 days pta"/>
    <x v="0"/>
    <n v="16696"/>
    <m/>
    <n v="16696"/>
    <x v="5"/>
    <m/>
    <m/>
    <d v="2026-03-06T00:00:00"/>
    <d v="2026-03-10T00:00:00"/>
    <n v="4"/>
    <x v="2"/>
    <n v="3"/>
    <n v="2026"/>
    <x v="1"/>
    <n v="8458.48"/>
    <x v="0"/>
    <m/>
    <d v="2025-11-10T00:00:00"/>
    <x v="0"/>
    <m/>
    <x v="23"/>
  </r>
  <r>
    <x v="2"/>
    <m/>
    <m/>
    <s v="30 days pta"/>
    <x v="0"/>
    <n v="52716.32"/>
    <m/>
    <n v="52716.32"/>
    <x v="5"/>
    <m/>
    <m/>
    <d v="2026-03-06T00:00:00"/>
    <d v="2026-03-14T00:00:00"/>
    <n v="8"/>
    <x v="2"/>
    <n v="3"/>
    <n v="2026"/>
    <x v="1"/>
    <n v="21202.959999999999"/>
    <x v="0"/>
    <m/>
    <d v="2025-05-14T00:00:00"/>
    <x v="0"/>
    <m/>
    <x v="1"/>
  </r>
  <r>
    <x v="2"/>
    <m/>
    <m/>
    <s v="30 days pta"/>
    <x v="0"/>
    <n v="37768"/>
    <m/>
    <n v="37768"/>
    <x v="5"/>
    <m/>
    <m/>
    <d v="2026-03-07T00:00:00"/>
    <d v="2026-03-13T00:00:00"/>
    <n v="6"/>
    <x v="2"/>
    <n v="3"/>
    <n v="2026"/>
    <x v="1"/>
    <n v="16876.439999999999"/>
    <x v="0"/>
    <m/>
    <d v="2025-09-05T00:00:00"/>
    <x v="0"/>
    <m/>
    <x v="1"/>
  </r>
  <r>
    <x v="2"/>
    <m/>
    <m/>
    <s v="30 days pta"/>
    <x v="0"/>
    <n v="0"/>
    <m/>
    <n v="0"/>
    <x v="1"/>
    <m/>
    <m/>
    <d v="2026-03-07T00:00:00"/>
    <d v="2026-03-14T00:00:00"/>
    <n v="7"/>
    <x v="2"/>
    <n v="3"/>
    <n v="2026"/>
    <x v="0"/>
    <n v="0"/>
    <x v="0"/>
    <m/>
    <d v="2025-06-07T00:00:00"/>
    <x v="0"/>
    <m/>
    <x v="1"/>
  </r>
  <r>
    <x v="2"/>
    <m/>
    <m/>
    <s v="30 days pta"/>
    <x v="0"/>
    <n v="22378.799999999999"/>
    <m/>
    <n v="22378.799999999999"/>
    <x v="5"/>
    <m/>
    <m/>
    <d v="2026-03-07T00:00:00"/>
    <d v="2026-03-12T00:00:00"/>
    <n v="5"/>
    <x v="2"/>
    <n v="3"/>
    <n v="2026"/>
    <x v="1"/>
    <n v="12548.55"/>
    <x v="0"/>
    <m/>
    <d v="2025-09-04T00:00:00"/>
    <x v="0"/>
    <m/>
    <x v="1"/>
  </r>
  <r>
    <x v="2"/>
    <m/>
    <m/>
    <s v="30 days pta"/>
    <x v="0"/>
    <n v="35254.400000000001"/>
    <m/>
    <n v="35254.400000000001"/>
    <x v="5"/>
    <m/>
    <m/>
    <d v="2026-03-09T00:00:00"/>
    <d v="2026-03-16T00:00:00"/>
    <n v="7"/>
    <x v="2"/>
    <n v="3"/>
    <n v="2026"/>
    <x v="1"/>
    <n v="20239.66"/>
    <x v="0"/>
    <m/>
    <d v="2025-07-25T00:00:00"/>
    <x v="0"/>
    <m/>
    <x v="19"/>
  </r>
  <r>
    <x v="2"/>
    <m/>
    <m/>
    <s v="30 days pta"/>
    <x v="0"/>
    <n v="30340"/>
    <m/>
    <n v="30340"/>
    <x v="5"/>
    <m/>
    <m/>
    <d v="2026-03-09T00:00:00"/>
    <d v="2026-03-13T00:00:00"/>
    <n v="4"/>
    <x v="2"/>
    <n v="3"/>
    <n v="2026"/>
    <x v="1"/>
    <n v="5490.27"/>
    <x v="0"/>
    <m/>
    <d v="2025-12-04T00:00:00"/>
    <x v="0"/>
    <m/>
    <x v="8"/>
  </r>
  <r>
    <x v="2"/>
    <m/>
    <m/>
    <s v="30 days pta"/>
    <x v="0"/>
    <n v="10972"/>
    <m/>
    <n v="10972"/>
    <x v="5"/>
    <m/>
    <m/>
    <d v="2026-03-11T00:00:00"/>
    <d v="2026-03-15T00:00:00"/>
    <n v="4"/>
    <x v="2"/>
    <n v="3"/>
    <n v="2026"/>
    <x v="1"/>
    <n v="6910.88"/>
    <x v="0"/>
    <m/>
    <d v="2025-11-30T00:00:00"/>
    <x v="0"/>
    <m/>
    <x v="1"/>
  </r>
  <r>
    <x v="2"/>
    <m/>
    <m/>
    <s v="30 days pta"/>
    <x v="0"/>
    <n v="2600"/>
    <m/>
    <n v="2600"/>
    <x v="6"/>
    <m/>
    <m/>
    <d v="2026-03-11T00:00:00"/>
    <d v="2026-03-16T00:00:00"/>
    <n v="5"/>
    <x v="2"/>
    <n v="3"/>
    <n v="2026"/>
    <x v="1"/>
    <n v="0"/>
    <x v="0"/>
    <m/>
    <d v="2025-12-04T00:00:00"/>
    <x v="0"/>
    <m/>
    <x v="16"/>
  </r>
  <r>
    <x v="2"/>
    <m/>
    <m/>
    <s v="30 days pta"/>
    <x v="0"/>
    <n v="0"/>
    <m/>
    <n v="0"/>
    <x v="1"/>
    <m/>
    <m/>
    <d v="2026-03-13T00:00:00"/>
    <d v="2026-03-19T00:00:00"/>
    <n v="6"/>
    <x v="2"/>
    <n v="3"/>
    <n v="2026"/>
    <x v="0"/>
    <n v="0"/>
    <x v="0"/>
    <m/>
    <d v="2025-11-17T00:00:00"/>
    <x v="0"/>
    <m/>
    <x v="25"/>
  </r>
  <r>
    <x v="2"/>
    <m/>
    <m/>
    <s v="30 days pta"/>
    <x v="0"/>
    <n v="24296"/>
    <m/>
    <n v="24296"/>
    <x v="5"/>
    <m/>
    <m/>
    <d v="2026-03-13T00:00:00"/>
    <d v="2026-03-17T00:00:00"/>
    <n v="4"/>
    <x v="2"/>
    <n v="3"/>
    <n v="2026"/>
    <x v="1"/>
    <n v="8609.16"/>
    <x v="0"/>
    <m/>
    <d v="2025-12-04T00:00:00"/>
    <x v="0"/>
    <m/>
    <x v="8"/>
  </r>
  <r>
    <x v="2"/>
    <m/>
    <m/>
    <s v="30 days pta"/>
    <x v="0"/>
    <n v="325"/>
    <m/>
    <n v="325"/>
    <x v="6"/>
    <m/>
    <m/>
    <d v="2026-03-14T00:00:00"/>
    <d v="2026-03-16T00:00:00"/>
    <n v="2"/>
    <x v="2"/>
    <n v="3"/>
    <n v="2026"/>
    <x v="1"/>
    <n v="0"/>
    <x v="0"/>
    <m/>
    <d v="2025-11-07T00:00:00"/>
    <x v="0"/>
    <m/>
    <x v="15"/>
  </r>
  <r>
    <x v="2"/>
    <m/>
    <m/>
    <s v="30 days pta"/>
    <x v="0"/>
    <n v="19500"/>
    <n v="4875"/>
    <n v="14625"/>
    <x v="4"/>
    <m/>
    <m/>
    <d v="2026-03-14T00:00:00"/>
    <d v="2026-03-19T00:00:00"/>
    <n v="5"/>
    <x v="2"/>
    <n v="3"/>
    <n v="2026"/>
    <x v="1"/>
    <n v="9447.5"/>
    <x v="0"/>
    <m/>
    <d v="2025-11-23T00:00:00"/>
    <x v="0"/>
    <m/>
    <x v="2"/>
  </r>
  <r>
    <x v="2"/>
    <m/>
    <m/>
    <s v="30 days pta"/>
    <x v="0"/>
    <n v="34717.75"/>
    <n v="34717.75"/>
    <m/>
    <x v="0"/>
    <m/>
    <m/>
    <d v="2026-03-14T00:00:00"/>
    <d v="2026-03-21T00:00:00"/>
    <n v="7"/>
    <x v="2"/>
    <n v="3"/>
    <n v="2026"/>
    <x v="0"/>
    <n v="23687.23"/>
    <x v="0"/>
    <m/>
    <d v="2025-02-15T00:00:00"/>
    <x v="0"/>
    <m/>
    <x v="15"/>
  </r>
  <r>
    <x v="2"/>
    <m/>
    <m/>
    <s v="30 days pta"/>
    <x v="0"/>
    <n v="9564"/>
    <m/>
    <n v="9564"/>
    <x v="5"/>
    <m/>
    <m/>
    <d v="2026-03-14T00:00:00"/>
    <d v="2026-03-17T00:00:00"/>
    <n v="3"/>
    <x v="2"/>
    <n v="3"/>
    <n v="2026"/>
    <x v="1"/>
    <n v="5219.79"/>
    <x v="0"/>
    <m/>
    <d v="2025-09-24T00:00:00"/>
    <x v="0"/>
    <m/>
    <x v="5"/>
  </r>
  <r>
    <x v="2"/>
    <m/>
    <m/>
    <s v="30 days pta"/>
    <x v="0"/>
    <n v="14568"/>
    <n v="7737.51"/>
    <n v="6830.49"/>
    <x v="4"/>
    <m/>
    <m/>
    <d v="2026-03-14T00:00:00"/>
    <d v="2026-03-17T00:00:00"/>
    <n v="3"/>
    <x v="2"/>
    <n v="3"/>
    <n v="2026"/>
    <x v="1"/>
    <n v="9202.7999999999993"/>
    <x v="0"/>
    <m/>
    <d v="2025-04-26T00:00:00"/>
    <x v="0"/>
    <m/>
    <x v="27"/>
  </r>
  <r>
    <x v="2"/>
    <m/>
    <m/>
    <s v="30 days pta"/>
    <x v="0"/>
    <n v="96377.45"/>
    <m/>
    <n v="96377.45"/>
    <x v="5"/>
    <m/>
    <m/>
    <d v="2026-03-14T00:00:00"/>
    <d v="2026-03-21T00:00:00"/>
    <n v="7"/>
    <x v="2"/>
    <n v="3"/>
    <n v="2026"/>
    <x v="1"/>
    <n v="32533.9"/>
    <x v="0"/>
    <m/>
    <d v="2025-05-14T00:00:00"/>
    <x v="0"/>
    <m/>
    <x v="1"/>
  </r>
  <r>
    <x v="2"/>
    <m/>
    <m/>
    <s v="30 days pta"/>
    <x v="0"/>
    <n v="4550"/>
    <m/>
    <n v="4550"/>
    <x v="6"/>
    <m/>
    <m/>
    <d v="2026-03-15T00:00:00"/>
    <d v="2026-03-20T00:00:00"/>
    <n v="5"/>
    <x v="2"/>
    <n v="3"/>
    <n v="2026"/>
    <x v="1"/>
    <n v="0"/>
    <x v="0"/>
    <m/>
    <d v="2025-09-28T00:00:00"/>
    <x v="0"/>
    <m/>
    <x v="10"/>
  </r>
  <r>
    <x v="2"/>
    <m/>
    <m/>
    <s v="30 days pta"/>
    <x v="0"/>
    <n v="26789.25"/>
    <n v="4784.8"/>
    <n v="22004.45"/>
    <x v="4"/>
    <m/>
    <m/>
    <d v="2026-03-15T00:00:00"/>
    <d v="2026-03-20T00:00:00"/>
    <n v="5"/>
    <x v="2"/>
    <n v="3"/>
    <n v="2026"/>
    <x v="1"/>
    <n v="13621.2"/>
    <x v="0"/>
    <m/>
    <d v="2025-11-11T00:00:00"/>
    <x v="0"/>
    <m/>
    <x v="15"/>
  </r>
  <r>
    <x v="2"/>
    <m/>
    <m/>
    <s v="30 days pta"/>
    <x v="0"/>
    <m/>
    <m/>
    <m/>
    <x v="1"/>
    <m/>
    <m/>
    <d v="2026-03-15T00:00:00"/>
    <d v="2026-03-17T00:00:00"/>
    <n v="2"/>
    <x v="2"/>
    <n v="3"/>
    <n v="2026"/>
    <x v="0"/>
    <n v="0"/>
    <x v="0"/>
    <m/>
    <d v="2025-05-22T00:00:00"/>
    <x v="0"/>
    <m/>
    <x v="15"/>
  </r>
  <r>
    <x v="2"/>
    <m/>
    <m/>
    <s v="30 days pta"/>
    <x v="0"/>
    <n v="49260"/>
    <m/>
    <n v="49260"/>
    <x v="5"/>
    <m/>
    <m/>
    <d v="2026-03-15T00:00:00"/>
    <d v="2026-03-20T00:00:00"/>
    <n v="5"/>
    <x v="2"/>
    <n v="3"/>
    <n v="2026"/>
    <x v="1"/>
    <n v="32448.1"/>
    <x v="0"/>
    <m/>
    <d v="2025-06-20T00:00:00"/>
    <x v="0"/>
    <m/>
    <x v="15"/>
  </r>
  <r>
    <x v="2"/>
    <m/>
    <m/>
    <s v="30 days pta"/>
    <x v="0"/>
    <n v="19997.599999999999"/>
    <n v="4349.3999999999996"/>
    <n v="15648.2"/>
    <x v="4"/>
    <m/>
    <m/>
    <d v="2026-03-15T00:00:00"/>
    <d v="2026-03-20T00:00:00"/>
    <n v="5"/>
    <x v="2"/>
    <n v="3"/>
    <n v="2026"/>
    <x v="1"/>
    <n v="12688.95"/>
    <x v="0"/>
    <m/>
    <d v="2025-11-10T00:00:00"/>
    <x v="0"/>
    <m/>
    <x v="15"/>
  </r>
  <r>
    <x v="2"/>
    <m/>
    <m/>
    <s v="30 days pta"/>
    <x v="0"/>
    <m/>
    <m/>
    <m/>
    <x v="1"/>
    <m/>
    <m/>
    <d v="2026-03-16T00:00:00"/>
    <d v="2026-03-18T00:00:00"/>
    <n v="2"/>
    <x v="2"/>
    <n v="3"/>
    <n v="2026"/>
    <x v="0"/>
    <n v="0"/>
    <x v="0"/>
    <m/>
    <d v="2025-10-21T00:00:00"/>
    <x v="0"/>
    <m/>
    <x v="23"/>
  </r>
  <r>
    <x v="2"/>
    <m/>
    <m/>
    <s v="30 days pta"/>
    <x v="0"/>
    <n v="39447.51"/>
    <n v="7579.37"/>
    <n v="31868.11"/>
    <x v="4"/>
    <m/>
    <m/>
    <d v="2026-03-16T00:00:00"/>
    <d v="2026-03-20T00:00:00"/>
    <n v="4"/>
    <x v="2"/>
    <n v="3"/>
    <n v="2026"/>
    <x v="1"/>
    <n v="23313.08"/>
    <x v="0"/>
    <m/>
    <d v="2025-10-21T00:00:00"/>
    <x v="0"/>
    <m/>
    <x v="15"/>
  </r>
  <r>
    <x v="2"/>
    <m/>
    <m/>
    <s v="30 days pta"/>
    <x v="0"/>
    <n v="38133.17"/>
    <n v="1120"/>
    <n v="37013.17"/>
    <x v="4"/>
    <m/>
    <m/>
    <d v="2026-03-16T00:00:00"/>
    <d v="2026-03-23T00:00:00"/>
    <n v="7"/>
    <x v="2"/>
    <n v="3"/>
    <n v="2026"/>
    <x v="1"/>
    <n v="25438.91"/>
    <x v="0"/>
    <m/>
    <d v="2025-05-24T00:00:00"/>
    <x v="0"/>
    <m/>
    <x v="1"/>
  </r>
  <r>
    <x v="2"/>
    <m/>
    <m/>
    <s v="30 days pta"/>
    <x v="0"/>
    <m/>
    <m/>
    <m/>
    <x v="1"/>
    <m/>
    <m/>
    <d v="2026-03-16T00:00:00"/>
    <d v="2026-03-18T00:00:00"/>
    <n v="2"/>
    <x v="2"/>
    <n v="3"/>
    <n v="2026"/>
    <x v="0"/>
    <n v="0"/>
    <x v="0"/>
    <m/>
    <d v="2025-10-21T00:00:00"/>
    <x v="0"/>
    <m/>
    <x v="23"/>
  </r>
  <r>
    <x v="2"/>
    <m/>
    <m/>
    <s v="30 days pta"/>
    <x v="0"/>
    <m/>
    <m/>
    <m/>
    <x v="1"/>
    <m/>
    <m/>
    <d v="2026-03-18T00:00:00"/>
    <d v="2026-03-20T00:00:00"/>
    <n v="2"/>
    <x v="2"/>
    <n v="3"/>
    <n v="2026"/>
    <x v="0"/>
    <n v="0"/>
    <x v="0"/>
    <m/>
    <d v="2025-10-31T00:00:00"/>
    <x v="0"/>
    <m/>
    <x v="23"/>
  </r>
  <r>
    <x v="2"/>
    <m/>
    <m/>
    <s v="30 days pta"/>
    <x v="0"/>
    <n v="10168.08"/>
    <m/>
    <n v="10168.08"/>
    <x v="3"/>
    <m/>
    <m/>
    <d v="2026-03-19T00:00:00"/>
    <d v="2026-03-23T00:00:00"/>
    <n v="4"/>
    <x v="2"/>
    <n v="3"/>
    <n v="2026"/>
    <x v="1"/>
    <n v="5540.36"/>
    <x v="0"/>
    <m/>
    <d v="2025-11-26T00:00:00"/>
    <x v="0"/>
    <m/>
    <x v="5"/>
  </r>
  <r>
    <x v="2"/>
    <m/>
    <m/>
    <s v="30 days pta"/>
    <x v="0"/>
    <n v="10168.08"/>
    <m/>
    <n v="10168.08"/>
    <x v="3"/>
    <m/>
    <m/>
    <d v="2026-03-19T00:00:00"/>
    <d v="2026-03-23T00:00:00"/>
    <n v="4"/>
    <x v="2"/>
    <n v="3"/>
    <n v="2026"/>
    <x v="1"/>
    <n v="5540.36"/>
    <x v="0"/>
    <m/>
    <d v="2025-11-26T00:00:00"/>
    <x v="0"/>
    <m/>
    <x v="5"/>
  </r>
  <r>
    <x v="2"/>
    <m/>
    <m/>
    <s v="30 days pta"/>
    <x v="0"/>
    <n v="13366"/>
    <m/>
    <n v="13366"/>
    <x v="5"/>
    <m/>
    <m/>
    <d v="2026-03-19T00:00:00"/>
    <d v="2026-03-23T00:00:00"/>
    <n v="4"/>
    <x v="2"/>
    <n v="3"/>
    <n v="2026"/>
    <x v="1"/>
    <n v="7211.52"/>
    <x v="0"/>
    <m/>
    <d v="2025-11-18T00:00:00"/>
    <x v="0"/>
    <m/>
    <x v="31"/>
  </r>
  <r>
    <x v="2"/>
    <m/>
    <m/>
    <s v="30 days pta"/>
    <x v="0"/>
    <m/>
    <m/>
    <m/>
    <x v="8"/>
    <m/>
    <m/>
    <d v="2026-03-21T00:00:00"/>
    <d v="2026-03-25T00:00:00"/>
    <n v="4"/>
    <x v="2"/>
    <n v="3"/>
    <n v="2026"/>
    <x v="0"/>
    <n v="9554.34"/>
    <x v="0"/>
    <m/>
    <m/>
    <x v="0"/>
    <m/>
    <x v="9"/>
  </r>
  <r>
    <x v="2"/>
    <m/>
    <m/>
    <s v="30 days pta"/>
    <x v="0"/>
    <n v="143520"/>
    <m/>
    <n v="143520"/>
    <x v="5"/>
    <m/>
    <m/>
    <d v="2026-03-21T00:00:00"/>
    <d v="2026-03-28T00:00:00"/>
    <n v="7"/>
    <x v="2"/>
    <n v="3"/>
    <n v="2026"/>
    <x v="1"/>
    <n v="0"/>
    <x v="0"/>
    <m/>
    <d v="2025-08-09T00:00:00"/>
    <x v="0"/>
    <m/>
    <x v="27"/>
  </r>
  <r>
    <x v="2"/>
    <m/>
    <m/>
    <s v="30 days pta"/>
    <x v="0"/>
    <n v="26847"/>
    <n v="6711.75"/>
    <n v="20135.25"/>
    <x v="4"/>
    <m/>
    <m/>
    <d v="2026-03-21T00:00:00"/>
    <d v="2026-03-28T00:00:00"/>
    <n v="7"/>
    <x v="2"/>
    <n v="3"/>
    <n v="2026"/>
    <x v="1"/>
    <n v="14236.11"/>
    <x v="0"/>
    <m/>
    <d v="2025-11-15T00:00:00"/>
    <x v="0"/>
    <m/>
    <x v="7"/>
  </r>
  <r>
    <x v="2"/>
    <m/>
    <m/>
    <s v="30 days pta"/>
    <x v="0"/>
    <n v="17920"/>
    <m/>
    <n v="17920"/>
    <x v="5"/>
    <m/>
    <m/>
    <d v="2026-03-21T00:00:00"/>
    <d v="2026-03-26T00:00:00"/>
    <n v="5"/>
    <x v="2"/>
    <n v="3"/>
    <n v="2026"/>
    <x v="1"/>
    <n v="9119.35"/>
    <x v="0"/>
    <m/>
    <d v="2025-11-19T00:00:00"/>
    <x v="0"/>
    <m/>
    <x v="1"/>
  </r>
  <r>
    <x v="2"/>
    <m/>
    <m/>
    <s v="30 days pta"/>
    <x v="0"/>
    <n v="22500"/>
    <m/>
    <n v="22500"/>
    <x v="5"/>
    <m/>
    <m/>
    <d v="2026-03-21T00:00:00"/>
    <d v="2026-03-30T00:00:00"/>
    <n v="9"/>
    <x v="2"/>
    <n v="3"/>
    <n v="2026"/>
    <x v="1"/>
    <n v="12545.46"/>
    <x v="0"/>
    <m/>
    <d v="2025-12-07T00:00:00"/>
    <x v="0"/>
    <m/>
    <x v="30"/>
  </r>
  <r>
    <x v="2"/>
    <m/>
    <m/>
    <s v="30 days pta"/>
    <x v="0"/>
    <n v="25026"/>
    <m/>
    <n v="25026"/>
    <x v="5"/>
    <m/>
    <m/>
    <d v="2026-03-22T00:00:00"/>
    <d v="2026-03-29T00:00:00"/>
    <n v="7"/>
    <x v="2"/>
    <n v="3"/>
    <n v="2026"/>
    <x v="1"/>
    <n v="14743.61"/>
    <x v="0"/>
    <m/>
    <d v="2025-11-27T00:00:00"/>
    <x v="0"/>
    <m/>
    <x v="27"/>
  </r>
  <r>
    <x v="2"/>
    <m/>
    <m/>
    <s v="30 days pta"/>
    <x v="0"/>
    <n v="34504.410000000003"/>
    <m/>
    <n v="34504.410000000003"/>
    <x v="5"/>
    <m/>
    <m/>
    <d v="2026-03-22T00:00:00"/>
    <d v="2026-03-28T00:00:00"/>
    <n v="6"/>
    <x v="2"/>
    <n v="3"/>
    <n v="2026"/>
    <x v="1"/>
    <n v="25552.799999999999"/>
    <x v="0"/>
    <m/>
    <d v="2025-05-14T00:00:00"/>
    <x v="0"/>
    <m/>
    <x v="5"/>
  </r>
  <r>
    <x v="2"/>
    <m/>
    <m/>
    <s v="30 days pta"/>
    <x v="0"/>
    <n v="72365"/>
    <m/>
    <n v="72365"/>
    <x v="5"/>
    <m/>
    <m/>
    <d v="2026-03-23T00:00:00"/>
    <d v="2026-03-28T00:00:00"/>
    <n v="5"/>
    <x v="2"/>
    <n v="3"/>
    <n v="2026"/>
    <x v="1"/>
    <n v="35065.65"/>
    <x v="0"/>
    <m/>
    <d v="2025-12-03T00:00:00"/>
    <x v="0"/>
    <m/>
    <x v="43"/>
  </r>
  <r>
    <x v="2"/>
    <m/>
    <m/>
    <s v="30 days pta"/>
    <x v="0"/>
    <m/>
    <m/>
    <m/>
    <x v="8"/>
    <m/>
    <m/>
    <d v="2026-03-24T00:00:00"/>
    <d v="2026-03-31T00:00:00"/>
    <n v="7"/>
    <x v="2"/>
    <n v="3"/>
    <n v="2026"/>
    <x v="0"/>
    <n v="10695.17"/>
    <x v="0"/>
    <m/>
    <m/>
    <x v="0"/>
    <m/>
    <x v="9"/>
  </r>
  <r>
    <x v="2"/>
    <m/>
    <m/>
    <s v="30 days pta"/>
    <x v="0"/>
    <n v="25449.46"/>
    <m/>
    <n v="25449.46"/>
    <x v="5"/>
    <m/>
    <m/>
    <d v="2026-03-24T00:00:00"/>
    <d v="2026-03-31T00:00:00"/>
    <n v="7"/>
    <x v="2"/>
    <n v="3"/>
    <n v="2026"/>
    <x v="1"/>
    <n v="12386.11"/>
    <x v="0"/>
    <m/>
    <d v="2025-12-10T00:00:00"/>
    <x v="0"/>
    <m/>
    <x v="47"/>
  </r>
  <r>
    <x v="2"/>
    <m/>
    <m/>
    <s v="30 days pta"/>
    <x v="0"/>
    <n v="24018.34"/>
    <m/>
    <n v="24018.34"/>
    <x v="3"/>
    <m/>
    <m/>
    <d v="2026-03-24T00:00:00"/>
    <d v="2026-03-31T00:00:00"/>
    <n v="7"/>
    <x v="2"/>
    <n v="3"/>
    <n v="2026"/>
    <x v="1"/>
    <n v="14118.86"/>
    <x v="0"/>
    <m/>
    <d v="2025-12-01T00:00:00"/>
    <x v="0"/>
    <m/>
    <x v="15"/>
  </r>
  <r>
    <x v="2"/>
    <m/>
    <m/>
    <s v="30 days pta"/>
    <x v="0"/>
    <n v="18966"/>
    <n v="4741.5"/>
    <n v="14224.5"/>
    <x v="4"/>
    <m/>
    <m/>
    <d v="2026-03-25T00:00:00"/>
    <d v="2026-03-31T00:00:00"/>
    <n v="6"/>
    <x v="2"/>
    <n v="3"/>
    <n v="2026"/>
    <x v="1"/>
    <n v="13128.96"/>
    <x v="0"/>
    <m/>
    <d v="2025-11-30T00:00:00"/>
    <x v="0"/>
    <m/>
    <x v="43"/>
  </r>
  <r>
    <x v="2"/>
    <m/>
    <m/>
    <s v="30 days pta"/>
    <x v="0"/>
    <n v="40071.599999999999"/>
    <n v="40071.599999999999"/>
    <m/>
    <x v="0"/>
    <m/>
    <m/>
    <d v="2026-03-25T00:00:00"/>
    <d v="2026-03-27T00:00:00"/>
    <n v="2"/>
    <x v="2"/>
    <n v="3"/>
    <n v="2026"/>
    <x v="0"/>
    <n v="28697.8"/>
    <x v="0"/>
    <m/>
    <d v="2025-02-22T00:00:00"/>
    <x v="0"/>
    <m/>
    <x v="15"/>
  </r>
  <r>
    <x v="2"/>
    <m/>
    <m/>
    <s v="30 days pta"/>
    <x v="0"/>
    <n v="23822.15"/>
    <m/>
    <n v="23822.15"/>
    <x v="5"/>
    <m/>
    <m/>
    <d v="2026-03-27T00:00:00"/>
    <d v="2026-03-30T00:00:00"/>
    <n v="3"/>
    <x v="2"/>
    <n v="3"/>
    <n v="2026"/>
    <x v="1"/>
    <n v="15795.27"/>
    <x v="0"/>
    <m/>
    <d v="2025-04-20T00:00:00"/>
    <x v="0"/>
    <m/>
    <x v="27"/>
  </r>
  <r>
    <x v="2"/>
    <m/>
    <m/>
    <s v="30 days pta"/>
    <x v="0"/>
    <n v="23136"/>
    <m/>
    <n v="23136"/>
    <x v="5"/>
    <m/>
    <m/>
    <d v="2026-03-28T00:00:00"/>
    <d v="2026-04-04T00:00:00"/>
    <n v="7"/>
    <x v="2"/>
    <n v="3"/>
    <n v="2026"/>
    <x v="1"/>
    <n v="12455.31"/>
    <x v="0"/>
    <m/>
    <d v="2025-06-26T00:00:00"/>
    <x v="0"/>
    <m/>
    <x v="1"/>
  </r>
  <r>
    <x v="2"/>
    <m/>
    <m/>
    <s v="30 days pta"/>
    <x v="0"/>
    <n v="624"/>
    <m/>
    <n v="624"/>
    <x v="6"/>
    <m/>
    <m/>
    <d v="2026-03-28T00:00:00"/>
    <d v="2026-04-10T00:00:00"/>
    <n v="13"/>
    <x v="2"/>
    <n v="3"/>
    <n v="2026"/>
    <x v="1"/>
    <n v="0"/>
    <x v="0"/>
    <m/>
    <d v="2025-08-24T00:00:00"/>
    <x v="0"/>
    <m/>
    <x v="1"/>
  </r>
  <r>
    <x v="2"/>
    <m/>
    <m/>
    <s v="30 days pta"/>
    <x v="0"/>
    <n v="360"/>
    <m/>
    <n v="360"/>
    <x v="6"/>
    <m/>
    <m/>
    <d v="2026-03-28T00:00:00"/>
    <d v="2026-04-07T00:00:00"/>
    <n v="10"/>
    <x v="2"/>
    <n v="3"/>
    <n v="2026"/>
    <x v="1"/>
    <n v="0"/>
    <x v="0"/>
    <m/>
    <d v="2025-09-05T00:00:00"/>
    <x v="0"/>
    <m/>
    <x v="1"/>
  </r>
  <r>
    <x v="2"/>
    <m/>
    <m/>
    <s v="30 days pta"/>
    <x v="0"/>
    <n v="67019.94"/>
    <n v="16754.98"/>
    <n v="50264.959999999999"/>
    <x v="4"/>
    <m/>
    <m/>
    <d v="2026-03-28T00:00:00"/>
    <d v="2026-04-12T00:00:00"/>
    <n v="15"/>
    <x v="2"/>
    <n v="3"/>
    <n v="2026"/>
    <x v="1"/>
    <n v="41246.85"/>
    <x v="0"/>
    <m/>
    <d v="2025-11-02T00:00:00"/>
    <x v="0"/>
    <m/>
    <x v="4"/>
  </r>
  <r>
    <x v="2"/>
    <m/>
    <m/>
    <s v="90 days pta"/>
    <x v="0"/>
    <n v="45920"/>
    <n v="45920"/>
    <m/>
    <x v="0"/>
    <m/>
    <m/>
    <d v="2026-03-29T00:00:00"/>
    <d v="2026-04-03T00:00:00"/>
    <n v="5"/>
    <x v="2"/>
    <n v="3"/>
    <n v="2026"/>
    <x v="0"/>
    <n v="26483.31"/>
    <x v="0"/>
    <m/>
    <d v="2025-06-23T00:00:00"/>
    <x v="0"/>
    <m/>
    <x v="37"/>
  </r>
  <r>
    <x v="2"/>
    <m/>
    <m/>
    <s v="90 days pta"/>
    <x v="0"/>
    <n v="13428"/>
    <n v="13428"/>
    <n v="13428"/>
    <x v="4"/>
    <m/>
    <m/>
    <d v="2026-03-29T00:00:00"/>
    <d v="2026-04-01T00:00:00"/>
    <n v="3"/>
    <x v="2"/>
    <n v="3"/>
    <n v="2026"/>
    <x v="1"/>
    <n v="6172.5"/>
    <x v="0"/>
    <m/>
    <d v="2024-05-24T00:00:00"/>
    <x v="0"/>
    <m/>
    <x v="7"/>
  </r>
  <r>
    <x v="2"/>
    <m/>
    <m/>
    <s v="90 days pta"/>
    <x v="0"/>
    <n v="40483"/>
    <m/>
    <n v="40483"/>
    <x v="5"/>
    <m/>
    <m/>
    <d v="2026-03-29T00:00:00"/>
    <d v="2026-04-01T00:00:00"/>
    <n v="3"/>
    <x v="2"/>
    <n v="3"/>
    <n v="2026"/>
    <x v="1"/>
    <n v="29027.97"/>
    <x v="0"/>
    <m/>
    <d v="2025-04-24T00:00:00"/>
    <x v="0"/>
    <m/>
    <x v="7"/>
  </r>
  <r>
    <x v="2"/>
    <m/>
    <m/>
    <s v="90 days pta"/>
    <x v="0"/>
    <n v="32329"/>
    <m/>
    <n v="32329"/>
    <x v="7"/>
    <m/>
    <m/>
    <d v="2026-03-30T00:00:00"/>
    <d v="2026-04-08T00:00:00"/>
    <n v="9"/>
    <x v="2"/>
    <n v="3"/>
    <n v="2026"/>
    <x v="1"/>
    <n v="21153.87"/>
    <x v="0"/>
    <m/>
    <d v="2025-11-06T00:00:00"/>
    <x v="0"/>
    <m/>
    <x v="7"/>
  </r>
  <r>
    <x v="2"/>
    <m/>
    <m/>
    <s v="90 days pta"/>
    <x v="0"/>
    <n v="21688.9"/>
    <n v="5422.22"/>
    <n v="16266.68"/>
    <x v="4"/>
    <m/>
    <m/>
    <d v="2026-03-30T00:00:00"/>
    <d v="2026-04-04T00:00:00"/>
    <n v="5"/>
    <x v="2"/>
    <n v="3"/>
    <n v="2026"/>
    <x v="1"/>
    <n v="12590.75"/>
    <x v="0"/>
    <m/>
    <d v="2025-11-15T00:00:00"/>
    <x v="0"/>
    <m/>
    <x v="31"/>
  </r>
  <r>
    <x v="2"/>
    <m/>
    <m/>
    <s v="90 days pta"/>
    <x v="0"/>
    <n v="24904.46"/>
    <n v="6226.11"/>
    <n v="18678.349999999999"/>
    <x v="4"/>
    <m/>
    <m/>
    <d v="2026-03-30T00:00:00"/>
    <d v="2026-04-06T00:00:00"/>
    <n v="7"/>
    <x v="2"/>
    <n v="3"/>
    <n v="2026"/>
    <x v="1"/>
    <n v="17627.05"/>
    <x v="0"/>
    <m/>
    <d v="2025-10-30T00:00:00"/>
    <x v="0"/>
    <m/>
    <x v="5"/>
  </r>
  <r>
    <x v="2"/>
    <m/>
    <m/>
    <s v="90 days pta"/>
    <x v="0"/>
    <n v="31662.959999999999"/>
    <m/>
    <n v="31662.959999999999"/>
    <x v="5"/>
    <m/>
    <m/>
    <d v="2026-03-31T00:00:00"/>
    <d v="2026-04-04T00:00:00"/>
    <n v="4"/>
    <x v="2"/>
    <n v="3"/>
    <n v="2026"/>
    <x v="1"/>
    <n v="16682.68"/>
    <x v="0"/>
    <m/>
    <d v="2025-07-22T00:00:00"/>
    <x v="0"/>
    <m/>
    <x v="31"/>
  </r>
  <r>
    <x v="2"/>
    <m/>
    <m/>
    <s v="90 days pta"/>
    <x v="0"/>
    <n v="17877.25"/>
    <n v="17877.25"/>
    <m/>
    <x v="0"/>
    <m/>
    <m/>
    <d v="2026-04-02T00:00:00"/>
    <d v="2026-04-05T00:00:00"/>
    <n v="3"/>
    <x v="3"/>
    <n v="4"/>
    <n v="2026"/>
    <x v="0"/>
    <n v="8538.81"/>
    <x v="0"/>
    <m/>
    <d v="2025-11-30T00:00:00"/>
    <x v="0"/>
    <m/>
    <x v="39"/>
  </r>
  <r>
    <x v="2"/>
    <m/>
    <m/>
    <s v="90 days pta"/>
    <x v="0"/>
    <n v="28403.84"/>
    <m/>
    <n v="28403.84"/>
    <x v="5"/>
    <m/>
    <m/>
    <d v="2026-04-03T00:00:00"/>
    <d v="2026-04-08T00:00:00"/>
    <n v="5"/>
    <x v="3"/>
    <n v="4"/>
    <n v="2026"/>
    <x v="1"/>
    <n v="19103.95"/>
    <x v="0"/>
    <m/>
    <d v="2025-09-05T00:00:00"/>
    <x v="0"/>
    <m/>
    <x v="8"/>
  </r>
  <r>
    <x v="2"/>
    <m/>
    <m/>
    <s v="90 days pta"/>
    <x v="0"/>
    <n v="98323.28"/>
    <n v="45600"/>
    <n v="52723.28"/>
    <x v="4"/>
    <m/>
    <m/>
    <d v="2026-04-03T00:00:00"/>
    <d v="2026-04-10T00:00:00"/>
    <n v="7"/>
    <x v="3"/>
    <n v="4"/>
    <n v="2026"/>
    <x v="1"/>
    <n v="50609.93"/>
    <x v="0"/>
    <m/>
    <d v="2025-01-23T00:00:00"/>
    <x v="0"/>
    <m/>
    <x v="1"/>
  </r>
  <r>
    <x v="2"/>
    <m/>
    <m/>
    <s v="90 days pta"/>
    <x v="0"/>
    <n v="24499.98"/>
    <m/>
    <n v="24499.98"/>
    <x v="5"/>
    <m/>
    <m/>
    <d v="2026-04-04T00:00:00"/>
    <d v="2026-04-10T00:00:00"/>
    <n v="6"/>
    <x v="3"/>
    <n v="4"/>
    <n v="2026"/>
    <x v="1"/>
    <n v="12472.38"/>
    <x v="0"/>
    <m/>
    <d v="2025-03-28T00:00:00"/>
    <x v="0"/>
    <m/>
    <x v="1"/>
  </r>
  <r>
    <x v="2"/>
    <m/>
    <m/>
    <s v="90 days pta"/>
    <x v="0"/>
    <n v="45274"/>
    <n v="11318.5"/>
    <n v="33955.5"/>
    <x v="4"/>
    <m/>
    <m/>
    <d v="2026-04-04T00:00:00"/>
    <d v="2026-04-14T00:00:00"/>
    <n v="10"/>
    <x v="3"/>
    <n v="4"/>
    <n v="2026"/>
    <x v="1"/>
    <n v="29810.7"/>
    <x v="0"/>
    <m/>
    <d v="2025-10-26T00:00:00"/>
    <x v="0"/>
    <m/>
    <x v="5"/>
  </r>
  <r>
    <x v="2"/>
    <m/>
    <m/>
    <s v="90 days pta"/>
    <x v="0"/>
    <n v="34188"/>
    <m/>
    <n v="34188"/>
    <x v="5"/>
    <m/>
    <m/>
    <d v="2026-04-04T00:00:00"/>
    <d v="2026-04-10T00:00:00"/>
    <n v="6"/>
    <x v="3"/>
    <n v="4"/>
    <n v="2026"/>
    <x v="1"/>
    <n v="19020.96"/>
    <x v="0"/>
    <m/>
    <d v="2025-09-09T00:00:00"/>
    <x v="0"/>
    <m/>
    <x v="41"/>
  </r>
  <r>
    <x v="2"/>
    <m/>
    <m/>
    <s v="90 days pta"/>
    <x v="0"/>
    <n v="23977"/>
    <n v="6000"/>
    <n v="17977"/>
    <x v="4"/>
    <m/>
    <m/>
    <d v="2026-04-04T00:00:00"/>
    <d v="2026-04-11T00:00:00"/>
    <n v="7"/>
    <x v="3"/>
    <n v="4"/>
    <n v="2026"/>
    <x v="1"/>
    <n v="15624.98"/>
    <x v="0"/>
    <m/>
    <d v="2025-11-02T00:00:00"/>
    <x v="0"/>
    <m/>
    <x v="33"/>
  </r>
  <r>
    <x v="2"/>
    <m/>
    <m/>
    <s v="90 days pta"/>
    <x v="0"/>
    <n v="27738"/>
    <m/>
    <n v="27738"/>
    <x v="5"/>
    <m/>
    <m/>
    <d v="2026-04-05T00:00:00"/>
    <d v="2026-04-11T00:00:00"/>
    <n v="6"/>
    <x v="3"/>
    <n v="4"/>
    <n v="2026"/>
    <x v="1"/>
    <n v="20349.66"/>
    <x v="0"/>
    <m/>
    <d v="2025-04-19T00:00:00"/>
    <x v="0"/>
    <m/>
    <x v="15"/>
  </r>
  <r>
    <x v="2"/>
    <m/>
    <m/>
    <s v="90 days pta"/>
    <x v="0"/>
    <n v="17252"/>
    <m/>
    <n v="17252"/>
    <x v="5"/>
    <m/>
    <m/>
    <d v="2026-04-06T00:00:00"/>
    <d v="2026-04-09T00:00:00"/>
    <n v="3"/>
    <x v="3"/>
    <n v="4"/>
    <n v="2026"/>
    <x v="1"/>
    <n v="11025.63"/>
    <x v="0"/>
    <m/>
    <d v="2025-05-24T00:00:00"/>
    <x v="0"/>
    <m/>
    <x v="1"/>
  </r>
  <r>
    <x v="2"/>
    <m/>
    <m/>
    <s v="90 days pta"/>
    <x v="0"/>
    <n v="15856"/>
    <n v="3964"/>
    <n v="11892"/>
    <x v="4"/>
    <m/>
    <m/>
    <d v="2026-04-06T00:00:00"/>
    <d v="2026-04-10T00:00:00"/>
    <n v="4"/>
    <x v="3"/>
    <n v="4"/>
    <n v="2026"/>
    <x v="1"/>
    <n v="9340.67"/>
    <x v="0"/>
    <m/>
    <d v="2025-12-02T00:00:00"/>
    <x v="0"/>
    <m/>
    <x v="23"/>
  </r>
  <r>
    <x v="2"/>
    <m/>
    <m/>
    <s v="90 days pta"/>
    <x v="0"/>
    <n v="16285"/>
    <n v="4071.25"/>
    <n v="12213.75"/>
    <x v="4"/>
    <m/>
    <m/>
    <d v="2026-04-08T00:00:00"/>
    <d v="2026-04-12T00:00:00"/>
    <n v="4"/>
    <x v="3"/>
    <n v="4"/>
    <n v="2026"/>
    <x v="1"/>
    <n v="8368.2800000000007"/>
    <x v="0"/>
    <m/>
    <d v="2025-08-09T00:00:00"/>
    <x v="0"/>
    <m/>
    <x v="1"/>
  </r>
  <r>
    <x v="2"/>
    <m/>
    <m/>
    <s v="90 days pta"/>
    <x v="0"/>
    <m/>
    <m/>
    <m/>
    <x v="8"/>
    <m/>
    <m/>
    <d v="2026-04-10T00:00:00"/>
    <d v="2026-04-16T00:00:00"/>
    <n v="6"/>
    <x v="3"/>
    <n v="4"/>
    <n v="2026"/>
    <x v="0"/>
    <n v="10678.81"/>
    <x v="0"/>
    <m/>
    <d v="2025-12-10T00:00:00"/>
    <x v="0"/>
    <m/>
    <x v="48"/>
  </r>
  <r>
    <x v="2"/>
    <m/>
    <m/>
    <s v="30 days pta"/>
    <x v="0"/>
    <n v="36078.720000000001"/>
    <m/>
    <n v="36078.720000000001"/>
    <x v="5"/>
    <m/>
    <m/>
    <d v="2026-04-11T00:00:00"/>
    <d v="2026-04-18T00:00:00"/>
    <n v="7"/>
    <x v="3"/>
    <n v="4"/>
    <n v="2026"/>
    <x v="1"/>
    <n v="23178.19"/>
    <x v="0"/>
    <m/>
    <d v="2025-03-28T00:00:00"/>
    <x v="0"/>
    <m/>
    <x v="31"/>
  </r>
  <r>
    <x v="2"/>
    <m/>
    <m/>
    <s v="30 days pta"/>
    <x v="0"/>
    <n v="37546.720000000001"/>
    <m/>
    <n v="37546.720000000001"/>
    <x v="5"/>
    <m/>
    <m/>
    <d v="2026-04-11T00:00:00"/>
    <d v="2026-04-18T00:00:00"/>
    <n v="7"/>
    <x v="3"/>
    <n v="4"/>
    <n v="2026"/>
    <x v="1"/>
    <n v="22751.05"/>
    <x v="0"/>
    <m/>
    <d v="2025-03-27T00:00:00"/>
    <x v="0"/>
    <m/>
    <x v="1"/>
  </r>
  <r>
    <x v="2"/>
    <m/>
    <m/>
    <s v="30 days pta"/>
    <x v="0"/>
    <n v="22919.15"/>
    <n v="5729.79"/>
    <n v="17189.36"/>
    <x v="4"/>
    <m/>
    <m/>
    <d v="2026-04-11T00:00:00"/>
    <d v="2026-04-18T00:00:00"/>
    <n v="7"/>
    <x v="3"/>
    <n v="4"/>
    <n v="2026"/>
    <x v="1"/>
    <n v="12464.28"/>
    <x v="0"/>
    <m/>
    <d v="2025-11-28T00:00:00"/>
    <x v="0"/>
    <m/>
    <x v="31"/>
  </r>
  <r>
    <x v="2"/>
    <m/>
    <m/>
    <s v="30 days pta"/>
    <x v="0"/>
    <n v="19742.75"/>
    <m/>
    <n v="19742.75"/>
    <x v="5"/>
    <m/>
    <m/>
    <d v="2026-04-11T00:00:00"/>
    <d v="2026-04-13T00:00:00"/>
    <n v="2"/>
    <x v="3"/>
    <n v="4"/>
    <n v="2026"/>
    <x v="1"/>
    <n v="14478.58"/>
    <x v="0"/>
    <m/>
    <d v="2025-10-23T00:00:00"/>
    <x v="0"/>
    <m/>
    <x v="4"/>
  </r>
  <r>
    <x v="2"/>
    <m/>
    <m/>
    <s v="30 days pta"/>
    <x v="0"/>
    <n v="11630"/>
    <n v="2907.5"/>
    <n v="8722.5"/>
    <x v="4"/>
    <m/>
    <m/>
    <d v="2026-04-11T00:00:00"/>
    <d v="2026-04-15T00:00:00"/>
    <n v="4"/>
    <x v="3"/>
    <n v="4"/>
    <n v="2026"/>
    <x v="1"/>
    <n v="8396.2800000000007"/>
    <x v="0"/>
    <m/>
    <d v="2025-11-02T00:00:00"/>
    <x v="0"/>
    <m/>
    <x v="23"/>
  </r>
  <r>
    <x v="2"/>
    <m/>
    <m/>
    <s v="30 days pta"/>
    <x v="0"/>
    <n v="15028.6"/>
    <m/>
    <n v="15028.6"/>
    <x v="5"/>
    <m/>
    <m/>
    <d v="2026-04-12T00:00:00"/>
    <d v="2026-04-16T00:00:00"/>
    <n v="4"/>
    <x v="3"/>
    <n v="4"/>
    <n v="2026"/>
    <x v="1"/>
    <n v="0"/>
    <x v="0"/>
    <m/>
    <d v="2025-12-02T00:00:00"/>
    <x v="0"/>
    <m/>
    <x v="23"/>
  </r>
  <r>
    <x v="2"/>
    <m/>
    <m/>
    <s v="30 days pta"/>
    <x v="0"/>
    <n v="15910.46"/>
    <m/>
    <n v="15910.46"/>
    <x v="5"/>
    <m/>
    <m/>
    <d v="2026-04-12T00:00:00"/>
    <d v="2026-04-17T00:00:00"/>
    <n v="5"/>
    <x v="3"/>
    <n v="4"/>
    <n v="2026"/>
    <x v="1"/>
    <n v="11554.05"/>
    <x v="0"/>
    <m/>
    <d v="2025-11-14T00:00:00"/>
    <x v="0"/>
    <m/>
    <x v="49"/>
  </r>
  <r>
    <x v="2"/>
    <m/>
    <m/>
    <s v="30 days pta"/>
    <x v="0"/>
    <n v="38220"/>
    <m/>
    <n v="38220"/>
    <x v="5"/>
    <m/>
    <m/>
    <d v="2026-04-12T00:00:00"/>
    <d v="2026-04-17T00:00:00"/>
    <n v="5"/>
    <x v="3"/>
    <n v="4"/>
    <n v="2026"/>
    <x v="1"/>
    <n v="24458.19"/>
    <x v="0"/>
    <m/>
    <d v="2025-11-21T00:00:00"/>
    <x v="0"/>
    <m/>
    <x v="23"/>
  </r>
  <r>
    <x v="2"/>
    <m/>
    <m/>
    <s v="30 days pta"/>
    <x v="0"/>
    <n v="10036"/>
    <n v="5018"/>
    <n v="5018"/>
    <x v="4"/>
    <m/>
    <m/>
    <d v="2026-04-13T00:00:00"/>
    <d v="2026-04-17T00:00:00"/>
    <n v="4"/>
    <x v="3"/>
    <n v="4"/>
    <n v="2026"/>
    <x v="1"/>
    <n v="6196.6"/>
    <x v="0"/>
    <m/>
    <d v="2025-11-20T00:00:00"/>
    <x v="0"/>
    <m/>
    <x v="1"/>
  </r>
  <r>
    <x v="2"/>
    <m/>
    <m/>
    <s v="30 days pta"/>
    <x v="0"/>
    <n v="10036"/>
    <m/>
    <n v="10036"/>
    <x v="5"/>
    <m/>
    <m/>
    <d v="2026-04-13T00:00:00"/>
    <d v="2026-04-17T00:00:00"/>
    <n v="4"/>
    <x v="3"/>
    <n v="4"/>
    <n v="2026"/>
    <x v="1"/>
    <n v="0"/>
    <x v="0"/>
    <m/>
    <d v="2025-11-21T00:00:00"/>
    <x v="0"/>
    <m/>
    <x v="1"/>
  </r>
  <r>
    <x v="2"/>
    <m/>
    <m/>
    <s v="30 days pta"/>
    <x v="0"/>
    <n v="12936"/>
    <n v="3234"/>
    <n v="9702"/>
    <x v="4"/>
    <m/>
    <m/>
    <d v="2026-04-13T00:00:00"/>
    <d v="2026-04-17T00:00:00"/>
    <n v="4"/>
    <x v="3"/>
    <n v="4"/>
    <n v="2026"/>
    <x v="1"/>
    <n v="6730.78"/>
    <x v="0"/>
    <m/>
    <d v="2025-11-26T00:00:00"/>
    <x v="0"/>
    <m/>
    <x v="23"/>
  </r>
  <r>
    <x v="2"/>
    <m/>
    <m/>
    <s v="30 days pta"/>
    <x v="0"/>
    <n v="17925"/>
    <m/>
    <n v="17925"/>
    <x v="5"/>
    <m/>
    <m/>
    <d v="2026-04-13T00:00:00"/>
    <d v="2026-04-20T00:00:00"/>
    <n v="7"/>
    <x v="3"/>
    <n v="4"/>
    <n v="2026"/>
    <x v="1"/>
    <n v="5078.57"/>
    <x v="0"/>
    <m/>
    <d v="2025-11-21T00:00:00"/>
    <x v="0"/>
    <m/>
    <x v="16"/>
  </r>
  <r>
    <x v="2"/>
    <m/>
    <m/>
    <s v="90 days pta"/>
    <x v="0"/>
    <m/>
    <m/>
    <m/>
    <x v="1"/>
    <m/>
    <m/>
    <d v="2026-04-13T00:00:00"/>
    <d v="2026-04-27T00:00:00"/>
    <n v="14"/>
    <x v="3"/>
    <n v="4"/>
    <n v="2026"/>
    <x v="0"/>
    <n v="0"/>
    <x v="0"/>
    <m/>
    <d v="2025-08-19T00:00:00"/>
    <x v="0"/>
    <m/>
    <x v="5"/>
  </r>
  <r>
    <x v="2"/>
    <m/>
    <m/>
    <s v="90 days pta"/>
    <x v="0"/>
    <m/>
    <m/>
    <m/>
    <x v="1"/>
    <m/>
    <m/>
    <d v="2026-04-14T00:00:00"/>
    <d v="2026-04-16T00:00:00"/>
    <n v="2"/>
    <x v="3"/>
    <n v="4"/>
    <n v="2026"/>
    <x v="0"/>
    <n v="0"/>
    <x v="0"/>
    <m/>
    <d v="2025-08-09T00:00:00"/>
    <x v="0"/>
    <m/>
    <x v="15"/>
  </r>
  <r>
    <x v="2"/>
    <m/>
    <m/>
    <s v="90 days pta"/>
    <x v="0"/>
    <m/>
    <m/>
    <m/>
    <x v="1"/>
    <m/>
    <m/>
    <d v="2026-04-14T00:00:00"/>
    <d v="2026-04-21T00:00:00"/>
    <n v="7"/>
    <x v="3"/>
    <n v="4"/>
    <n v="2026"/>
    <x v="0"/>
    <n v="0"/>
    <x v="0"/>
    <m/>
    <d v="2025-11-19T00:00:00"/>
    <x v="0"/>
    <m/>
    <x v="1"/>
  </r>
  <r>
    <x v="2"/>
    <m/>
    <m/>
    <s v="30 days pta"/>
    <x v="0"/>
    <m/>
    <m/>
    <m/>
    <x v="2"/>
    <m/>
    <m/>
    <d v="2026-04-15T00:00:00"/>
    <d v="2026-04-21T00:00:00"/>
    <n v="6"/>
    <x v="3"/>
    <n v="4"/>
    <n v="2026"/>
    <x v="0"/>
    <n v="22954.5"/>
    <x v="0"/>
    <m/>
    <d v="2025-10-27T00:00:00"/>
    <x v="0"/>
    <m/>
    <x v="23"/>
  </r>
  <r>
    <x v="2"/>
    <m/>
    <m/>
    <s v="30 days pta"/>
    <x v="0"/>
    <m/>
    <m/>
    <m/>
    <x v="2"/>
    <m/>
    <m/>
    <d v="2026-04-15T00:00:00"/>
    <d v="2026-04-21T00:00:00"/>
    <n v="6"/>
    <x v="3"/>
    <n v="4"/>
    <n v="2026"/>
    <x v="0"/>
    <n v="10283.879999999999"/>
    <x v="0"/>
    <m/>
    <d v="2025-11-07T00:00:00"/>
    <x v="0"/>
    <m/>
    <x v="23"/>
  </r>
  <r>
    <x v="2"/>
    <m/>
    <m/>
    <s v="30 days pta"/>
    <x v="0"/>
    <m/>
    <m/>
    <m/>
    <x v="2"/>
    <m/>
    <m/>
    <d v="2026-04-15T00:00:00"/>
    <d v="2026-04-21T00:00:00"/>
    <n v="6"/>
    <x v="3"/>
    <n v="4"/>
    <n v="2026"/>
    <x v="0"/>
    <n v="22954.5"/>
    <x v="0"/>
    <m/>
    <d v="2025-12-07T00:00:00"/>
    <x v="0"/>
    <m/>
    <x v="23"/>
  </r>
  <r>
    <x v="2"/>
    <m/>
    <m/>
    <s v="90 days pta"/>
    <x v="0"/>
    <m/>
    <m/>
    <m/>
    <x v="2"/>
    <m/>
    <m/>
    <d v="2026-04-15T00:00:00"/>
    <d v="2026-04-21T00:00:00"/>
    <n v="6"/>
    <x v="3"/>
    <n v="4"/>
    <n v="2026"/>
    <x v="0"/>
    <n v="0"/>
    <x v="0"/>
    <m/>
    <d v="2025-10-27T00:00:00"/>
    <x v="0"/>
    <m/>
    <x v="23"/>
  </r>
  <r>
    <x v="2"/>
    <m/>
    <m/>
    <s v="90 days pta"/>
    <x v="0"/>
    <m/>
    <m/>
    <m/>
    <x v="2"/>
    <m/>
    <m/>
    <d v="2026-04-15T00:00:00"/>
    <d v="2026-04-21T00:00:00"/>
    <n v="6"/>
    <x v="3"/>
    <n v="4"/>
    <n v="2026"/>
    <x v="0"/>
    <n v="0"/>
    <x v="0"/>
    <m/>
    <d v="2025-12-02T00:00:00"/>
    <x v="0"/>
    <m/>
    <x v="23"/>
  </r>
  <r>
    <x v="2"/>
    <m/>
    <m/>
    <s v="90 days pta"/>
    <x v="0"/>
    <m/>
    <m/>
    <m/>
    <x v="2"/>
    <m/>
    <m/>
    <d v="2026-04-15T00:00:00"/>
    <d v="2026-04-21T00:00:00"/>
    <n v="6"/>
    <x v="3"/>
    <n v="4"/>
    <n v="2026"/>
    <x v="0"/>
    <n v="0"/>
    <x v="0"/>
    <m/>
    <d v="2025-12-02T00:00:00"/>
    <x v="0"/>
    <m/>
    <x v="23"/>
  </r>
  <r>
    <x v="2"/>
    <m/>
    <m/>
    <s v="90 days pta"/>
    <x v="0"/>
    <m/>
    <m/>
    <m/>
    <x v="2"/>
    <m/>
    <m/>
    <d v="2026-04-15T00:00:00"/>
    <d v="2026-04-21T00:00:00"/>
    <n v="6"/>
    <x v="3"/>
    <n v="4"/>
    <n v="2026"/>
    <x v="0"/>
    <n v="0"/>
    <x v="0"/>
    <m/>
    <d v="2025-12-02T00:00:00"/>
    <x v="0"/>
    <m/>
    <x v="23"/>
  </r>
  <r>
    <x v="2"/>
    <m/>
    <m/>
    <s v="30 days pta"/>
    <x v="0"/>
    <n v="21325"/>
    <m/>
    <n v="21325"/>
    <x v="5"/>
    <m/>
    <m/>
    <d v="2026-04-15T00:00:00"/>
    <d v="2026-04-20T00:00:00"/>
    <n v="5"/>
    <x v="3"/>
    <n v="4"/>
    <n v="2026"/>
    <x v="1"/>
    <n v="12564.1"/>
    <x v="0"/>
    <m/>
    <d v="2025-08-14T00:00:00"/>
    <x v="0"/>
    <m/>
    <x v="31"/>
  </r>
  <r>
    <x v="2"/>
    <m/>
    <m/>
    <s v="30 days pta"/>
    <x v="0"/>
    <n v="16734"/>
    <m/>
    <n v="16734"/>
    <x v="5"/>
    <m/>
    <m/>
    <d v="2026-04-15T00:00:00"/>
    <d v="2026-04-19T00:00:00"/>
    <n v="4"/>
    <x v="3"/>
    <n v="4"/>
    <n v="2026"/>
    <x v="1"/>
    <n v="8438.24"/>
    <x v="0"/>
    <m/>
    <d v="2025-08-14T00:00:00"/>
    <x v="0"/>
    <m/>
    <x v="31"/>
  </r>
  <r>
    <x v="2"/>
    <m/>
    <m/>
    <s v="30 days pta"/>
    <x v="0"/>
    <n v="21325"/>
    <m/>
    <n v="21325"/>
    <x v="5"/>
    <m/>
    <m/>
    <d v="2026-04-15T00:00:00"/>
    <d v="2026-04-20T00:00:00"/>
    <n v="5"/>
    <x v="3"/>
    <n v="4"/>
    <n v="2026"/>
    <x v="1"/>
    <n v="12719.5"/>
    <x v="0"/>
    <m/>
    <d v="2025-08-14T00:00:00"/>
    <x v="0"/>
    <m/>
    <x v="31"/>
  </r>
  <r>
    <x v="2"/>
    <m/>
    <m/>
    <s v="90 days pta"/>
    <x v="0"/>
    <n v="3200"/>
    <m/>
    <n v="3200"/>
    <x v="5"/>
    <m/>
    <m/>
    <d v="2026-04-15T00:00:00"/>
    <d v="2026-04-18T00:00:00"/>
    <n v="3"/>
    <x v="3"/>
    <n v="4"/>
    <n v="2026"/>
    <x v="1"/>
    <n v="0"/>
    <x v="0"/>
    <m/>
    <d v="2025-09-17T00:00:00"/>
    <x v="0"/>
    <m/>
    <x v="14"/>
  </r>
  <r>
    <x v="2"/>
    <m/>
    <m/>
    <s v="30 days pta"/>
    <x v="0"/>
    <n v="11072"/>
    <m/>
    <n v="11072"/>
    <x v="5"/>
    <m/>
    <m/>
    <d v="2026-04-17T00:00:00"/>
    <d v="2026-04-20T00:00:00"/>
    <n v="3"/>
    <x v="3"/>
    <n v="4"/>
    <n v="2026"/>
    <x v="1"/>
    <n v="6223.77"/>
    <x v="0"/>
    <m/>
    <d v="2025-11-06T00:00:00"/>
    <x v="0"/>
    <m/>
    <x v="8"/>
  </r>
  <r>
    <x v="2"/>
    <m/>
    <m/>
    <s v="90 days pta"/>
    <x v="0"/>
    <m/>
    <m/>
    <m/>
    <x v="1"/>
    <m/>
    <m/>
    <d v="2026-04-19T00:00:00"/>
    <d v="2026-04-26T00:00:00"/>
    <n v="7"/>
    <x v="3"/>
    <n v="4"/>
    <n v="2026"/>
    <x v="0"/>
    <n v="0"/>
    <x v="0"/>
    <m/>
    <d v="2025-07-22T00:00:00"/>
    <x v="0"/>
    <m/>
    <x v="7"/>
  </r>
  <r>
    <x v="2"/>
    <m/>
    <m/>
    <s v="90 days pta"/>
    <x v="0"/>
    <m/>
    <m/>
    <m/>
    <x v="1"/>
    <m/>
    <m/>
    <d v="2026-04-19T00:00:00"/>
    <d v="2026-04-26T00:00:00"/>
    <n v="7"/>
    <x v="3"/>
    <n v="4"/>
    <n v="2026"/>
    <x v="0"/>
    <n v="0"/>
    <x v="0"/>
    <m/>
    <d v="2025-07-21T00:00:00"/>
    <x v="0"/>
    <m/>
    <x v="10"/>
  </r>
  <r>
    <x v="2"/>
    <m/>
    <m/>
    <s v="30 days pta"/>
    <x v="0"/>
    <n v="34129"/>
    <m/>
    <n v="34129"/>
    <x v="5"/>
    <m/>
    <m/>
    <d v="2026-04-20T00:00:00"/>
    <d v="2026-04-26T00:00:00"/>
    <n v="6"/>
    <x v="3"/>
    <n v="4"/>
    <n v="2026"/>
    <x v="1"/>
    <n v="22621.32"/>
    <x v="0"/>
    <m/>
    <d v="2025-10-07T00:00:00"/>
    <x v="0"/>
    <m/>
    <x v="6"/>
  </r>
  <r>
    <x v="2"/>
    <m/>
    <m/>
    <s v="90 days pta"/>
    <x v="0"/>
    <m/>
    <m/>
    <m/>
    <x v="1"/>
    <m/>
    <m/>
    <d v="2026-04-20T00:00:00"/>
    <d v="2026-04-25T00:00:00"/>
    <n v="5"/>
    <x v="3"/>
    <n v="4"/>
    <n v="2026"/>
    <x v="0"/>
    <n v="0"/>
    <x v="0"/>
    <m/>
    <d v="2025-09-05T00:00:00"/>
    <x v="0"/>
    <m/>
    <x v="31"/>
  </r>
  <r>
    <x v="2"/>
    <m/>
    <m/>
    <s v="30 days pta"/>
    <x v="0"/>
    <n v="10593.38"/>
    <m/>
    <n v="10593.38"/>
    <x v="5"/>
    <m/>
    <m/>
    <d v="2026-04-21T00:00:00"/>
    <d v="2026-04-24T00:00:00"/>
    <n v="3"/>
    <x v="3"/>
    <n v="4"/>
    <n v="2026"/>
    <x v="1"/>
    <n v="5747.4"/>
    <x v="0"/>
    <m/>
    <d v="2025-11-13T00:00:00"/>
    <x v="0"/>
    <m/>
    <x v="5"/>
  </r>
  <r>
    <x v="2"/>
    <m/>
    <m/>
    <s v="30 days pta"/>
    <x v="0"/>
    <n v="13688"/>
    <m/>
    <n v="13688"/>
    <x v="5"/>
    <m/>
    <m/>
    <d v="2026-04-22T00:00:00"/>
    <d v="2026-04-26T00:00:00"/>
    <n v="4"/>
    <x v="3"/>
    <n v="4"/>
    <n v="2026"/>
    <x v="1"/>
    <n v="5936.28"/>
    <x v="0"/>
    <m/>
    <d v="2025-08-12T00:00:00"/>
    <x v="0"/>
    <m/>
    <x v="1"/>
  </r>
  <r>
    <x v="2"/>
    <m/>
    <m/>
    <s v="30 days pta"/>
    <x v="0"/>
    <n v="22240"/>
    <m/>
    <n v="22240"/>
    <x v="5"/>
    <m/>
    <m/>
    <d v="2026-04-23T00:00:00"/>
    <d v="2026-04-25T00:00:00"/>
    <n v="2"/>
    <x v="3"/>
    <n v="4"/>
    <n v="2026"/>
    <x v="1"/>
    <n v="16083.92"/>
    <x v="0"/>
    <m/>
    <d v="2025-11-26T00:00:00"/>
    <x v="0"/>
    <m/>
    <x v="15"/>
  </r>
  <r>
    <x v="2"/>
    <m/>
    <m/>
    <s v="30 days pta"/>
    <x v="0"/>
    <n v="23285.16"/>
    <n v="5821.29"/>
    <n v="17463.87"/>
    <x v="4"/>
    <m/>
    <m/>
    <d v="2026-04-24T00:00:00"/>
    <d v="2026-05-01T00:00:00"/>
    <n v="7"/>
    <x v="3"/>
    <n v="4"/>
    <n v="2026"/>
    <x v="1"/>
    <n v="15592.29"/>
    <x v="0"/>
    <m/>
    <d v="2025-10-31T00:00:00"/>
    <x v="0"/>
    <m/>
    <x v="50"/>
  </r>
  <r>
    <x v="2"/>
    <m/>
    <m/>
    <s v="30 days pta"/>
    <x v="0"/>
    <n v="48010"/>
    <m/>
    <n v="48010"/>
    <x v="5"/>
    <m/>
    <m/>
    <d v="2026-04-25T00:00:00"/>
    <d v="2026-05-01T00:00:00"/>
    <n v="6"/>
    <x v="3"/>
    <n v="4"/>
    <n v="2026"/>
    <x v="1"/>
    <n v="18429.48"/>
    <x v="0"/>
    <m/>
    <d v="2025-10-15T00:00:00"/>
    <x v="0"/>
    <m/>
    <x v="25"/>
  </r>
  <r>
    <x v="2"/>
    <m/>
    <m/>
    <s v="30 days pta"/>
    <x v="0"/>
    <n v="17628.25"/>
    <m/>
    <n v="17628.25"/>
    <x v="5"/>
    <m/>
    <m/>
    <d v="2026-04-25T00:00:00"/>
    <d v="2026-05-01T00:00:00"/>
    <n v="6"/>
    <x v="3"/>
    <n v="4"/>
    <n v="2026"/>
    <x v="1"/>
    <n v="11755.92"/>
    <x v="0"/>
    <m/>
    <d v="2025-11-23T00:00:00"/>
    <x v="0"/>
    <m/>
    <x v="1"/>
  </r>
  <r>
    <x v="2"/>
    <m/>
    <m/>
    <s v="30 days pta"/>
    <x v="0"/>
    <n v="34366.129999999997"/>
    <m/>
    <n v="34366.129999999997"/>
    <x v="5"/>
    <m/>
    <m/>
    <d v="2026-04-25T00:00:00"/>
    <d v="2026-04-29T00:00:00"/>
    <n v="4"/>
    <x v="3"/>
    <n v="4"/>
    <n v="2026"/>
    <x v="1"/>
    <n v="22138.400000000001"/>
    <x v="0"/>
    <m/>
    <d v="2025-02-27T00:00:00"/>
    <x v="0"/>
    <m/>
    <x v="10"/>
  </r>
  <r>
    <x v="2"/>
    <m/>
    <m/>
    <s v="30 days pta"/>
    <x v="0"/>
    <n v="17485.57"/>
    <n v="2600"/>
    <n v="14885.57"/>
    <x v="4"/>
    <m/>
    <m/>
    <d v="2026-04-26T00:00:00"/>
    <d v="2026-05-03T00:00:00"/>
    <n v="7"/>
    <x v="3"/>
    <n v="4"/>
    <n v="2026"/>
    <x v="1"/>
    <n v="10536.89"/>
    <x v="0"/>
    <m/>
    <d v="2025-10-27T00:00:00"/>
    <x v="0"/>
    <m/>
    <x v="9"/>
  </r>
  <r>
    <x v="2"/>
    <m/>
    <m/>
    <s v="30 days pta"/>
    <x v="0"/>
    <n v="70000"/>
    <m/>
    <n v="70000"/>
    <x v="5"/>
    <m/>
    <m/>
    <d v="2026-04-26T00:00:00"/>
    <d v="2026-05-10T00:00:00"/>
    <n v="14"/>
    <x v="3"/>
    <n v="4"/>
    <n v="2026"/>
    <x v="1"/>
    <n v="0"/>
    <x v="0"/>
    <m/>
    <d v="2025-06-28T00:00:00"/>
    <x v="0"/>
    <m/>
    <x v="0"/>
  </r>
  <r>
    <x v="2"/>
    <m/>
    <m/>
    <s v="90 days pta"/>
    <x v="0"/>
    <m/>
    <m/>
    <m/>
    <x v="1"/>
    <m/>
    <m/>
    <d v="2026-04-28T00:00:00"/>
    <d v="2026-05-05T00:00:00"/>
    <n v="7"/>
    <x v="3"/>
    <n v="4"/>
    <n v="2026"/>
    <x v="0"/>
    <n v="0"/>
    <x v="0"/>
    <m/>
    <d v="2025-09-19T00:00:00"/>
    <x v="0"/>
    <m/>
    <x v="5"/>
  </r>
  <r>
    <x v="2"/>
    <m/>
    <m/>
    <s v="90 days pta"/>
    <x v="0"/>
    <m/>
    <m/>
    <m/>
    <x v="1"/>
    <m/>
    <m/>
    <d v="2026-04-28T00:00:00"/>
    <d v="2026-05-05T00:00:00"/>
    <n v="7"/>
    <x v="3"/>
    <n v="4"/>
    <n v="2026"/>
    <x v="0"/>
    <n v="0"/>
    <x v="0"/>
    <m/>
    <d v="2025-09-19T00:00:00"/>
    <x v="0"/>
    <m/>
    <x v="35"/>
  </r>
  <r>
    <x v="2"/>
    <m/>
    <m/>
    <s v="30 days pta"/>
    <x v="0"/>
    <n v="21793.16"/>
    <m/>
    <n v="21793.16"/>
    <x v="5"/>
    <m/>
    <m/>
    <d v="2026-04-30T00:00:00"/>
    <d v="2026-05-04T00:00:00"/>
    <n v="4"/>
    <x v="3"/>
    <n v="4"/>
    <n v="2026"/>
    <x v="1"/>
    <n v="15423.67"/>
    <x v="0"/>
    <m/>
    <d v="2025-11-21T00:00:00"/>
    <x v="0"/>
    <m/>
    <x v="8"/>
  </r>
  <r>
    <x v="2"/>
    <m/>
    <m/>
    <s v="30 days pta"/>
    <x v="0"/>
    <n v="9228.84"/>
    <m/>
    <n v="9228.84"/>
    <x v="5"/>
    <m/>
    <m/>
    <d v="2026-05-02T00:00:00"/>
    <d v="2026-05-05T00:00:00"/>
    <n v="3"/>
    <x v="4"/>
    <n v="5"/>
    <n v="2026"/>
    <x v="1"/>
    <n v="3423.26"/>
    <x v="0"/>
    <m/>
    <m/>
    <x v="0"/>
    <m/>
    <x v="9"/>
  </r>
  <r>
    <x v="2"/>
    <m/>
    <m/>
    <s v="30 days pta"/>
    <x v="0"/>
    <n v="41019.5"/>
    <m/>
    <n v="41019.5"/>
    <x v="5"/>
    <m/>
    <m/>
    <d v="2026-05-02T00:00:00"/>
    <d v="2026-05-11T00:00:00"/>
    <n v="9"/>
    <x v="4"/>
    <n v="5"/>
    <n v="2026"/>
    <x v="1"/>
    <n v="16826.740000000002"/>
    <x v="0"/>
    <m/>
    <d v="2025-12-02T00:00:00"/>
    <x v="0"/>
    <m/>
    <x v="0"/>
  </r>
  <r>
    <x v="2"/>
    <m/>
    <m/>
    <s v="30 days pta"/>
    <x v="0"/>
    <n v="6329.4"/>
    <m/>
    <n v="6329.4"/>
    <x v="5"/>
    <m/>
    <m/>
    <d v="2026-05-02T00:00:00"/>
    <d v="2026-05-05T00:00:00"/>
    <n v="3"/>
    <x v="4"/>
    <n v="5"/>
    <n v="2026"/>
    <x v="1"/>
    <n v="2417.12"/>
    <x v="0"/>
    <m/>
    <d v="2025-08-30T00:00:00"/>
    <x v="0"/>
    <m/>
    <x v="4"/>
  </r>
  <r>
    <x v="2"/>
    <m/>
    <m/>
    <s v="30 days pta"/>
    <x v="0"/>
    <n v="3724"/>
    <m/>
    <n v="3724"/>
    <x v="5"/>
    <m/>
    <m/>
    <d v="2026-05-02T00:00:00"/>
    <d v="2026-05-03T00:00:00"/>
    <n v="1"/>
    <x v="4"/>
    <n v="5"/>
    <n v="2026"/>
    <x v="1"/>
    <n v="1919.19"/>
    <x v="0"/>
    <m/>
    <d v="2025-12-04T00:00:00"/>
    <x v="0"/>
    <m/>
    <x v="23"/>
  </r>
  <r>
    <x v="2"/>
    <m/>
    <m/>
    <s v="30 days pta"/>
    <x v="0"/>
    <n v="3724"/>
    <m/>
    <n v="3724"/>
    <x v="5"/>
    <m/>
    <m/>
    <d v="2026-05-03T00:00:00"/>
    <d v="2026-05-04T00:00:00"/>
    <n v="1"/>
    <x v="4"/>
    <n v="5"/>
    <n v="2026"/>
    <x v="1"/>
    <n v="1919.19"/>
    <x v="0"/>
    <m/>
    <d v="2025-12-04T00:00:00"/>
    <x v="0"/>
    <m/>
    <x v="23"/>
  </r>
  <r>
    <x v="2"/>
    <m/>
    <m/>
    <s v="30 days pta"/>
    <x v="0"/>
    <n v="13719.8"/>
    <m/>
    <n v="13719.8"/>
    <x v="3"/>
    <m/>
    <m/>
    <d v="2026-05-04T00:00:00"/>
    <d v="2026-05-08T00:00:00"/>
    <n v="4"/>
    <x v="4"/>
    <n v="5"/>
    <n v="2026"/>
    <x v="1"/>
    <n v="8549.92"/>
    <x v="0"/>
    <m/>
    <d v="2025-09-19T00:00:00"/>
    <x v="0"/>
    <m/>
    <x v="15"/>
  </r>
  <r>
    <x v="2"/>
    <m/>
    <m/>
    <s v="30 days pta"/>
    <x v="0"/>
    <n v="5605.12"/>
    <m/>
    <n v="5605.12"/>
    <x v="5"/>
    <m/>
    <m/>
    <d v="2026-05-04T00:00:00"/>
    <d v="2026-05-05T00:00:00"/>
    <n v="1"/>
    <x v="4"/>
    <n v="5"/>
    <n v="2026"/>
    <x v="1"/>
    <n v="2700.79"/>
    <x v="0"/>
    <m/>
    <d v="2025-08-08T00:00:00"/>
    <x v="0"/>
    <m/>
    <x v="7"/>
  </r>
  <r>
    <x v="2"/>
    <m/>
    <m/>
    <s v="30 days pta"/>
    <x v="0"/>
    <n v="17020"/>
    <m/>
    <n v="17020"/>
    <x v="5"/>
    <m/>
    <m/>
    <d v="2026-05-04T00:00:00"/>
    <d v="2026-05-10T00:00:00"/>
    <n v="6"/>
    <x v="4"/>
    <n v="5"/>
    <n v="2026"/>
    <x v="1"/>
    <n v="8543.94"/>
    <x v="0"/>
    <m/>
    <d v="2025-11-03T00:00:00"/>
    <x v="0"/>
    <m/>
    <x v="28"/>
  </r>
  <r>
    <x v="2"/>
    <m/>
    <m/>
    <s v="30 days pta"/>
    <x v="0"/>
    <n v="11276"/>
    <m/>
    <n v="11276"/>
    <x v="5"/>
    <m/>
    <m/>
    <d v="2026-05-05T00:00:00"/>
    <d v="2026-05-09T00:00:00"/>
    <n v="4"/>
    <x v="4"/>
    <n v="5"/>
    <n v="2026"/>
    <x v="1"/>
    <n v="5252.52"/>
    <x v="0"/>
    <m/>
    <d v="2025-11-03T00:00:00"/>
    <x v="0"/>
    <m/>
    <x v="24"/>
  </r>
  <r>
    <x v="2"/>
    <m/>
    <m/>
    <s v="90 days pta"/>
    <x v="0"/>
    <m/>
    <m/>
    <m/>
    <x v="1"/>
    <m/>
    <m/>
    <d v="2026-05-06T00:00:00"/>
    <d v="2026-05-08T00:00:00"/>
    <n v="2"/>
    <x v="4"/>
    <n v="5"/>
    <n v="2026"/>
    <x v="0"/>
    <n v="-1144.68"/>
    <x v="0"/>
    <m/>
    <d v="2025-10-23T00:00:00"/>
    <x v="0"/>
    <m/>
    <x v="1"/>
  </r>
  <r>
    <x v="2"/>
    <m/>
    <m/>
    <s v="30 days pta"/>
    <x v="0"/>
    <n v="18632.78"/>
    <m/>
    <n v="18632.78"/>
    <x v="5"/>
    <m/>
    <m/>
    <d v="2026-05-07T00:00:00"/>
    <d v="2026-05-13T00:00:00"/>
    <n v="6"/>
    <x v="4"/>
    <n v="5"/>
    <n v="2026"/>
    <x v="1"/>
    <n v="9774.66"/>
    <x v="0"/>
    <m/>
    <d v="2025-11-26T00:00:00"/>
    <x v="0"/>
    <m/>
    <x v="15"/>
  </r>
  <r>
    <x v="2"/>
    <m/>
    <m/>
    <s v="30 days pta"/>
    <x v="0"/>
    <n v="15268.58"/>
    <m/>
    <n v="15268.58"/>
    <x v="5"/>
    <m/>
    <m/>
    <d v="2026-05-07T00:00:00"/>
    <d v="2026-05-11T00:00:00"/>
    <n v="4"/>
    <x v="4"/>
    <n v="5"/>
    <n v="2026"/>
    <x v="1"/>
    <n v="7910.64"/>
    <x v="0"/>
    <m/>
    <d v="2025-05-24T00:00:00"/>
    <x v="0"/>
    <m/>
    <x v="31"/>
  </r>
  <r>
    <x v="2"/>
    <m/>
    <m/>
    <s v="30 days pta"/>
    <x v="0"/>
    <n v="4885.7"/>
    <n v="4885.7"/>
    <m/>
    <x v="0"/>
    <m/>
    <m/>
    <d v="2026-05-08T00:00:00"/>
    <d v="2026-05-10T00:00:00"/>
    <n v="2"/>
    <x v="4"/>
    <n v="5"/>
    <n v="2026"/>
    <x v="0"/>
    <n v="1814.48"/>
    <x v="0"/>
    <m/>
    <d v="2025-10-13T00:00:00"/>
    <x v="0"/>
    <m/>
    <x v="4"/>
  </r>
  <r>
    <x v="2"/>
    <m/>
    <m/>
    <s v="30 days pta"/>
    <x v="0"/>
    <n v="13130"/>
    <m/>
    <n v="13130"/>
    <x v="5"/>
    <m/>
    <m/>
    <d v="2026-05-15T00:00:00"/>
    <d v="2026-05-20T00:00:00"/>
    <n v="5"/>
    <x v="4"/>
    <n v="5"/>
    <n v="2026"/>
    <x v="1"/>
    <n v="5213.7"/>
    <x v="0"/>
    <m/>
    <d v="2025-08-22T00:00:00"/>
    <x v="0"/>
    <m/>
    <x v="2"/>
  </r>
  <r>
    <x v="2"/>
    <m/>
    <m/>
    <s v="30 days pta"/>
    <x v="0"/>
    <n v="30976.94"/>
    <m/>
    <n v="30976.94"/>
    <x v="5"/>
    <m/>
    <m/>
    <d v="2026-05-18T00:00:00"/>
    <d v="2026-05-23T00:00:00"/>
    <n v="5"/>
    <x v="4"/>
    <n v="5"/>
    <n v="2026"/>
    <x v="1"/>
    <n v="15187.65"/>
    <x v="0"/>
    <m/>
    <d v="2025-12-10T00:00:00"/>
    <x v="0"/>
    <m/>
    <x v="16"/>
  </r>
  <r>
    <x v="2"/>
    <m/>
    <m/>
    <s v="30 days pta"/>
    <x v="0"/>
    <n v="62881"/>
    <n v="18660.25"/>
    <n v="44220.75"/>
    <x v="4"/>
    <m/>
    <m/>
    <d v="2026-05-20T00:00:00"/>
    <d v="2026-05-24T00:00:00"/>
    <n v="4"/>
    <x v="4"/>
    <n v="5"/>
    <n v="2026"/>
    <x v="1"/>
    <n v="33531.480000000003"/>
    <x v="0"/>
    <m/>
    <d v="2025-03-08T00:00:00"/>
    <x v="0"/>
    <m/>
    <x v="15"/>
  </r>
  <r>
    <x v="2"/>
    <m/>
    <m/>
    <s v="30 days pta"/>
    <x v="0"/>
    <n v="17378"/>
    <m/>
    <n v="17378"/>
    <x v="5"/>
    <m/>
    <m/>
    <d v="2026-05-22T00:00:00"/>
    <d v="2026-05-27T00:00:00"/>
    <n v="5"/>
    <x v="4"/>
    <n v="5"/>
    <n v="2026"/>
    <x v="1"/>
    <n v="9316.1"/>
    <x v="0"/>
    <m/>
    <d v="2025-12-06T00:00:00"/>
    <x v="0"/>
    <m/>
    <x v="1"/>
  </r>
  <r>
    <x v="2"/>
    <m/>
    <m/>
    <s v="30 days pta"/>
    <x v="0"/>
    <n v="28675.52"/>
    <m/>
    <n v="28675.52"/>
    <x v="5"/>
    <m/>
    <m/>
    <d v="2026-05-24T00:00:00"/>
    <d v="2026-05-29T00:00:00"/>
    <n v="5"/>
    <x v="4"/>
    <n v="5"/>
    <n v="2026"/>
    <x v="1"/>
    <n v="13992.3"/>
    <x v="0"/>
    <m/>
    <d v="2025-09-18T00:00:00"/>
    <x v="0"/>
    <m/>
    <x v="15"/>
  </r>
  <r>
    <x v="2"/>
    <m/>
    <m/>
    <s v="30 days pta"/>
    <x v="0"/>
    <n v="0"/>
    <m/>
    <n v="0"/>
    <x v="1"/>
    <m/>
    <m/>
    <d v="2026-05-26T00:00:00"/>
    <d v="2026-05-29T00:00:00"/>
    <n v="3"/>
    <x v="4"/>
    <n v="5"/>
    <n v="2026"/>
    <x v="0"/>
    <n v="0"/>
    <x v="0"/>
    <m/>
    <d v="2025-11-26T00:00:00"/>
    <x v="0"/>
    <m/>
    <x v="2"/>
  </r>
  <r>
    <x v="2"/>
    <m/>
    <m/>
    <s v="30 days pta"/>
    <x v="0"/>
    <n v="11190"/>
    <m/>
    <n v="11190"/>
    <x v="5"/>
    <m/>
    <m/>
    <d v="2026-05-30T00:00:00"/>
    <d v="2026-06-03T00:00:00"/>
    <n v="4"/>
    <x v="4"/>
    <n v="5"/>
    <n v="2026"/>
    <x v="1"/>
    <n v="5923.84"/>
    <x v="0"/>
    <m/>
    <d v="2025-11-28T00:00:00"/>
    <x v="0"/>
    <m/>
    <x v="7"/>
  </r>
  <r>
    <x v="2"/>
    <m/>
    <m/>
    <s v="30 days pta"/>
    <x v="0"/>
    <n v="76290"/>
    <m/>
    <n v="76290"/>
    <x v="5"/>
    <m/>
    <m/>
    <d v="2026-05-31T00:00:00"/>
    <d v="2026-06-06T00:00:00"/>
    <n v="6"/>
    <x v="4"/>
    <n v="5"/>
    <n v="2026"/>
    <x v="1"/>
    <n v="26068.32"/>
    <x v="0"/>
    <m/>
    <d v="2025-05-13T00:00:00"/>
    <x v="0"/>
    <m/>
    <x v="1"/>
  </r>
  <r>
    <x v="2"/>
    <m/>
    <m/>
    <s v="30 days pta"/>
    <x v="0"/>
    <n v="13600.86"/>
    <m/>
    <n v="13600.86"/>
    <x v="3"/>
    <m/>
    <m/>
    <d v="2026-05-31T00:00:00"/>
    <d v="2026-06-02T00:00:00"/>
    <n v="2"/>
    <x v="4"/>
    <n v="5"/>
    <n v="2026"/>
    <x v="1"/>
    <n v="7689.92"/>
    <x v="0"/>
    <m/>
    <d v="2025-11-30T00:00:00"/>
    <x v="0"/>
    <m/>
    <x v="15"/>
  </r>
  <r>
    <x v="2"/>
    <m/>
    <m/>
    <s v="30 days pta"/>
    <x v="0"/>
    <n v="43868.5"/>
    <m/>
    <n v="43868.5"/>
    <x v="5"/>
    <m/>
    <m/>
    <d v="2026-06-01T00:00:00"/>
    <d v="2026-06-07T00:00:00"/>
    <n v="6"/>
    <x v="5"/>
    <n v="6"/>
    <n v="2026"/>
    <x v="1"/>
    <n v="29644.02"/>
    <x v="0"/>
    <m/>
    <d v="2025-06-30T00:00:00"/>
    <x v="0"/>
    <m/>
    <x v="35"/>
  </r>
  <r>
    <x v="2"/>
    <m/>
    <m/>
    <s v="30 days pta"/>
    <x v="0"/>
    <n v="20652"/>
    <m/>
    <n v="20652"/>
    <x v="5"/>
    <m/>
    <m/>
    <d v="2026-06-06T00:00:00"/>
    <d v="2026-06-14T00:00:00"/>
    <n v="8"/>
    <x v="5"/>
    <n v="6"/>
    <n v="2026"/>
    <x v="1"/>
    <n v="10505.04"/>
    <x v="0"/>
    <m/>
    <d v="2025-10-26T00:00:00"/>
    <x v="0"/>
    <m/>
    <x v="0"/>
  </r>
  <r>
    <x v="2"/>
    <m/>
    <m/>
    <s v="30 days pta"/>
    <x v="0"/>
    <n v="16640"/>
    <m/>
    <n v="16640"/>
    <x v="5"/>
    <m/>
    <m/>
    <d v="2026-06-09T00:00:00"/>
    <d v="2026-06-14T00:00:00"/>
    <n v="5"/>
    <x v="5"/>
    <n v="6"/>
    <n v="2026"/>
    <x v="1"/>
    <n v="8218.85"/>
    <x v="0"/>
    <m/>
    <d v="2025-11-04T00:00:00"/>
    <x v="0"/>
    <m/>
    <x v="15"/>
  </r>
  <r>
    <x v="2"/>
    <m/>
    <m/>
    <s v="30 days pta"/>
    <x v="0"/>
    <n v="8588.6200000000008"/>
    <m/>
    <n v="8588.6200000000008"/>
    <x v="5"/>
    <m/>
    <m/>
    <d v="2026-06-10T00:00:00"/>
    <d v="2026-06-14T00:00:00"/>
    <n v="4"/>
    <x v="5"/>
    <n v="6"/>
    <n v="2026"/>
    <x v="1"/>
    <n v="3556.44"/>
    <x v="0"/>
    <m/>
    <d v="2025-07-14T00:00:00"/>
    <x v="0"/>
    <m/>
    <x v="15"/>
  </r>
  <r>
    <x v="2"/>
    <m/>
    <m/>
    <s v="30 days pta"/>
    <x v="0"/>
    <n v="22948"/>
    <m/>
    <n v="22948"/>
    <x v="5"/>
    <m/>
    <m/>
    <d v="2026-06-10T00:00:00"/>
    <d v="2026-06-14T00:00:00"/>
    <n v="4"/>
    <x v="5"/>
    <n v="6"/>
    <n v="2026"/>
    <x v="1"/>
    <n v="0"/>
    <x v="0"/>
    <m/>
    <d v="2025-12-03T00:00:00"/>
    <x v="0"/>
    <m/>
    <x v="23"/>
  </r>
  <r>
    <x v="2"/>
    <m/>
    <m/>
    <s v="30 days pta"/>
    <x v="0"/>
    <n v="6738.34"/>
    <m/>
    <n v="6738.34"/>
    <x v="5"/>
    <m/>
    <m/>
    <d v="2026-06-14T00:00:00"/>
    <d v="2026-06-17T00:00:00"/>
    <n v="3"/>
    <x v="5"/>
    <n v="6"/>
    <n v="2026"/>
    <x v="1"/>
    <n v="2667.33"/>
    <x v="0"/>
    <m/>
    <d v="2025-08-08T00:00:00"/>
    <x v="0"/>
    <m/>
    <x v="15"/>
  </r>
  <r>
    <x v="2"/>
    <m/>
    <m/>
    <s v="30 days pta"/>
    <x v="0"/>
    <n v="15570"/>
    <m/>
    <n v="15570"/>
    <x v="5"/>
    <m/>
    <m/>
    <d v="2026-06-16T00:00:00"/>
    <d v="2026-06-21T00:00:00"/>
    <n v="5"/>
    <x v="5"/>
    <n v="6"/>
    <n v="2026"/>
    <x v="1"/>
    <n v="6814.7"/>
    <x v="0"/>
    <m/>
    <d v="2025-11-21T00:00:00"/>
    <x v="0"/>
    <m/>
    <x v="15"/>
  </r>
  <r>
    <x v="2"/>
    <m/>
    <m/>
    <s v="30 days pta"/>
    <x v="0"/>
    <n v="19454"/>
    <m/>
    <n v="19454"/>
    <x v="5"/>
    <m/>
    <m/>
    <d v="2026-06-16T00:00:00"/>
    <d v="2026-06-22T00:00:00"/>
    <n v="6"/>
    <x v="5"/>
    <n v="6"/>
    <n v="2026"/>
    <x v="1"/>
    <n v="12623.64"/>
    <x v="0"/>
    <m/>
    <d v="2025-11-22T00:00:00"/>
    <x v="0"/>
    <m/>
    <x v="15"/>
  </r>
  <r>
    <x v="2"/>
    <m/>
    <m/>
    <s v="30 days pta"/>
    <x v="0"/>
    <n v="77296"/>
    <m/>
    <n v="77296"/>
    <x v="5"/>
    <m/>
    <m/>
    <d v="2026-06-16T00:00:00"/>
    <d v="2026-06-22T00:00:00"/>
    <n v="6"/>
    <x v="5"/>
    <n v="6"/>
    <n v="2026"/>
    <x v="1"/>
    <n v="41208.78"/>
    <x v="0"/>
    <m/>
    <d v="2025-11-22T00:00:00"/>
    <x v="0"/>
    <m/>
    <x v="15"/>
  </r>
  <r>
    <x v="2"/>
    <m/>
    <m/>
    <s v="30 days pta"/>
    <x v="0"/>
    <m/>
    <m/>
    <m/>
    <x v="1"/>
    <m/>
    <m/>
    <d v="2026-06-26T00:00:00"/>
    <d v="2026-07-03T00:00:00"/>
    <n v="7"/>
    <x v="5"/>
    <n v="6"/>
    <n v="2026"/>
    <x v="0"/>
    <n v="0"/>
    <x v="0"/>
    <m/>
    <d v="2025-11-06T00:00:00"/>
    <x v="0"/>
    <m/>
    <x v="1"/>
  </r>
  <r>
    <x v="2"/>
    <m/>
    <m/>
    <s v="30 days pta"/>
    <x v="0"/>
    <n v="27081.200000000001"/>
    <m/>
    <n v="27081.200000000001"/>
    <x v="5"/>
    <m/>
    <m/>
    <d v="2026-06-27T00:00:00"/>
    <d v="2026-07-04T00:00:00"/>
    <n v="7"/>
    <x v="5"/>
    <n v="6"/>
    <n v="2026"/>
    <x v="1"/>
    <n v="0"/>
    <x v="0"/>
    <m/>
    <d v="2025-10-02T00:00:00"/>
    <x v="0"/>
    <m/>
    <x v="9"/>
  </r>
  <r>
    <x v="2"/>
    <m/>
    <m/>
    <s v="30 days pta"/>
    <x v="0"/>
    <n v="39507.199999999997"/>
    <n v="3128.64"/>
    <n v="36378.5"/>
    <x v="4"/>
    <m/>
    <m/>
    <d v="2026-06-27T00:00:00"/>
    <d v="2026-07-04T00:00:00"/>
    <n v="7"/>
    <x v="5"/>
    <n v="6"/>
    <n v="2026"/>
    <x v="1"/>
    <n v="21843.15"/>
    <x v="0"/>
    <m/>
    <d v="2025-02-12T00:00:00"/>
    <x v="0"/>
    <m/>
    <x v="31"/>
  </r>
  <r>
    <x v="2"/>
    <m/>
    <m/>
    <s v="30 days pta"/>
    <x v="0"/>
    <n v="32484.54"/>
    <m/>
    <n v="32484.54"/>
    <x v="3"/>
    <m/>
    <m/>
    <d v="2026-06-28T00:00:00"/>
    <d v="2026-07-04T00:00:00"/>
    <n v="6"/>
    <x v="5"/>
    <n v="6"/>
    <n v="2026"/>
    <x v="1"/>
    <n v="18324.599999999999"/>
    <x v="0"/>
    <m/>
    <d v="2025-08-30T00:00:00"/>
    <x v="0"/>
    <m/>
    <x v="9"/>
  </r>
  <r>
    <x v="2"/>
    <m/>
    <m/>
    <s v="30 days pta"/>
    <x v="0"/>
    <n v="11527"/>
    <m/>
    <n v="11527"/>
    <x v="5"/>
    <m/>
    <m/>
    <d v="2026-06-29T00:00:00"/>
    <d v="2026-07-03T00:00:00"/>
    <n v="4"/>
    <x v="5"/>
    <n v="6"/>
    <n v="2026"/>
    <x v="1"/>
    <n v="5166.3599999999997"/>
    <x v="0"/>
    <m/>
    <d v="2025-11-01T00:00:00"/>
    <x v="0"/>
    <m/>
    <x v="23"/>
  </r>
  <r>
    <x v="2"/>
    <m/>
    <m/>
    <s v="30 days pta"/>
    <x v="0"/>
    <n v="15330"/>
    <m/>
    <n v="15330"/>
    <x v="5"/>
    <m/>
    <m/>
    <d v="2026-07-01T00:00:00"/>
    <d v="2026-07-05T00:00:00"/>
    <n v="4"/>
    <x v="6"/>
    <n v="7"/>
    <n v="2026"/>
    <x v="1"/>
    <n v="7210"/>
    <x v="0"/>
    <m/>
    <d v="2025-12-04T00:00:00"/>
    <x v="0"/>
    <m/>
    <x v="31"/>
  </r>
  <r>
    <x v="2"/>
    <m/>
    <m/>
    <s v="30 days pta"/>
    <x v="0"/>
    <n v="166491.18"/>
    <n v="55204.34"/>
    <n v="111286.84"/>
    <x v="4"/>
    <m/>
    <m/>
    <d v="2026-07-04T00:00:00"/>
    <d v="2026-07-11T00:00:00"/>
    <n v="7"/>
    <x v="6"/>
    <n v="7"/>
    <n v="2026"/>
    <x v="1"/>
    <n v="62663.44"/>
    <x v="0"/>
    <m/>
    <d v="2025-09-19T00:00:00"/>
    <x v="0"/>
    <m/>
    <x v="15"/>
  </r>
  <r>
    <x v="2"/>
    <m/>
    <m/>
    <s v="30 days pta"/>
    <x v="0"/>
    <n v="54326.16"/>
    <m/>
    <n v="54326.16"/>
    <x v="5"/>
    <m/>
    <m/>
    <d v="2026-07-04T00:00:00"/>
    <d v="2026-07-11T00:00:00"/>
    <n v="7"/>
    <x v="6"/>
    <n v="7"/>
    <n v="2026"/>
    <x v="1"/>
    <n v="21826.07"/>
    <x v="0"/>
    <m/>
    <d v="2025-09-19T00:00:00"/>
    <x v="0"/>
    <m/>
    <x v="15"/>
  </r>
  <r>
    <x v="2"/>
    <m/>
    <m/>
    <s v="30 days pta"/>
    <x v="0"/>
    <n v="29690"/>
    <n v="29690"/>
    <m/>
    <x v="0"/>
    <m/>
    <m/>
    <d v="2026-07-05T00:00:00"/>
    <d v="2026-07-10T00:00:00"/>
    <n v="5"/>
    <x v="6"/>
    <n v="7"/>
    <n v="2026"/>
    <x v="0"/>
    <n v="9021"/>
    <x v="0"/>
    <m/>
    <d v="2025-07-01T00:00:00"/>
    <x v="0"/>
    <m/>
    <x v="18"/>
  </r>
  <r>
    <x v="2"/>
    <m/>
    <m/>
    <s v="30 days pta"/>
    <x v="0"/>
    <n v="15618"/>
    <m/>
    <n v="15618"/>
    <x v="5"/>
    <m/>
    <m/>
    <d v="2026-07-05T00:00:00"/>
    <d v="2026-07-13T00:00:00"/>
    <n v="8"/>
    <x v="6"/>
    <n v="7"/>
    <n v="2026"/>
    <x v="1"/>
    <n v="3822.88"/>
    <x v="0"/>
    <m/>
    <d v="2025-11-27T00:00:00"/>
    <x v="0"/>
    <m/>
    <x v="7"/>
  </r>
  <r>
    <x v="2"/>
    <m/>
    <m/>
    <s v="30 days pta"/>
    <x v="0"/>
    <n v="32389.599999999999"/>
    <m/>
    <n v="32389.599999999999"/>
    <x v="5"/>
    <m/>
    <m/>
    <d v="2026-07-11T00:00:00"/>
    <d v="2026-07-17T00:00:00"/>
    <n v="6"/>
    <x v="6"/>
    <n v="7"/>
    <n v="2026"/>
    <x v="1"/>
    <n v="11115.36"/>
    <x v="0"/>
    <m/>
    <d v="2025-08-10T00:00:00"/>
    <x v="0"/>
    <m/>
    <x v="15"/>
  </r>
  <r>
    <x v="2"/>
    <m/>
    <m/>
    <s v="30 days pta"/>
    <x v="0"/>
    <n v="13912"/>
    <m/>
    <n v="13912"/>
    <x v="5"/>
    <m/>
    <m/>
    <d v="2026-07-12T00:00:00"/>
    <d v="2026-07-16T00:00:00"/>
    <n v="4"/>
    <x v="6"/>
    <n v="7"/>
    <n v="2026"/>
    <x v="1"/>
    <n v="5898.96"/>
    <x v="0"/>
    <m/>
    <d v="2025-11-18T00:00:00"/>
    <x v="0"/>
    <m/>
    <x v="23"/>
  </r>
  <r>
    <x v="2"/>
    <m/>
    <m/>
    <s v="30 days pta"/>
    <x v="0"/>
    <n v="16996.98"/>
    <m/>
    <n v="16996.98"/>
    <x v="5"/>
    <m/>
    <m/>
    <d v="2026-07-13T00:00:00"/>
    <d v="2026-07-18T00:00:00"/>
    <n v="5"/>
    <x v="6"/>
    <n v="7"/>
    <n v="2026"/>
    <x v="1"/>
    <n v="7903.7"/>
    <x v="0"/>
    <m/>
    <d v="2025-05-24T00:00:00"/>
    <x v="0"/>
    <m/>
    <x v="1"/>
  </r>
  <r>
    <x v="2"/>
    <m/>
    <m/>
    <s v="30 days pta"/>
    <x v="0"/>
    <n v="31725.22"/>
    <m/>
    <n v="31725.22"/>
    <x v="5"/>
    <m/>
    <m/>
    <d v="2026-07-13T00:00:00"/>
    <d v="2026-07-22T00:00:00"/>
    <n v="9"/>
    <x v="6"/>
    <n v="7"/>
    <n v="2026"/>
    <x v="1"/>
    <n v="14265.27"/>
    <x v="0"/>
    <m/>
    <d v="2025-05-23T00:00:00"/>
    <x v="0"/>
    <m/>
    <x v="10"/>
  </r>
  <r>
    <x v="2"/>
    <m/>
    <m/>
    <s v="30 days pta"/>
    <x v="0"/>
    <n v="35389.949999999997"/>
    <m/>
    <n v="35389.949999999997"/>
    <x v="5"/>
    <m/>
    <m/>
    <d v="2026-07-16T00:00:00"/>
    <d v="2026-07-23T00:00:00"/>
    <n v="7"/>
    <x v="6"/>
    <n v="7"/>
    <n v="2026"/>
    <x v="1"/>
    <n v="17119.900000000001"/>
    <x v="0"/>
    <m/>
    <d v="2025-10-15T00:00:00"/>
    <x v="0"/>
    <m/>
    <x v="16"/>
  </r>
  <r>
    <x v="2"/>
    <m/>
    <m/>
    <s v="30 days pta"/>
    <x v="0"/>
    <n v="14796.48"/>
    <m/>
    <n v="14796.48"/>
    <x v="5"/>
    <m/>
    <m/>
    <d v="2026-07-19T00:00:00"/>
    <d v="2026-07-24T00:00:00"/>
    <n v="5"/>
    <x v="6"/>
    <n v="7"/>
    <n v="2026"/>
    <x v="1"/>
    <n v="8796.15"/>
    <x v="0"/>
    <m/>
    <d v="2025-08-09T00:00:00"/>
    <x v="0"/>
    <m/>
    <x v="15"/>
  </r>
  <r>
    <x v="2"/>
    <m/>
    <m/>
    <s v="30 days pta"/>
    <x v="0"/>
    <n v="18815.95"/>
    <m/>
    <n v="18815.95"/>
    <x v="5"/>
    <m/>
    <m/>
    <d v="2026-07-20T00:00:00"/>
    <d v="2026-07-25T00:00:00"/>
    <n v="5"/>
    <x v="6"/>
    <n v="7"/>
    <n v="2026"/>
    <x v="1"/>
    <n v="10703.55"/>
    <x v="0"/>
    <m/>
    <d v="2025-09-09T00:00:00"/>
    <x v="0"/>
    <m/>
    <x v="5"/>
  </r>
  <r>
    <x v="2"/>
    <m/>
    <m/>
    <s v="30 days pta"/>
    <x v="0"/>
    <n v="22656"/>
    <m/>
    <n v="22656"/>
    <x v="5"/>
    <m/>
    <m/>
    <d v="2026-07-22T00:00:00"/>
    <d v="2026-07-30T00:00:00"/>
    <n v="8"/>
    <x v="6"/>
    <n v="7"/>
    <n v="2026"/>
    <x v="1"/>
    <n v="11300.4"/>
    <x v="0"/>
    <m/>
    <d v="2025-12-01T00:00:00"/>
    <x v="0"/>
    <m/>
    <x v="15"/>
  </r>
  <r>
    <x v="2"/>
    <m/>
    <m/>
    <s v="30 days pta"/>
    <x v="0"/>
    <n v="34859.949999999997"/>
    <m/>
    <n v="34859.949999999997"/>
    <x v="5"/>
    <m/>
    <m/>
    <d v="2026-07-25T00:00:00"/>
    <d v="2026-07-30T00:00:00"/>
    <n v="5"/>
    <x v="6"/>
    <n v="7"/>
    <n v="2026"/>
    <x v="1"/>
    <n v="14766.45"/>
    <x v="0"/>
    <m/>
    <d v="2025-11-29T00:00:00"/>
    <x v="0"/>
    <m/>
    <x v="15"/>
  </r>
  <r>
    <x v="2"/>
    <m/>
    <m/>
    <s v="30 days pta"/>
    <x v="0"/>
    <n v="22006.6"/>
    <m/>
    <n v="22006.6"/>
    <x v="5"/>
    <m/>
    <m/>
    <d v="2026-07-30T00:00:00"/>
    <d v="2026-08-06T00:00:00"/>
    <n v="7"/>
    <x v="6"/>
    <n v="7"/>
    <n v="2026"/>
    <x v="1"/>
    <n v="8738.24"/>
    <x v="0"/>
    <m/>
    <d v="2025-09-05T00:00:00"/>
    <x v="0"/>
    <m/>
    <x v="29"/>
  </r>
  <r>
    <x v="2"/>
    <m/>
    <m/>
    <s v="30 days pta"/>
    <x v="0"/>
    <n v="12694"/>
    <m/>
    <n v="12694"/>
    <x v="5"/>
    <m/>
    <m/>
    <d v="2026-07-31T00:00:00"/>
    <d v="2026-08-04T00:00:00"/>
    <n v="4"/>
    <x v="6"/>
    <n v="7"/>
    <n v="2026"/>
    <x v="1"/>
    <n v="6573.44"/>
    <x v="0"/>
    <m/>
    <d v="2025-09-18T00:00:00"/>
    <x v="0"/>
    <m/>
    <x v="8"/>
  </r>
  <r>
    <x v="2"/>
    <m/>
    <m/>
    <s v="30 days pta"/>
    <x v="0"/>
    <n v="11555.6"/>
    <m/>
    <n v="11555.6"/>
    <x v="5"/>
    <m/>
    <m/>
    <d v="2026-08-01T00:00:00"/>
    <d v="2026-08-04T00:00:00"/>
    <n v="3"/>
    <x v="7"/>
    <n v="8"/>
    <n v="2026"/>
    <x v="1"/>
    <n v="5174.82"/>
    <x v="0"/>
    <m/>
    <d v="2025-09-26T00:00:00"/>
    <x v="0"/>
    <m/>
    <x v="27"/>
  </r>
  <r>
    <x v="2"/>
    <m/>
    <m/>
    <s v="30 days pta"/>
    <x v="0"/>
    <n v="16628"/>
    <m/>
    <n v="16628"/>
    <x v="5"/>
    <m/>
    <m/>
    <d v="2026-08-01T00:00:00"/>
    <d v="2026-08-08T00:00:00"/>
    <n v="7"/>
    <x v="7"/>
    <n v="8"/>
    <n v="2026"/>
    <x v="1"/>
    <n v="7886.55"/>
    <x v="0"/>
    <m/>
    <d v="2025-10-31T00:00:00"/>
    <x v="0"/>
    <m/>
    <x v="24"/>
  </r>
  <r>
    <x v="2"/>
    <m/>
    <m/>
    <s v="30 days pta"/>
    <x v="0"/>
    <n v="14240.04"/>
    <m/>
    <n v="14240.04"/>
    <x v="5"/>
    <m/>
    <m/>
    <d v="2026-08-01T00:00:00"/>
    <d v="2026-08-04T00:00:00"/>
    <n v="3"/>
    <x v="7"/>
    <n v="8"/>
    <n v="2026"/>
    <x v="1"/>
    <n v="8044.14"/>
    <x v="0"/>
    <m/>
    <d v="2025-11-30T00:00:00"/>
    <x v="0"/>
    <m/>
    <x v="15"/>
  </r>
  <r>
    <x v="2"/>
    <m/>
    <m/>
    <s v="30 days pta"/>
    <x v="0"/>
    <n v="12924.88"/>
    <m/>
    <n v="12924.88"/>
    <x v="5"/>
    <m/>
    <m/>
    <d v="2026-08-04T00:00:00"/>
    <d v="2026-08-08T00:00:00"/>
    <n v="4"/>
    <x v="7"/>
    <n v="8"/>
    <n v="2026"/>
    <x v="1"/>
    <n v="7208.68"/>
    <x v="0"/>
    <m/>
    <d v="2025-11-30T00:00:00"/>
    <x v="0"/>
    <m/>
    <x v="15"/>
  </r>
  <r>
    <x v="2"/>
    <m/>
    <m/>
    <s v="30 days pta"/>
    <x v="0"/>
    <n v="11942"/>
    <m/>
    <n v="11942"/>
    <x v="5"/>
    <m/>
    <m/>
    <d v="2026-08-05T00:00:00"/>
    <d v="2026-08-09T00:00:00"/>
    <n v="4"/>
    <x v="7"/>
    <n v="8"/>
    <n v="2026"/>
    <x v="1"/>
    <n v="4395.6000000000004"/>
    <x v="0"/>
    <m/>
    <d v="2025-11-22T00:00:00"/>
    <x v="0"/>
    <m/>
    <x v="23"/>
  </r>
  <r>
    <x v="2"/>
    <m/>
    <m/>
    <s v="30 days pta"/>
    <x v="0"/>
    <n v="38386.6"/>
    <m/>
    <n v="38386.6"/>
    <x v="5"/>
    <m/>
    <m/>
    <d v="2026-08-08T00:00:00"/>
    <d v="2026-08-15T00:00:00"/>
    <n v="7"/>
    <x v="7"/>
    <n v="8"/>
    <n v="2026"/>
    <x v="1"/>
    <n v="21238.28"/>
    <x v="0"/>
    <m/>
    <d v="2025-09-02T00:00:00"/>
    <x v="0"/>
    <m/>
    <x v="8"/>
  </r>
  <r>
    <x v="2"/>
    <m/>
    <m/>
    <s v="30 days pta"/>
    <x v="0"/>
    <n v="23745.439999999999"/>
    <m/>
    <n v="23745.439999999999"/>
    <x v="5"/>
    <m/>
    <m/>
    <d v="2026-08-11T00:00:00"/>
    <d v="2026-08-14T00:00:00"/>
    <n v="3"/>
    <x v="7"/>
    <n v="8"/>
    <n v="2026"/>
    <x v="1"/>
    <n v="14515.74"/>
    <x v="0"/>
    <m/>
    <d v="2025-11-08T00:00:00"/>
    <x v="0"/>
    <m/>
    <x v="15"/>
  </r>
  <r>
    <x v="2"/>
    <m/>
    <m/>
    <s v="30 days pta"/>
    <x v="0"/>
    <n v="43865.05"/>
    <m/>
    <n v="43865.05"/>
    <x v="5"/>
    <m/>
    <m/>
    <d v="2026-08-12T00:00:00"/>
    <d v="2026-08-16T00:00:00"/>
    <n v="4"/>
    <x v="7"/>
    <n v="8"/>
    <n v="2026"/>
    <x v="1"/>
    <n v="28985.08"/>
    <x v="0"/>
    <m/>
    <d v="2025-11-13T00:00:00"/>
    <x v="0"/>
    <m/>
    <x v="8"/>
  </r>
  <r>
    <x v="2"/>
    <m/>
    <m/>
    <s v="30 days pta"/>
    <x v="0"/>
    <n v="17165"/>
    <m/>
    <n v="17165"/>
    <x v="5"/>
    <m/>
    <m/>
    <d v="2026-08-14T00:00:00"/>
    <d v="2026-08-19T00:00:00"/>
    <n v="5"/>
    <x v="7"/>
    <n v="8"/>
    <n v="2026"/>
    <x v="1"/>
    <n v="6740.5"/>
    <x v="0"/>
    <m/>
    <d v="2025-10-05T00:00:00"/>
    <x v="0"/>
    <m/>
    <x v="1"/>
  </r>
  <r>
    <x v="2"/>
    <m/>
    <m/>
    <s v="30 days pta"/>
    <x v="0"/>
    <n v="12392.04"/>
    <m/>
    <n v="12392.04"/>
    <x v="5"/>
    <m/>
    <m/>
    <d v="2026-08-15T00:00:00"/>
    <d v="2026-08-19T00:00:00"/>
    <n v="4"/>
    <x v="7"/>
    <n v="8"/>
    <n v="2026"/>
    <x v="1"/>
    <n v="6394.24"/>
    <x v="0"/>
    <m/>
    <d v="2025-11-04T00:00:00"/>
    <x v="0"/>
    <m/>
    <x v="5"/>
  </r>
  <r>
    <x v="2"/>
    <m/>
    <m/>
    <s v="30 days pta"/>
    <x v="0"/>
    <n v="13679.36"/>
    <m/>
    <n v="13679.36"/>
    <x v="5"/>
    <m/>
    <m/>
    <d v="2026-08-18T00:00:00"/>
    <d v="2026-08-21T00:00:00"/>
    <n v="3"/>
    <x v="7"/>
    <n v="8"/>
    <n v="2026"/>
    <x v="1"/>
    <n v="8102.37"/>
    <x v="0"/>
    <m/>
    <d v="2025-10-08T00:00:00"/>
    <x v="0"/>
    <m/>
    <x v="9"/>
  </r>
  <r>
    <x v="2"/>
    <m/>
    <m/>
    <s v="30 days pta"/>
    <x v="0"/>
    <n v="17340"/>
    <m/>
    <n v="17340"/>
    <x v="5"/>
    <m/>
    <m/>
    <d v="2026-08-18T00:00:00"/>
    <d v="2026-08-22T00:00:00"/>
    <n v="4"/>
    <x v="7"/>
    <n v="8"/>
    <n v="2026"/>
    <x v="1"/>
    <n v="8236.2000000000007"/>
    <x v="0"/>
    <m/>
    <d v="2025-09-20T00:00:00"/>
    <x v="0"/>
    <m/>
    <x v="8"/>
  </r>
  <r>
    <x v="2"/>
    <m/>
    <m/>
    <s v="30 days pta"/>
    <x v="0"/>
    <m/>
    <m/>
    <m/>
    <x v="1"/>
    <m/>
    <m/>
    <d v="2026-08-26T00:00:00"/>
    <d v="2026-08-28T00:00:00"/>
    <n v="2"/>
    <x v="7"/>
    <n v="8"/>
    <n v="2026"/>
    <x v="0"/>
    <n v="0"/>
    <x v="0"/>
    <m/>
    <d v="2025-10-31T00:00:00"/>
    <x v="0"/>
    <m/>
    <x v="23"/>
  </r>
  <r>
    <x v="2"/>
    <m/>
    <m/>
    <s v="30 days pta"/>
    <x v="0"/>
    <n v="21835.24"/>
    <m/>
    <n v="21835.24"/>
    <x v="5"/>
    <m/>
    <m/>
    <d v="2026-08-30T00:00:00"/>
    <d v="2026-09-02T00:00:00"/>
    <n v="3"/>
    <x v="7"/>
    <n v="8"/>
    <n v="2026"/>
    <x v="1"/>
    <n v="12940.47"/>
    <x v="0"/>
    <m/>
    <d v="2024-10-14T00:00:00"/>
    <x v="0"/>
    <m/>
    <x v="41"/>
  </r>
  <r>
    <x v="2"/>
    <m/>
    <m/>
    <s v="30 days pta"/>
    <x v="0"/>
    <n v="8340.5400000000009"/>
    <m/>
    <n v="8340.5400000000009"/>
    <x v="5"/>
    <m/>
    <m/>
    <d v="2026-09-05T00:00:00"/>
    <d v="2026-09-08T00:00:00"/>
    <n v="3"/>
    <x v="8"/>
    <n v="9"/>
    <n v="2026"/>
    <x v="1"/>
    <n v="4489.1099999999997"/>
    <x v="0"/>
    <m/>
    <d v="2025-03-18T00:00:00"/>
    <x v="0"/>
    <m/>
    <x v="1"/>
  </r>
  <r>
    <x v="2"/>
    <m/>
    <m/>
    <s v="30 days pta"/>
    <x v="0"/>
    <n v="21113.599999999999"/>
    <m/>
    <n v="21113.599999999999"/>
    <x v="5"/>
    <m/>
    <m/>
    <d v="2026-09-07T00:00:00"/>
    <d v="2026-09-14T00:00:00"/>
    <n v="7"/>
    <x v="8"/>
    <n v="9"/>
    <n v="2026"/>
    <x v="1"/>
    <n v="10634.61"/>
    <x v="0"/>
    <m/>
    <d v="2025-09-14T00:00:00"/>
    <x v="0"/>
    <m/>
    <x v="1"/>
  </r>
  <r>
    <x v="2"/>
    <m/>
    <m/>
    <s v="30 days pta"/>
    <x v="0"/>
    <n v="42836"/>
    <m/>
    <n v="42836"/>
    <x v="5"/>
    <m/>
    <m/>
    <d v="2026-09-09T00:00:00"/>
    <d v="2026-09-18T00:00:00"/>
    <n v="9"/>
    <x v="8"/>
    <n v="9"/>
    <n v="2026"/>
    <x v="1"/>
    <n v="15713.28"/>
    <x v="0"/>
    <m/>
    <d v="2025-11-11T00:00:00"/>
    <x v="0"/>
    <m/>
    <x v="1"/>
  </r>
  <r>
    <x v="2"/>
    <m/>
    <m/>
    <s v="30 days pta"/>
    <x v="0"/>
    <m/>
    <m/>
    <m/>
    <x v="1"/>
    <m/>
    <m/>
    <d v="2026-09-20T00:00:00"/>
    <d v="2026-09-22T00:00:00"/>
    <n v="2"/>
    <x v="8"/>
    <n v="9"/>
    <n v="2026"/>
    <x v="0"/>
    <n v="0"/>
    <x v="0"/>
    <m/>
    <d v="2025-09-10T00:00:00"/>
    <x v="0"/>
    <m/>
    <x v="31"/>
  </r>
  <r>
    <x v="2"/>
    <m/>
    <m/>
    <s v="30 days pta"/>
    <x v="0"/>
    <n v="14182.82"/>
    <m/>
    <n v="14182.82"/>
    <x v="5"/>
    <m/>
    <m/>
    <d v="2026-09-23T00:00:00"/>
    <d v="2026-09-27T00:00:00"/>
    <n v="4"/>
    <x v="8"/>
    <n v="9"/>
    <n v="2026"/>
    <x v="1"/>
    <n v="7082.04"/>
    <x v="0"/>
    <m/>
    <d v="2025-08-24T00:00:00"/>
    <x v="0"/>
    <m/>
    <x v="31"/>
  </r>
  <r>
    <x v="2"/>
    <m/>
    <m/>
    <s v="30 days pta"/>
    <x v="0"/>
    <n v="12571.45"/>
    <m/>
    <n v="12571.45"/>
    <x v="5"/>
    <m/>
    <m/>
    <d v="2026-09-28T00:00:00"/>
    <d v="2026-10-02T00:00:00"/>
    <n v="4"/>
    <x v="8"/>
    <n v="9"/>
    <n v="2026"/>
    <x v="1"/>
    <n v="6147.32"/>
    <x v="0"/>
    <m/>
    <d v="2025-10-23T00:00:00"/>
    <x v="0"/>
    <m/>
    <x v="39"/>
  </r>
  <r>
    <x v="2"/>
    <m/>
    <m/>
    <s v="30 days pta"/>
    <x v="0"/>
    <n v="16549.5"/>
    <m/>
    <n v="16549.5"/>
    <x v="5"/>
    <m/>
    <m/>
    <d v="2026-09-30T00:00:00"/>
    <d v="2026-10-04T00:00:00"/>
    <n v="4"/>
    <x v="8"/>
    <n v="9"/>
    <n v="2026"/>
    <x v="1"/>
    <n v="5105.3"/>
    <x v="0"/>
    <m/>
    <d v="2025-12-04T00:00:00"/>
    <x v="0"/>
    <m/>
    <x v="23"/>
  </r>
  <r>
    <x v="2"/>
    <m/>
    <m/>
    <s v="30 days pta"/>
    <x v="0"/>
    <m/>
    <m/>
    <m/>
    <x v="2"/>
    <m/>
    <m/>
    <d v="2026-10-17T00:00:00"/>
    <d v="2026-10-24T00:00:00"/>
    <n v="7"/>
    <x v="9"/>
    <n v="10"/>
    <n v="2026"/>
    <x v="0"/>
    <n v="33912.199999999997"/>
    <x v="0"/>
    <m/>
    <d v="2025-12-05T00:00:00"/>
    <x v="0"/>
    <m/>
    <x v="1"/>
  </r>
  <r>
    <x v="2"/>
    <m/>
    <m/>
    <s v="30 days pta"/>
    <x v="0"/>
    <n v="104658.73"/>
    <n v="28195.99"/>
    <n v="76462.289999999994"/>
    <x v="4"/>
    <m/>
    <m/>
    <d v="2026-10-17T00:00:00"/>
    <d v="2026-10-29T00:00:00"/>
    <n v="12"/>
    <x v="9"/>
    <n v="10"/>
    <n v="2026"/>
    <x v="1"/>
    <n v="58962.36"/>
    <x v="0"/>
    <m/>
    <d v="2025-10-29T00:00:00"/>
    <x v="0"/>
    <m/>
    <x v="1"/>
  </r>
  <r>
    <x v="2"/>
    <m/>
    <m/>
    <s v="30 days pta"/>
    <x v="0"/>
    <n v="42422.559999999998"/>
    <m/>
    <n v="42422.559999999998"/>
    <x v="5"/>
    <m/>
    <m/>
    <d v="2026-10-17T00:00:00"/>
    <d v="2026-10-28T00:00:00"/>
    <n v="11"/>
    <x v="9"/>
    <n v="10"/>
    <n v="2026"/>
    <x v="1"/>
    <n v="14017.08"/>
    <x v="0"/>
    <m/>
    <d v="2025-09-18T00:00:00"/>
    <x v="0"/>
    <m/>
    <x v="1"/>
  </r>
  <r>
    <x v="2"/>
    <m/>
    <m/>
    <s v="30 days pta"/>
    <x v="0"/>
    <n v="45632.56"/>
    <m/>
    <n v="45632.56"/>
    <x v="5"/>
    <m/>
    <m/>
    <d v="2026-10-19T00:00:00"/>
    <d v="2026-10-23T00:00:00"/>
    <n v="4"/>
    <x v="9"/>
    <n v="10"/>
    <n v="2026"/>
    <x v="1"/>
    <n v="25484.240000000002"/>
    <x v="0"/>
    <m/>
    <d v="2025-08-01T00:00:00"/>
    <x v="0"/>
    <m/>
    <x v="51"/>
  </r>
  <r>
    <x v="2"/>
    <m/>
    <m/>
    <s v="30 days pta"/>
    <x v="0"/>
    <n v="12557.84"/>
    <m/>
    <n v="12557.84"/>
    <x v="5"/>
    <m/>
    <m/>
    <d v="2026-10-21T00:00:00"/>
    <d v="2026-10-25T00:00:00"/>
    <n v="4"/>
    <x v="9"/>
    <n v="10"/>
    <n v="2026"/>
    <x v="1"/>
    <n v="7663.2"/>
    <x v="0"/>
    <m/>
    <d v="2025-11-11T00:00:00"/>
    <x v="0"/>
    <m/>
    <x v="5"/>
  </r>
  <r>
    <x v="2"/>
    <m/>
    <m/>
    <s v="30 days pta"/>
    <x v="0"/>
    <n v="16358.82"/>
    <n v="4089.7"/>
    <n v="12269.12"/>
    <x v="4"/>
    <m/>
    <m/>
    <d v="2026-10-24T00:00:00"/>
    <d v="2026-10-31T00:00:00"/>
    <n v="7"/>
    <x v="9"/>
    <n v="10"/>
    <n v="2026"/>
    <x v="1"/>
    <n v="9732.0300000000007"/>
    <x v="0"/>
    <m/>
    <d v="2025-12-06T00:00:00"/>
    <x v="0"/>
    <m/>
    <x v="7"/>
  </r>
  <r>
    <x v="2"/>
    <m/>
    <m/>
    <s v="30 days pta"/>
    <x v="0"/>
    <n v="25766"/>
    <m/>
    <n v="25766"/>
    <x v="5"/>
    <m/>
    <m/>
    <d v="2026-10-24T00:00:00"/>
    <d v="2026-10-31T00:00:00"/>
    <n v="7"/>
    <x v="9"/>
    <n v="10"/>
    <n v="2026"/>
    <x v="1"/>
    <n v="0"/>
    <x v="0"/>
    <m/>
    <d v="2025-11-28T00:00:00"/>
    <x v="0"/>
    <m/>
    <x v="14"/>
  </r>
  <r>
    <x v="2"/>
    <m/>
    <m/>
    <s v="30 days pta"/>
    <x v="0"/>
    <n v="16820.98"/>
    <m/>
    <n v="16820.98"/>
    <x v="5"/>
    <m/>
    <m/>
    <d v="2026-10-25T00:00:00"/>
    <d v="2026-11-01T00:00:00"/>
    <n v="7"/>
    <x v="9"/>
    <n v="10"/>
    <n v="2026"/>
    <x v="1"/>
    <n v="10755.99"/>
    <x v="0"/>
    <m/>
    <d v="2025-11-18T00:00:00"/>
    <x v="0"/>
    <m/>
    <x v="31"/>
  </r>
  <r>
    <x v="2"/>
    <m/>
    <m/>
    <s v="30 days pta"/>
    <x v="0"/>
    <n v="19200"/>
    <m/>
    <n v="19200"/>
    <x v="5"/>
    <m/>
    <m/>
    <d v="2026-10-25T00:00:00"/>
    <d v="2026-11-01T00:00:00"/>
    <n v="7"/>
    <x v="9"/>
    <n v="10"/>
    <n v="2026"/>
    <x v="1"/>
    <n v="6552.42"/>
    <x v="0"/>
    <m/>
    <d v="2025-01-22T00:00:00"/>
    <x v="0"/>
    <m/>
    <x v="1"/>
  </r>
  <r>
    <x v="2"/>
    <m/>
    <m/>
    <s v="30 days pta"/>
    <x v="0"/>
    <n v="11451.6"/>
    <n v="2862.9"/>
    <n v="8588.68"/>
    <x v="4"/>
    <m/>
    <m/>
    <d v="2026-11-04T00:00:00"/>
    <d v="2026-11-07T00:00:00"/>
    <n v="3"/>
    <x v="10"/>
    <n v="11"/>
    <n v="2026"/>
    <x v="1"/>
    <n v="7394.37"/>
    <x v="0"/>
    <m/>
    <d v="2025-11-09T00:00:00"/>
    <x v="0"/>
    <m/>
    <x v="15"/>
  </r>
  <r>
    <x v="2"/>
    <m/>
    <m/>
    <s v="30 days pta"/>
    <x v="0"/>
    <n v="71205.740000000005"/>
    <n v="17801.43"/>
    <n v="53404.31"/>
    <x v="4"/>
    <m/>
    <m/>
    <d v="2026-11-07T00:00:00"/>
    <d v="2026-11-21T00:00:00"/>
    <n v="14"/>
    <x v="10"/>
    <n v="11"/>
    <n v="2026"/>
    <x v="1"/>
    <n v="24000.06"/>
    <x v="0"/>
    <m/>
    <d v="2025-11-12T00:00:00"/>
    <x v="0"/>
    <m/>
    <x v="15"/>
  </r>
  <r>
    <x v="2"/>
    <m/>
    <m/>
    <s v="30 days pta"/>
    <x v="0"/>
    <n v="23935.16"/>
    <n v="5983.79"/>
    <n v="17951.37"/>
    <x v="4"/>
    <m/>
    <m/>
    <d v="2026-11-13T00:00:00"/>
    <d v="2026-11-20T00:00:00"/>
    <n v="7"/>
    <x v="10"/>
    <n v="11"/>
    <n v="2026"/>
    <x v="1"/>
    <n v="15458.73"/>
    <x v="0"/>
    <m/>
    <d v="2025-11-22T00:00:00"/>
    <x v="0"/>
    <m/>
    <x v="1"/>
  </r>
  <r>
    <x v="2"/>
    <m/>
    <m/>
    <s v="30 days pta"/>
    <x v="0"/>
    <n v="93256.57"/>
    <n v="23314.14"/>
    <n v="69942.53"/>
    <x v="4"/>
    <m/>
    <m/>
    <d v="2026-11-19T00:00:00"/>
    <d v="2026-11-28T00:00:00"/>
    <n v="9"/>
    <x v="10"/>
    <n v="11"/>
    <n v="2026"/>
    <x v="1"/>
    <n v="45808.56"/>
    <x v="0"/>
    <m/>
    <d v="2025-11-13T00:00:00"/>
    <x v="0"/>
    <m/>
    <x v="15"/>
  </r>
  <r>
    <x v="2"/>
    <m/>
    <m/>
    <s v="30 days pta"/>
    <x v="0"/>
    <n v="20473.68"/>
    <n v="20473.68"/>
    <m/>
    <x v="0"/>
    <m/>
    <m/>
    <d v="2026-11-22T00:00:00"/>
    <d v="2026-11-26T00:00:00"/>
    <n v="4"/>
    <x v="10"/>
    <n v="11"/>
    <n v="2026"/>
    <x v="0"/>
    <n v="9532.7199999999993"/>
    <x v="0"/>
    <m/>
    <d v="2025-07-16T00:00:00"/>
    <x v="0"/>
    <m/>
    <x v="52"/>
  </r>
  <r>
    <x v="2"/>
    <m/>
    <m/>
    <s v="30 days pta"/>
    <x v="0"/>
    <n v="62571"/>
    <n v="15642.75"/>
    <n v="46928.25"/>
    <x v="4"/>
    <m/>
    <m/>
    <d v="2026-12-06T00:00:00"/>
    <d v="2026-12-12T00:00:00"/>
    <n v="6"/>
    <x v="11"/>
    <n v="12"/>
    <n v="2026"/>
    <x v="1"/>
    <n v="43921.68"/>
    <x v="0"/>
    <m/>
    <d v="2025-10-30T00:00:00"/>
    <x v="0"/>
    <m/>
    <x v="31"/>
  </r>
  <r>
    <x v="2"/>
    <m/>
    <m/>
    <s v="30 days pta"/>
    <x v="0"/>
    <n v="5200"/>
    <m/>
    <n v="5200"/>
    <x v="5"/>
    <m/>
    <m/>
    <d v="2026-12-07T00:00:00"/>
    <d v="2026-12-11T00:00:00"/>
    <n v="4"/>
    <x v="11"/>
    <n v="12"/>
    <n v="2026"/>
    <x v="1"/>
    <n v="0"/>
    <x v="0"/>
    <m/>
    <d v="2024-08-29T00:00:00"/>
    <x v="0"/>
    <m/>
    <x v="15"/>
  </r>
  <r>
    <x v="2"/>
    <m/>
    <m/>
    <s v="30 days pta"/>
    <x v="0"/>
    <n v="2600"/>
    <m/>
    <n v="2600"/>
    <x v="5"/>
    <m/>
    <m/>
    <d v="2026-12-07T00:00:00"/>
    <d v="2026-12-11T00:00:00"/>
    <n v="4"/>
    <x v="11"/>
    <n v="12"/>
    <n v="2026"/>
    <x v="1"/>
    <n v="0"/>
    <x v="0"/>
    <m/>
    <d v="2025-09-23T00:00:00"/>
    <x v="0"/>
    <m/>
    <x v="15"/>
  </r>
  <r>
    <x v="2"/>
    <m/>
    <m/>
    <s v="30 days pta"/>
    <x v="0"/>
    <n v="10700"/>
    <m/>
    <n v="10700"/>
    <x v="5"/>
    <m/>
    <m/>
    <d v="2026-12-10T00:00:00"/>
    <d v="2026-12-19T00:00:00"/>
    <n v="9"/>
    <x v="11"/>
    <n v="12"/>
    <n v="2026"/>
    <x v="1"/>
    <n v="1689.57"/>
    <x v="0"/>
    <m/>
    <d v="2025-12-04T00:00:00"/>
    <x v="0"/>
    <m/>
    <x v="15"/>
  </r>
  <r>
    <x v="2"/>
    <m/>
    <m/>
    <s v="30 days pta"/>
    <x v="0"/>
    <n v="14250"/>
    <m/>
    <n v="14250"/>
    <x v="5"/>
    <m/>
    <m/>
    <d v="2026-12-10T00:00:00"/>
    <d v="2026-12-19T00:00:00"/>
    <n v="9"/>
    <x v="11"/>
    <n v="12"/>
    <n v="2026"/>
    <x v="1"/>
    <n v="975.24"/>
    <x v="0"/>
    <m/>
    <d v="2025-12-04T00:00:00"/>
    <x v="0"/>
    <m/>
    <x v="15"/>
  </r>
  <r>
    <x v="2"/>
    <m/>
    <m/>
    <s v="30 days pta"/>
    <x v="0"/>
    <m/>
    <m/>
    <m/>
    <x v="1"/>
    <m/>
    <m/>
    <d v="2026-12-12T00:00:00"/>
    <d v="2026-12-21T00:00:00"/>
    <n v="9"/>
    <x v="11"/>
    <n v="12"/>
    <n v="2026"/>
    <x v="0"/>
    <n v="0"/>
    <x v="0"/>
    <m/>
    <d v="2025-11-23T00:00:00"/>
    <x v="0"/>
    <m/>
    <x v="1"/>
  </r>
  <r>
    <x v="2"/>
    <m/>
    <m/>
    <s v="30 days pta"/>
    <x v="0"/>
    <n v="36439.120000000003"/>
    <m/>
    <n v="36439.120000000003"/>
    <x v="5"/>
    <m/>
    <m/>
    <d v="2026-12-15T00:00:00"/>
    <d v="2026-12-21T00:00:00"/>
    <n v="6"/>
    <x v="11"/>
    <n v="12"/>
    <n v="2026"/>
    <x v="1"/>
    <n v="26110.44"/>
    <x v="0"/>
    <m/>
    <d v="2025-11-11T00:00:00"/>
    <x v="0"/>
    <m/>
    <x v="1"/>
  </r>
  <r>
    <x v="2"/>
    <m/>
    <m/>
    <s v="30 days pta"/>
    <x v="0"/>
    <n v="35110.339999999997"/>
    <m/>
    <n v="35110.339999999997"/>
    <x v="5"/>
    <m/>
    <m/>
    <d v="2026-12-15T00:00:00"/>
    <d v="2026-12-21T00:00:00"/>
    <n v="6"/>
    <x v="11"/>
    <n v="12"/>
    <n v="2026"/>
    <x v="1"/>
    <n v="23151.96"/>
    <x v="0"/>
    <m/>
    <d v="2025-11-11T00:00:00"/>
    <x v="0"/>
    <m/>
    <x v="1"/>
  </r>
  <r>
    <x v="2"/>
    <m/>
    <m/>
    <s v="30 days pta"/>
    <x v="0"/>
    <n v="13266"/>
    <m/>
    <n v="13266"/>
    <x v="5"/>
    <m/>
    <m/>
    <d v="2026-12-17T00:00:00"/>
    <d v="2026-12-21T00:00:00"/>
    <n v="4"/>
    <x v="11"/>
    <n v="12"/>
    <n v="2026"/>
    <x v="1"/>
    <n v="7211.52"/>
    <x v="0"/>
    <m/>
    <d v="2025-10-11T00:00:00"/>
    <x v="0"/>
    <m/>
    <x v="15"/>
  </r>
  <r>
    <x v="2"/>
    <m/>
    <m/>
    <s v="90 days pta"/>
    <x v="0"/>
    <n v="183057.2"/>
    <n v="42901.8"/>
    <n v="140155.4"/>
    <x v="4"/>
    <m/>
    <m/>
    <d v="2026-12-27T00:00:00"/>
    <d v="2027-01-06T00:00:00"/>
    <n v="10"/>
    <x v="11"/>
    <n v="12"/>
    <n v="2026"/>
    <x v="1"/>
    <n v="136602.29999999999"/>
    <x v="0"/>
    <m/>
    <d v="2025-08-24T00:00:00"/>
    <x v="0"/>
    <m/>
    <x v="1"/>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3"/>
    <m/>
    <m/>
    <s v="90 days pta"/>
    <x v="0"/>
    <n v="0"/>
    <m/>
    <n v="0"/>
    <x v="1"/>
    <m/>
    <m/>
    <d v="2026-01-02T00:00:00"/>
    <d v="2026-01-04T00:00:00"/>
    <n v="2"/>
    <x v="0"/>
    <n v="1"/>
    <n v="2026"/>
    <x v="0"/>
    <m/>
    <x v="0"/>
    <s v="COG"/>
    <d v="2025-11-11T00:00:00"/>
    <x v="0"/>
    <m/>
    <x v="27"/>
  </r>
  <r>
    <x v="3"/>
    <m/>
    <m/>
    <s v="90 days pta"/>
    <x v="0"/>
    <n v="18133.32"/>
    <n v="18133.32"/>
    <m/>
    <x v="0"/>
    <m/>
    <m/>
    <d v="2026-01-03T00:00:00"/>
    <d v="2026-01-06T00:00:00"/>
    <n v="3"/>
    <x v="0"/>
    <n v="1"/>
    <n v="2026"/>
    <x v="0"/>
    <m/>
    <x v="0"/>
    <s v="DPR"/>
    <d v="2025-11-13T00:00:00"/>
    <x v="0"/>
    <m/>
    <x v="7"/>
  </r>
  <r>
    <x v="3"/>
    <m/>
    <m/>
    <s v="30 days pta"/>
    <x v="0"/>
    <n v="47826"/>
    <n v="47826"/>
    <m/>
    <x v="0"/>
    <m/>
    <m/>
    <d v="2026-01-12T00:00:00"/>
    <d v="2026-01-14T00:00:00"/>
    <n v="2"/>
    <x v="0"/>
    <n v="1"/>
    <n v="2026"/>
    <x v="0"/>
    <m/>
    <x v="0"/>
    <s v="DPR"/>
    <d v="2025-11-15T00:00:00"/>
    <x v="0"/>
    <m/>
    <x v="43"/>
  </r>
  <r>
    <x v="3"/>
    <m/>
    <m/>
    <s v="30 days pta"/>
    <x v="0"/>
    <n v="26896.799999999999"/>
    <n v="6724.2"/>
    <n v="20172.599999999999"/>
    <x v="4"/>
    <m/>
    <m/>
    <d v="2026-01-13T00:00:00"/>
    <d v="2026-01-15T00:00:00"/>
    <n v="2"/>
    <x v="0"/>
    <n v="1"/>
    <n v="2026"/>
    <x v="1"/>
    <m/>
    <x v="0"/>
    <s v="DPR"/>
    <d v="2025-10-27T00:00:00"/>
    <x v="0"/>
    <m/>
    <x v="15"/>
  </r>
  <r>
    <x v="3"/>
    <m/>
    <m/>
    <s v="30 days pta"/>
    <x v="0"/>
    <n v="39274.86"/>
    <n v="30664.86"/>
    <n v="8610"/>
    <x v="4"/>
    <m/>
    <m/>
    <d v="2026-01-13T00:00:00"/>
    <d v="2026-01-16T00:00:00"/>
    <n v="3"/>
    <x v="0"/>
    <n v="1"/>
    <n v="2026"/>
    <x v="1"/>
    <m/>
    <x v="0"/>
    <s v="DPR"/>
    <d v="2025-11-02T00:00:00"/>
    <x v="0"/>
    <m/>
    <x v="15"/>
  </r>
  <r>
    <x v="3"/>
    <m/>
    <m/>
    <s v="30 days pta"/>
    <x v="0"/>
    <n v="99261.62"/>
    <m/>
    <n v="99261.62"/>
    <x v="5"/>
    <m/>
    <m/>
    <d v="2026-01-13T00:00:00"/>
    <d v="2026-01-20T00:00:00"/>
    <n v="7"/>
    <x v="0"/>
    <n v="1"/>
    <n v="2026"/>
    <x v="1"/>
    <m/>
    <x v="0"/>
    <s v="NOG"/>
    <d v="2025-07-21T00:00:00"/>
    <x v="0"/>
    <m/>
    <x v="15"/>
  </r>
  <r>
    <x v="3"/>
    <m/>
    <m/>
    <s v="30 days pta"/>
    <x v="0"/>
    <n v="0"/>
    <m/>
    <n v="0"/>
    <x v="1"/>
    <m/>
    <m/>
    <d v="2026-01-19T00:00:00"/>
    <d v="2026-01-21T00:00:00"/>
    <n v="2"/>
    <x v="0"/>
    <n v="1"/>
    <n v="2026"/>
    <x v="0"/>
    <m/>
    <x v="0"/>
    <s v="COG"/>
    <d v="2025-10-24T00:00:00"/>
    <x v="0"/>
    <m/>
    <x v="23"/>
  </r>
  <r>
    <x v="3"/>
    <m/>
    <m/>
    <s v="30 days pta"/>
    <x v="0"/>
    <n v="62200"/>
    <n v="62200"/>
    <m/>
    <x v="0"/>
    <m/>
    <m/>
    <d v="2026-01-23T00:00:00"/>
    <d v="2026-01-29T00:00:00"/>
    <n v="6"/>
    <x v="0"/>
    <n v="1"/>
    <n v="2026"/>
    <x v="0"/>
    <m/>
    <x v="0"/>
    <s v="DPR"/>
    <d v="2024-10-23T00:00:00"/>
    <x v="0"/>
    <m/>
    <x v="15"/>
  </r>
  <r>
    <x v="3"/>
    <m/>
    <m/>
    <s v="30 days pta"/>
    <x v="0"/>
    <m/>
    <m/>
    <m/>
    <x v="1"/>
    <m/>
    <m/>
    <d v="2026-01-25T00:00:00"/>
    <d v="2026-01-28T00:00:00"/>
    <m/>
    <x v="0"/>
    <n v="1"/>
    <n v="2026"/>
    <x v="0"/>
    <m/>
    <x v="0"/>
    <s v="TENT"/>
    <m/>
    <x v="0"/>
    <m/>
    <x v="9"/>
  </r>
  <r>
    <x v="3"/>
    <m/>
    <m/>
    <s v="30 days pta"/>
    <x v="0"/>
    <n v="50914"/>
    <m/>
    <n v="50914"/>
    <x v="5"/>
    <m/>
    <m/>
    <d v="2026-01-26T00:00:00"/>
    <d v="2026-01-28T00:00:00"/>
    <n v="2"/>
    <x v="0"/>
    <n v="1"/>
    <n v="2026"/>
    <x v="1"/>
    <m/>
    <x v="0"/>
    <s v="TOG"/>
    <d v="2025-04-01T00:00:00"/>
    <x v="0"/>
    <m/>
    <x v="8"/>
  </r>
  <r>
    <x v="3"/>
    <m/>
    <m/>
    <s v="30 days pta"/>
    <x v="0"/>
    <n v="33377.370000000003"/>
    <m/>
    <n v="33377.370000000003"/>
    <x v="5"/>
    <m/>
    <m/>
    <d v="2026-01-28T00:00:00"/>
    <d v="2026-01-31T00:00:00"/>
    <n v="3"/>
    <x v="0"/>
    <n v="1"/>
    <n v="2026"/>
    <x v="1"/>
    <m/>
    <x v="0"/>
    <s v="TENT"/>
    <d v="2025-11-27T00:00:00"/>
    <x v="0"/>
    <m/>
    <x v="15"/>
  </r>
  <r>
    <x v="3"/>
    <m/>
    <m/>
    <s v="30 days pta"/>
    <x v="0"/>
    <n v="26559.98"/>
    <n v="26559.98"/>
    <m/>
    <x v="0"/>
    <m/>
    <m/>
    <d v="2026-01-30T00:00:00"/>
    <d v="2026-02-06T00:00:00"/>
    <n v="7"/>
    <x v="0"/>
    <n v="1"/>
    <n v="2026"/>
    <x v="0"/>
    <m/>
    <x v="0"/>
    <s v="DPR"/>
    <d v="2025-05-26T00:00:00"/>
    <x v="0"/>
    <m/>
    <x v="0"/>
  </r>
  <r>
    <x v="3"/>
    <m/>
    <m/>
    <s v="30 days pta"/>
    <x v="0"/>
    <n v="3942"/>
    <m/>
    <n v="3942"/>
    <x v="5"/>
    <m/>
    <m/>
    <d v="2026-01-30T00:00:00"/>
    <d v="2026-02-01T00:00:00"/>
    <n v="2"/>
    <x v="0"/>
    <n v="1"/>
    <n v="2026"/>
    <x v="1"/>
    <m/>
    <x v="0"/>
    <s v="COG"/>
    <d v="2025-10-09T00:00:00"/>
    <x v="0"/>
    <m/>
    <x v="7"/>
  </r>
  <r>
    <x v="3"/>
    <m/>
    <m/>
    <s v="30 days pta"/>
    <x v="0"/>
    <n v="77770.06"/>
    <n v="15692.64"/>
    <n v="62077.42"/>
    <x v="4"/>
    <m/>
    <m/>
    <d v="2026-02-04T00:00:00"/>
    <d v="2026-02-12T00:00:00"/>
    <n v="8"/>
    <x v="1"/>
    <n v="2"/>
    <n v="2026"/>
    <x v="1"/>
    <m/>
    <x v="0"/>
    <s v="DPR"/>
    <d v="2025-06-04T00:00:00"/>
    <x v="0"/>
    <m/>
    <x v="15"/>
  </r>
  <r>
    <x v="3"/>
    <m/>
    <m/>
    <s v="30 days pta"/>
    <x v="0"/>
    <n v="575"/>
    <m/>
    <n v="575"/>
    <x v="6"/>
    <m/>
    <m/>
    <d v="2026-02-06T00:00:00"/>
    <d v="2026-02-08T00:00:00"/>
    <n v="2"/>
    <x v="1"/>
    <n v="2"/>
    <n v="2026"/>
    <x v="1"/>
    <m/>
    <x v="0"/>
    <s v="COG"/>
    <d v="2025-07-31T00:00:00"/>
    <x v="0"/>
    <m/>
    <x v="0"/>
  </r>
  <r>
    <x v="3"/>
    <m/>
    <m/>
    <s v="30 days pta"/>
    <x v="0"/>
    <n v="18948"/>
    <n v="5684.4"/>
    <n v="13263.6"/>
    <x v="4"/>
    <m/>
    <m/>
    <d v="2026-02-10T00:00:00"/>
    <d v="2026-02-12T00:00:00"/>
    <n v="2"/>
    <x v="1"/>
    <n v="2"/>
    <n v="2026"/>
    <x v="1"/>
    <m/>
    <x v="0"/>
    <s v="DPR"/>
    <d v="2025-10-21T00:00:00"/>
    <x v="0"/>
    <m/>
    <x v="18"/>
  </r>
  <r>
    <x v="3"/>
    <m/>
    <m/>
    <s v="30 days pta"/>
    <x v="0"/>
    <n v="0"/>
    <m/>
    <n v="0"/>
    <x v="1"/>
    <m/>
    <m/>
    <d v="2026-02-14T00:00:00"/>
    <d v="2026-02-17T00:00:00"/>
    <n v="3"/>
    <x v="1"/>
    <n v="2"/>
    <n v="2026"/>
    <x v="0"/>
    <m/>
    <x v="0"/>
    <s v="COG"/>
    <d v="2025-11-28T00:00:00"/>
    <x v="0"/>
    <m/>
    <x v="1"/>
  </r>
  <r>
    <x v="3"/>
    <m/>
    <m/>
    <s v="30 days pta"/>
    <x v="0"/>
    <n v="21328.5"/>
    <m/>
    <n v="21328.5"/>
    <x v="5"/>
    <m/>
    <m/>
    <d v="2026-02-14T00:00:00"/>
    <d v="2026-02-17T00:00:00"/>
    <n v="3"/>
    <x v="1"/>
    <n v="2"/>
    <n v="2026"/>
    <x v="1"/>
    <m/>
    <x v="0"/>
    <s v="NOG"/>
    <d v="2024-06-03T00:00:00"/>
    <x v="0"/>
    <m/>
    <x v="1"/>
  </r>
  <r>
    <x v="3"/>
    <m/>
    <m/>
    <s v="30 days pta"/>
    <x v="0"/>
    <n v="15001.26"/>
    <m/>
    <n v="15001.26"/>
    <x v="5"/>
    <m/>
    <m/>
    <d v="2026-02-15T00:00:00"/>
    <d v="2026-02-17T00:00:00"/>
    <n v="2"/>
    <x v="1"/>
    <n v="2"/>
    <n v="2026"/>
    <x v="1"/>
    <m/>
    <x v="0"/>
    <s v="NOG"/>
    <d v="2025-08-16T00:00:00"/>
    <x v="0"/>
    <m/>
    <x v="15"/>
  </r>
  <r>
    <x v="3"/>
    <m/>
    <m/>
    <s v="30 days pta"/>
    <x v="0"/>
    <n v="36994"/>
    <n v="9248.5"/>
    <n v="27745.5"/>
    <x v="4"/>
    <m/>
    <m/>
    <d v="2026-02-15T00:00:00"/>
    <d v="2026-02-19T00:00:00"/>
    <n v="4"/>
    <x v="1"/>
    <n v="2"/>
    <n v="2026"/>
    <x v="1"/>
    <m/>
    <x v="0"/>
    <s v="DPR"/>
    <d v="2025-11-06T00:00:00"/>
    <x v="0"/>
    <m/>
    <x v="23"/>
  </r>
  <r>
    <x v="3"/>
    <m/>
    <m/>
    <s v="30 days pta"/>
    <x v="0"/>
    <n v="0"/>
    <m/>
    <n v="0"/>
    <x v="1"/>
    <m/>
    <m/>
    <d v="2026-02-18T00:00:00"/>
    <d v="2026-02-20T00:00:00"/>
    <n v="2"/>
    <x v="1"/>
    <n v="2"/>
    <n v="2026"/>
    <x v="0"/>
    <m/>
    <x v="0"/>
    <s v="COG"/>
    <d v="2025-12-10T00:00:00"/>
    <x v="0"/>
    <m/>
    <x v="43"/>
  </r>
  <r>
    <x v="3"/>
    <m/>
    <m/>
    <s v="30 days pta"/>
    <x v="0"/>
    <n v="45555"/>
    <n v="45555"/>
    <m/>
    <x v="0"/>
    <m/>
    <m/>
    <d v="2026-02-18T00:00:00"/>
    <d v="2026-02-23T00:00:00"/>
    <n v="5"/>
    <x v="1"/>
    <n v="2"/>
    <n v="2026"/>
    <x v="0"/>
    <m/>
    <x v="0"/>
    <s v="DPR"/>
    <d v="2025-11-11T00:00:00"/>
    <x v="0"/>
    <m/>
    <x v="27"/>
  </r>
  <r>
    <x v="3"/>
    <m/>
    <m/>
    <s v="30 days pta"/>
    <x v="0"/>
    <n v="35046"/>
    <m/>
    <n v="35046"/>
    <x v="5"/>
    <m/>
    <m/>
    <d v="2026-02-18T00:00:00"/>
    <d v="2026-02-22T00:00:00"/>
    <n v="4"/>
    <x v="1"/>
    <n v="2"/>
    <n v="2026"/>
    <x v="1"/>
    <m/>
    <x v="0"/>
    <s v="NOG"/>
    <d v="2025-11-28T00:00:00"/>
    <x v="0"/>
    <m/>
    <x v="23"/>
  </r>
  <r>
    <x v="3"/>
    <m/>
    <m/>
    <s v="30 days pta"/>
    <x v="0"/>
    <n v="3900"/>
    <n v="3900"/>
    <m/>
    <x v="0"/>
    <m/>
    <m/>
    <d v="2026-02-19T00:00:00"/>
    <d v="2026-02-20T00:00:00"/>
    <n v="1"/>
    <x v="1"/>
    <n v="2"/>
    <n v="2026"/>
    <x v="0"/>
    <m/>
    <x v="0"/>
    <s v="DPR"/>
    <d v="2025-08-14T00:00:00"/>
    <x v="0"/>
    <m/>
    <x v="23"/>
  </r>
  <r>
    <x v="3"/>
    <m/>
    <m/>
    <s v="30 days pta"/>
    <x v="0"/>
    <n v="334000.03999999998"/>
    <n v="334000.03999999998"/>
    <m/>
    <x v="0"/>
    <m/>
    <m/>
    <d v="2026-02-24T00:00:00"/>
    <d v="2026-03-10T00:00:00"/>
    <n v="14"/>
    <x v="1"/>
    <n v="2"/>
    <n v="2026"/>
    <x v="0"/>
    <m/>
    <x v="0"/>
    <s v="DPR"/>
    <d v="2025-10-09T00:00:00"/>
    <x v="0"/>
    <m/>
    <x v="27"/>
  </r>
  <r>
    <x v="3"/>
    <m/>
    <m/>
    <s v="30 days pta"/>
    <x v="0"/>
    <n v="1150"/>
    <m/>
    <n v="1150"/>
    <x v="5"/>
    <m/>
    <m/>
    <d v="2026-03-05T00:00:00"/>
    <d v="2026-03-06T00:00:00"/>
    <n v="1"/>
    <x v="2"/>
    <n v="3"/>
    <n v="2026"/>
    <x v="1"/>
    <m/>
    <x v="0"/>
    <s v="NOG"/>
    <d v="2025-03-01T00:00:00"/>
    <x v="0"/>
    <m/>
    <x v="1"/>
  </r>
  <r>
    <x v="3"/>
    <m/>
    <m/>
    <s v="30 days pta"/>
    <x v="0"/>
    <n v="28270"/>
    <m/>
    <n v="28270"/>
    <x v="5"/>
    <m/>
    <m/>
    <d v="2026-03-06T00:00:00"/>
    <d v="2026-03-11T00:00:00"/>
    <n v="5"/>
    <x v="2"/>
    <n v="3"/>
    <n v="2026"/>
    <x v="1"/>
    <m/>
    <x v="0"/>
    <s v="NOG"/>
    <d v="2025-08-08T00:00:00"/>
    <x v="0"/>
    <m/>
    <x v="7"/>
  </r>
  <r>
    <x v="3"/>
    <m/>
    <m/>
    <s v="30 days pta"/>
    <x v="0"/>
    <n v="56549.5"/>
    <m/>
    <n v="56549.5"/>
    <x v="5"/>
    <m/>
    <m/>
    <d v="2026-03-08T00:00:00"/>
    <d v="2026-03-15T00:00:00"/>
    <n v="7"/>
    <x v="2"/>
    <n v="3"/>
    <n v="2026"/>
    <x v="1"/>
    <m/>
    <x v="0"/>
    <s v="DPR"/>
    <d v="2025-11-26T00:00:00"/>
    <x v="0"/>
    <m/>
    <x v="30"/>
  </r>
  <r>
    <x v="3"/>
    <m/>
    <m/>
    <s v="30 days pta"/>
    <x v="0"/>
    <n v="136903.07"/>
    <n v="136903.07"/>
    <m/>
    <x v="0"/>
    <m/>
    <m/>
    <d v="2026-03-15T00:00:00"/>
    <d v="2026-03-29T00:00:00"/>
    <n v="14"/>
    <x v="2"/>
    <n v="3"/>
    <n v="2026"/>
    <x v="0"/>
    <m/>
    <x v="0"/>
    <s v="DPR"/>
    <d v="2025-04-14T00:00:00"/>
    <x v="0"/>
    <m/>
    <x v="7"/>
  </r>
  <r>
    <x v="3"/>
    <m/>
    <m/>
    <s v="30 days pta"/>
    <x v="0"/>
    <n v="56091"/>
    <m/>
    <n v="56091"/>
    <x v="5"/>
    <m/>
    <m/>
    <d v="2026-03-16T00:00:00"/>
    <d v="2026-03-25T00:00:00"/>
    <n v="9"/>
    <x v="2"/>
    <n v="3"/>
    <n v="2026"/>
    <x v="1"/>
    <m/>
    <x v="0"/>
    <s v="NOG"/>
    <d v="2025-06-20T00:00:00"/>
    <x v="0"/>
    <m/>
    <x v="7"/>
  </r>
  <r>
    <x v="3"/>
    <m/>
    <m/>
    <s v="30 days pta"/>
    <x v="0"/>
    <n v="0"/>
    <m/>
    <n v="0"/>
    <x v="1"/>
    <m/>
    <m/>
    <d v="2026-03-17T00:00:00"/>
    <d v="2026-03-19T00:00:00"/>
    <n v="2"/>
    <x v="2"/>
    <n v="3"/>
    <n v="2026"/>
    <x v="0"/>
    <m/>
    <x v="0"/>
    <s v="COG"/>
    <d v="2025-05-22T00:00:00"/>
    <x v="0"/>
    <m/>
    <x v="15"/>
  </r>
  <r>
    <x v="3"/>
    <m/>
    <m/>
    <s v="30 days pta"/>
    <x v="0"/>
    <n v="0"/>
    <m/>
    <n v="0"/>
    <x v="1"/>
    <m/>
    <m/>
    <d v="2026-03-17T00:00:00"/>
    <d v="2026-03-19T00:00:00"/>
    <n v="2"/>
    <x v="2"/>
    <n v="3"/>
    <n v="2026"/>
    <x v="0"/>
    <m/>
    <x v="0"/>
    <s v="COG"/>
    <d v="2025-11-28T00:00:00"/>
    <x v="0"/>
    <m/>
    <x v="1"/>
  </r>
  <r>
    <x v="3"/>
    <m/>
    <m/>
    <s v="30 days pta"/>
    <x v="0"/>
    <m/>
    <m/>
    <m/>
    <x v="8"/>
    <m/>
    <m/>
    <d v="2026-03-18T00:00:00"/>
    <d v="2026-03-23T00:00:00"/>
    <m/>
    <x v="2"/>
    <n v="3"/>
    <n v="2026"/>
    <x v="0"/>
    <m/>
    <x v="0"/>
    <s v="TEN"/>
    <m/>
    <x v="0"/>
    <m/>
    <x v="9"/>
  </r>
  <r>
    <x v="3"/>
    <m/>
    <m/>
    <s v="30 days pta"/>
    <x v="0"/>
    <m/>
    <m/>
    <m/>
    <x v="8"/>
    <m/>
    <m/>
    <d v="2026-03-18T00:00:00"/>
    <d v="2026-03-23T00:00:00"/>
    <m/>
    <x v="2"/>
    <n v="3"/>
    <n v="2026"/>
    <x v="0"/>
    <m/>
    <x v="0"/>
    <s v="TEN"/>
    <m/>
    <x v="0"/>
    <m/>
    <x v="9"/>
  </r>
  <r>
    <x v="3"/>
    <m/>
    <m/>
    <s v="30 days pta"/>
    <x v="0"/>
    <n v="56981.2"/>
    <n v="32227.01"/>
    <n v="24754.19"/>
    <x v="4"/>
    <m/>
    <m/>
    <d v="2026-03-19T00:00:00"/>
    <d v="2026-03-29T00:00:00"/>
    <n v="10"/>
    <x v="2"/>
    <n v="3"/>
    <n v="2026"/>
    <x v="1"/>
    <m/>
    <x v="0"/>
    <s v="DPR"/>
    <d v="2025-04-28T00:00:00"/>
    <x v="0"/>
    <m/>
    <x v="34"/>
  </r>
  <r>
    <x v="3"/>
    <m/>
    <m/>
    <s v="30 days pta"/>
    <x v="0"/>
    <n v="91374"/>
    <m/>
    <n v="91374"/>
    <x v="5"/>
    <m/>
    <m/>
    <d v="2026-03-28T00:00:00"/>
    <d v="2026-04-06T00:00:00"/>
    <n v="9"/>
    <x v="2"/>
    <n v="3"/>
    <n v="2026"/>
    <x v="1"/>
    <m/>
    <x v="0"/>
    <s v="NOG"/>
    <d v="2025-10-28T00:00:00"/>
    <x v="0"/>
    <m/>
    <x v="19"/>
  </r>
  <r>
    <x v="3"/>
    <m/>
    <m/>
    <s v="30 days pta"/>
    <x v="0"/>
    <n v="75860"/>
    <m/>
    <n v="75860"/>
    <x v="5"/>
    <m/>
    <m/>
    <d v="2026-03-29T00:00:00"/>
    <d v="2026-04-05T00:00:00"/>
    <n v="7"/>
    <x v="2"/>
    <n v="3"/>
    <n v="2026"/>
    <x v="1"/>
    <m/>
    <x v="0"/>
    <s v="NOG"/>
    <d v="2025-05-23T00:00:00"/>
    <x v="0"/>
    <m/>
    <x v="1"/>
  </r>
  <r>
    <x v="3"/>
    <m/>
    <m/>
    <s v="30 days pta"/>
    <x v="0"/>
    <n v="86700"/>
    <m/>
    <n v="86700"/>
    <x v="5"/>
    <m/>
    <m/>
    <d v="2026-03-29T00:00:00"/>
    <d v="2026-04-05T00:00:00"/>
    <n v="7"/>
    <x v="2"/>
    <n v="3"/>
    <n v="2026"/>
    <x v="1"/>
    <m/>
    <x v="0"/>
    <s v="NOG"/>
    <d v="2025-05-23T00:00:00"/>
    <x v="0"/>
    <m/>
    <x v="1"/>
  </r>
  <r>
    <x v="3"/>
    <m/>
    <m/>
    <s v="30 days pta"/>
    <x v="0"/>
    <n v="51524.6"/>
    <n v="14095.89"/>
    <n v="37428.71"/>
    <x v="4"/>
    <m/>
    <m/>
    <d v="2026-03-31T00:00:00"/>
    <d v="2026-04-05T00:00:00"/>
    <n v="5"/>
    <x v="2"/>
    <n v="3"/>
    <n v="2026"/>
    <x v="1"/>
    <m/>
    <x v="0"/>
    <s v="DPR"/>
    <d v="2025-06-25T00:00:00"/>
    <x v="0"/>
    <m/>
    <x v="1"/>
  </r>
  <r>
    <x v="3"/>
    <m/>
    <m/>
    <s v="30 days pta"/>
    <x v="0"/>
    <n v="36312.18"/>
    <m/>
    <n v="36312.18"/>
    <x v="5"/>
    <m/>
    <m/>
    <d v="2026-04-03T00:00:00"/>
    <d v="2026-04-06T00:00:00"/>
    <n v="3"/>
    <x v="3"/>
    <n v="4"/>
    <n v="2026"/>
    <x v="1"/>
    <m/>
    <x v="0"/>
    <s v="NOG"/>
    <d v="2025-05-09T00:00:00"/>
    <x v="0"/>
    <m/>
    <x v="33"/>
  </r>
  <r>
    <x v="3"/>
    <m/>
    <m/>
    <s v="30 days pta"/>
    <x v="0"/>
    <n v="67386"/>
    <m/>
    <n v="67386"/>
    <x v="5"/>
    <m/>
    <m/>
    <d v="2026-04-12T00:00:00"/>
    <d v="2026-04-19T00:00:00"/>
    <n v="7"/>
    <x v="3"/>
    <n v="4"/>
    <n v="2026"/>
    <x v="1"/>
    <m/>
    <x v="0"/>
    <s v="TENT"/>
    <d v="2025-09-05T00:00:00"/>
    <x v="0"/>
    <m/>
    <x v="5"/>
  </r>
  <r>
    <x v="3"/>
    <m/>
    <m/>
    <s v="30 days pta"/>
    <x v="0"/>
    <n v="26248"/>
    <m/>
    <n v="26248"/>
    <x v="5"/>
    <m/>
    <m/>
    <d v="2026-04-22T00:00:00"/>
    <d v="2026-04-25T00:00:00"/>
    <n v="3"/>
    <x v="3"/>
    <n v="4"/>
    <n v="2026"/>
    <x v="1"/>
    <m/>
    <x v="0"/>
    <s v="NOG"/>
    <d v="2025-09-27T00:00:00"/>
    <x v="0"/>
    <m/>
    <x v="1"/>
  </r>
  <r>
    <x v="3"/>
    <m/>
    <m/>
    <s v="30 days pta"/>
    <x v="0"/>
    <n v="19186.22"/>
    <m/>
    <n v="19186.22"/>
    <x v="5"/>
    <m/>
    <m/>
    <d v="2026-04-22T00:00:00"/>
    <d v="2026-04-25T00:00:00"/>
    <n v="3"/>
    <x v="3"/>
    <n v="4"/>
    <n v="2026"/>
    <x v="1"/>
    <m/>
    <x v="0"/>
    <s v="NOG"/>
    <d v="2025-02-27T00:00:00"/>
    <x v="0"/>
    <m/>
    <x v="10"/>
  </r>
  <r>
    <x v="3"/>
    <m/>
    <m/>
    <s v="30 days pta"/>
    <x v="0"/>
    <n v="0"/>
    <m/>
    <n v="0"/>
    <x v="1"/>
    <m/>
    <m/>
    <d v="2026-04-28T00:00:00"/>
    <d v="2026-05-01T00:00:00"/>
    <n v="3"/>
    <x v="3"/>
    <n v="4"/>
    <n v="2026"/>
    <x v="0"/>
    <m/>
    <x v="0"/>
    <s v="NOG"/>
    <d v="2025-06-26T00:00:00"/>
    <x v="0"/>
    <m/>
    <x v="1"/>
  </r>
  <r>
    <x v="3"/>
    <m/>
    <m/>
    <s v="30 days pta"/>
    <x v="0"/>
    <n v="18996"/>
    <m/>
    <n v="18996"/>
    <x v="5"/>
    <m/>
    <m/>
    <d v="2026-05-04T00:00:00"/>
    <d v="2026-05-08T00:00:00"/>
    <n v="4"/>
    <x v="4"/>
    <n v="5"/>
    <n v="2026"/>
    <x v="1"/>
    <m/>
    <x v="0"/>
    <s v="TENT"/>
    <d v="2025-12-08T00:00:00"/>
    <x v="0"/>
    <m/>
    <x v="23"/>
  </r>
  <r>
    <x v="3"/>
    <m/>
    <m/>
    <s v="30 days pta"/>
    <x v="0"/>
    <m/>
    <m/>
    <m/>
    <x v="2"/>
    <m/>
    <m/>
    <d v="2026-05-05T00:00:00"/>
    <d v="2026-05-09T00:00:00"/>
    <n v="4"/>
    <x v="4"/>
    <n v="5"/>
    <n v="2026"/>
    <x v="0"/>
    <m/>
    <x v="0"/>
    <s v="TENT"/>
    <d v="2025-12-08T00:00:00"/>
    <x v="0"/>
    <m/>
    <x v="23"/>
  </r>
  <r>
    <x v="3"/>
    <m/>
    <m/>
    <s v="30 days pta"/>
    <x v="0"/>
    <n v="1075"/>
    <m/>
    <n v="1075"/>
    <x v="5"/>
    <m/>
    <m/>
    <d v="2026-05-07T00:00:00"/>
    <d v="2026-05-09T00:00:00"/>
    <n v="2"/>
    <x v="4"/>
    <n v="5"/>
    <n v="2026"/>
    <x v="1"/>
    <m/>
    <x v="0"/>
    <s v="COG"/>
    <d v="2025-09-11T00:00:00"/>
    <x v="0"/>
    <m/>
    <x v="1"/>
  </r>
  <r>
    <x v="3"/>
    <m/>
    <m/>
    <s v="30 days pta"/>
    <x v="0"/>
    <n v="21017.97"/>
    <m/>
    <n v="21017.97"/>
    <x v="5"/>
    <m/>
    <m/>
    <d v="2026-05-09T00:00:00"/>
    <d v="2026-05-13T00:00:00"/>
    <n v="4"/>
    <x v="4"/>
    <n v="5"/>
    <n v="2026"/>
    <x v="1"/>
    <m/>
    <x v="0"/>
    <s v="NOG"/>
    <d v="2025-06-07T00:00:00"/>
    <x v="0"/>
    <m/>
    <x v="15"/>
  </r>
  <r>
    <x v="3"/>
    <m/>
    <m/>
    <s v="30 days pta"/>
    <x v="0"/>
    <n v="20914"/>
    <m/>
    <n v="20914"/>
    <x v="5"/>
    <m/>
    <m/>
    <d v="2026-05-09T00:00:00"/>
    <d v="2026-05-13T00:00:00"/>
    <n v="4"/>
    <x v="4"/>
    <n v="5"/>
    <n v="2026"/>
    <x v="1"/>
    <m/>
    <x v="0"/>
    <s v="NOG"/>
    <d v="2025-06-27T00:00:00"/>
    <x v="0"/>
    <m/>
    <x v="35"/>
  </r>
  <r>
    <x v="3"/>
    <m/>
    <m/>
    <s v="30 days pta"/>
    <x v="0"/>
    <n v="28817.97"/>
    <m/>
    <n v="28817.97"/>
    <x v="5"/>
    <m/>
    <m/>
    <d v="2026-05-22T00:00:00"/>
    <d v="2026-05-29T00:00:00"/>
    <n v="7"/>
    <x v="4"/>
    <n v="5"/>
    <n v="2026"/>
    <x v="1"/>
    <m/>
    <x v="0"/>
    <s v="NOG"/>
    <d v="2025-12-07T00:00:00"/>
    <x v="0"/>
    <m/>
    <x v="15"/>
  </r>
  <r>
    <x v="3"/>
    <m/>
    <m/>
    <s v="30 days pta"/>
    <x v="0"/>
    <n v="29074.85"/>
    <m/>
    <n v="29074.85"/>
    <x v="5"/>
    <m/>
    <m/>
    <d v="2026-05-24T00:00:00"/>
    <d v="2026-05-29T00:00:00"/>
    <n v="5"/>
    <x v="4"/>
    <n v="5"/>
    <n v="2026"/>
    <x v="1"/>
    <m/>
    <x v="0"/>
    <s v="NOG"/>
    <d v="2025-11-07T00:00:00"/>
    <x v="0"/>
    <m/>
    <x v="15"/>
  </r>
  <r>
    <x v="3"/>
    <m/>
    <m/>
    <s v="30 days pta"/>
    <x v="0"/>
    <n v="0"/>
    <m/>
    <n v="0"/>
    <x v="1"/>
    <m/>
    <m/>
    <d v="2026-06-06T00:00:00"/>
    <d v="2026-06-07T00:00:00"/>
    <n v="1"/>
    <x v="5"/>
    <n v="6"/>
    <n v="2026"/>
    <x v="0"/>
    <m/>
    <x v="0"/>
    <s v="NOG"/>
    <d v="2025-12-08T00:00:00"/>
    <x v="0"/>
    <m/>
    <x v="35"/>
  </r>
  <r>
    <x v="3"/>
    <m/>
    <m/>
    <s v="30 days pta"/>
    <x v="0"/>
    <n v="24842"/>
    <m/>
    <n v="24842"/>
    <x v="5"/>
    <m/>
    <m/>
    <d v="2026-08-08T00:00:00"/>
    <d v="2026-08-10T00:00:00"/>
    <n v="2"/>
    <x v="7"/>
    <n v="8"/>
    <n v="2026"/>
    <x v="1"/>
    <m/>
    <x v="0"/>
    <s v="NOG"/>
    <d v="2025-11-22T00:00:00"/>
    <x v="0"/>
    <m/>
    <x v="23"/>
  </r>
  <r>
    <x v="3"/>
    <m/>
    <m/>
    <s v="30 days pta"/>
    <x v="0"/>
    <n v="0"/>
    <m/>
    <n v="0"/>
    <x v="1"/>
    <m/>
    <m/>
    <d v="2026-08-28T00:00:00"/>
    <d v="2026-08-30T00:00:00"/>
    <n v="2"/>
    <x v="7"/>
    <n v="8"/>
    <n v="2026"/>
    <x v="0"/>
    <m/>
    <x v="0"/>
    <s v="COG"/>
    <d v="2025-10-31T00:00:00"/>
    <x v="0"/>
    <m/>
    <x v="23"/>
  </r>
  <r>
    <x v="3"/>
    <m/>
    <m/>
    <s v="30 days pta"/>
    <x v="0"/>
    <n v="29522.66"/>
    <n v="29522.66"/>
    <m/>
    <x v="0"/>
    <m/>
    <m/>
    <d v="2026-11-26T00:00:00"/>
    <d v="2026-11-30T00:00:00"/>
    <n v="4"/>
    <x v="10"/>
    <n v="11"/>
    <n v="2026"/>
    <x v="0"/>
    <m/>
    <x v="0"/>
    <s v="DPR"/>
    <d v="2025-07-16T00:00:00"/>
    <x v="0"/>
    <m/>
    <x v="52"/>
  </r>
  <r>
    <x v="3"/>
    <m/>
    <m/>
    <s v="30 days pta"/>
    <x v="0"/>
    <n v="43700"/>
    <n v="43700"/>
    <m/>
    <x v="0"/>
    <m/>
    <m/>
    <d v="2026-12-05T00:00:00"/>
    <d v="2026-12-12T00:00:00"/>
    <n v="7"/>
    <x v="11"/>
    <n v="12"/>
    <n v="2026"/>
    <x v="0"/>
    <m/>
    <x v="0"/>
    <s v="DPR"/>
    <d v="2025-10-01T00:00:00"/>
    <x v="0"/>
    <m/>
    <x v="35"/>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0"/>
    <n v="1"/>
    <n v="1900"/>
    <x v="0"/>
    <m/>
    <x v="0"/>
    <m/>
    <m/>
    <x v="0"/>
    <m/>
    <x v="9"/>
  </r>
  <r>
    <x v="1"/>
    <m/>
    <m/>
    <m/>
    <x v="0"/>
    <m/>
    <m/>
    <m/>
    <x v="8"/>
    <m/>
    <m/>
    <m/>
    <m/>
    <m/>
    <x v="12"/>
    <m/>
    <m/>
    <x v="2"/>
    <m/>
    <x v="0"/>
    <m/>
    <m/>
    <x v="0"/>
    <m/>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201FAF-8E79-4A45-9109-F6110AB680CE}" name="PivotTable1" cacheId="5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Country">
  <location ref="D40:E51" firstHeaderRow="1" firstDataRow="1" firstDataCol="1" rowPageCount="1" colPageCount="1"/>
  <pivotFields count="25">
    <pivotField showAll="0">
      <items count="8">
        <item x="0"/>
        <item x="2"/>
        <item x="3"/>
        <item m="1" x="4"/>
        <item m="1" x="5"/>
        <item m="1" x="6"/>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Page" multipleItemSelectionAllowed="1"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axis="axisRow" showAll="0" measureFilter="1" sortType="descending">
      <items count="54">
        <item x="12"/>
        <item x="31"/>
        <item x="30"/>
        <item x="42"/>
        <item x="18"/>
        <item x="21"/>
        <item x="39"/>
        <item x="23"/>
        <item x="37"/>
        <item x="32"/>
        <item x="16"/>
        <item x="52"/>
        <item x="13"/>
        <item x="6"/>
        <item x="7"/>
        <item x="3"/>
        <item x="22"/>
        <item x="2"/>
        <item x="45"/>
        <item x="28"/>
        <item x="33"/>
        <item x="8"/>
        <item x="26"/>
        <item x="24"/>
        <item x="11"/>
        <item x="50"/>
        <item x="40"/>
        <item x="41"/>
        <item x="25"/>
        <item x="47"/>
        <item x="51"/>
        <item x="38"/>
        <item x="20"/>
        <item x="29"/>
        <item x="49"/>
        <item x="0"/>
        <item x="43"/>
        <item x="48"/>
        <item x="35"/>
        <item x="34"/>
        <item x="46"/>
        <item x="19"/>
        <item x="14"/>
        <item x="10"/>
        <item x="4"/>
        <item x="17"/>
        <item x="36"/>
        <item x="27"/>
        <item x="1"/>
        <item x="15"/>
        <item x="5"/>
        <item x="44"/>
        <item x="9"/>
        <item t="default"/>
      </items>
      <autoSortScope>
        <pivotArea dataOnly="0" outline="0" fieldPosition="0">
          <references count="1">
            <reference field="4294967294" count="1" selected="0">
              <x v="0"/>
            </reference>
          </references>
        </pivotArea>
      </autoSortScope>
    </pivotField>
  </pivotFields>
  <rowFields count="1">
    <field x="24"/>
  </rowFields>
  <rowItems count="11">
    <i>
      <x v="48"/>
    </i>
    <i>
      <x v="49"/>
    </i>
    <i>
      <x v="14"/>
    </i>
    <i>
      <x v="35"/>
    </i>
    <i>
      <x v="7"/>
    </i>
    <i>
      <x v="43"/>
    </i>
    <i>
      <x v="10"/>
    </i>
    <i>
      <x v="1"/>
    </i>
    <i>
      <x v="47"/>
    </i>
    <i>
      <x v="50"/>
    </i>
    <i t="grand">
      <x/>
    </i>
  </rowItems>
  <colItems count="1">
    <i/>
  </colItems>
  <pageFields count="1">
    <pageField fld="14" hier="-1"/>
  </pageFields>
  <dataFields count="1">
    <dataField name="Invoice Percentage" fld="5" showDataAs="percentOfTotal" baseField="20" baseItem="0" numFmtId="9"/>
  </dataFields>
  <formats count="8">
    <format dxfId="366">
      <pivotArea field="24" type="button" dataOnly="0" labelOnly="1" outline="0" axis="axisRow" fieldPosition="0"/>
    </format>
    <format dxfId="367">
      <pivotArea dataOnly="0" labelOnly="1" outline="0" axis="axisValues" fieldPosition="0"/>
    </format>
    <format dxfId="368">
      <pivotArea field="24" type="button" dataOnly="0" labelOnly="1" outline="0" axis="axisRow" fieldPosition="0"/>
    </format>
    <format dxfId="369">
      <pivotArea dataOnly="0" labelOnly="1" outline="0" axis="axisValues" fieldPosition="0"/>
    </format>
    <format dxfId="370">
      <pivotArea field="24" type="button" dataOnly="0" labelOnly="1" outline="0" axis="axisRow" fieldPosition="0"/>
    </format>
    <format dxfId="371">
      <pivotArea dataOnly="0" labelOnly="1" outline="0" axis="axisValues" fieldPosition="0"/>
    </format>
    <format dxfId="365">
      <pivotArea collapsedLevelsAreSubtotals="1" fieldPosition="0">
        <references count="1">
          <reference field="24" count="1">
            <x v="48"/>
          </reference>
        </references>
      </pivotArea>
    </format>
    <format dxfId="364">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2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DCFBFD-29E7-4C7D-943D-41B22292DBA9}" name="pvt_DepositVsFull" cacheId="5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Deposit/Full">
  <location ref="D30:E33" firstHeaderRow="1" firstDataRow="1" firstDataCol="1" rowPageCount="1" colPageCount="1"/>
  <pivotFields count="25">
    <pivotField showAll="0">
      <items count="8">
        <item x="0"/>
        <item x="2"/>
        <item x="3"/>
        <item m="1" x="4"/>
        <item m="1" x="5"/>
        <item m="1" x="6"/>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Page" multipleItemSelectionAllowed="1" showAll="0">
      <items count="14">
        <item x="0"/>
        <item x="1"/>
        <item x="2"/>
        <item x="3"/>
        <item x="4"/>
        <item x="5"/>
        <item x="6"/>
        <item x="7"/>
        <item x="8"/>
        <item x="9"/>
        <item x="10"/>
        <item x="11"/>
        <item x="12"/>
        <item t="default"/>
      </items>
    </pivotField>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s>
  <rowFields count="1">
    <field x="17"/>
  </rowFields>
  <rowItems count="3">
    <i>
      <x/>
    </i>
    <i>
      <x v="1"/>
    </i>
    <i t="grand">
      <x/>
    </i>
  </rowItems>
  <colItems count="1">
    <i/>
  </colItems>
  <pageFields count="1">
    <pageField fld="14" hier="-1"/>
  </pageFields>
  <dataFields count="1">
    <dataField name="Sum of Invoice Amount" fld="5" baseField="8" baseItem="1" numFmtId="166"/>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7" count="1" selected="0">
            <x v="0"/>
          </reference>
        </references>
      </pivotArea>
    </chartFormat>
    <chartFormat chart="6" format="6">
      <pivotArea type="data" outline="0" fieldPosition="0">
        <references count="2">
          <reference field="4294967294" count="1" selected="0">
            <x v="0"/>
          </reference>
          <reference field="17"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6C68FC-5A89-42D4-B6A0-70DFB1F4D8AD}" name="pvt_Country_Pct" cacheId="5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ountry">
  <location ref="A13:B67" firstHeaderRow="1" firstDataRow="1" firstDataCol="1" rowPageCount="1" colPageCount="1"/>
  <pivotFields count="25">
    <pivotField showAll="0">
      <items count="8">
        <item x="0"/>
        <item x="2"/>
        <item x="3"/>
        <item m="1" x="4"/>
        <item m="1" x="5"/>
        <item m="1" x="6"/>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Page" multipleItemSelectionAllowed="1"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axis="axisRow" showAll="0" sortType="descending">
      <items count="54">
        <item x="12"/>
        <item x="31"/>
        <item x="30"/>
        <item x="42"/>
        <item x="18"/>
        <item x="21"/>
        <item x="39"/>
        <item x="23"/>
        <item x="37"/>
        <item x="32"/>
        <item x="16"/>
        <item x="52"/>
        <item x="13"/>
        <item x="6"/>
        <item x="7"/>
        <item x="3"/>
        <item x="22"/>
        <item x="2"/>
        <item x="45"/>
        <item x="28"/>
        <item x="33"/>
        <item x="8"/>
        <item x="26"/>
        <item x="24"/>
        <item x="11"/>
        <item x="50"/>
        <item x="40"/>
        <item x="41"/>
        <item x="25"/>
        <item x="47"/>
        <item x="51"/>
        <item x="38"/>
        <item x="20"/>
        <item x="29"/>
        <item x="49"/>
        <item x="0"/>
        <item x="43"/>
        <item x="48"/>
        <item x="35"/>
        <item x="34"/>
        <item x="46"/>
        <item x="19"/>
        <item x="14"/>
        <item x="10"/>
        <item x="4"/>
        <item x="17"/>
        <item x="36"/>
        <item x="27"/>
        <item x="1"/>
        <item x="15"/>
        <item x="5"/>
        <item x="44"/>
        <item x="9"/>
        <item t="default"/>
      </items>
      <autoSortScope>
        <pivotArea dataOnly="0" outline="0" fieldPosition="0">
          <references count="1">
            <reference field="4294967294" count="1" selected="0">
              <x v="0"/>
            </reference>
          </references>
        </pivotArea>
      </autoSortScope>
    </pivotField>
  </pivotFields>
  <rowFields count="1">
    <field x="24"/>
  </rowFields>
  <rowItems count="54">
    <i>
      <x v="48"/>
    </i>
    <i>
      <x v="49"/>
    </i>
    <i>
      <x v="14"/>
    </i>
    <i>
      <x v="35"/>
    </i>
    <i>
      <x v="7"/>
    </i>
    <i>
      <x v="43"/>
    </i>
    <i>
      <x v="10"/>
    </i>
    <i>
      <x v="1"/>
    </i>
    <i>
      <x v="47"/>
    </i>
    <i>
      <x v="50"/>
    </i>
    <i>
      <x v="21"/>
    </i>
    <i>
      <x v="2"/>
    </i>
    <i>
      <x v="38"/>
    </i>
    <i>
      <x v="42"/>
    </i>
    <i>
      <x v="20"/>
    </i>
    <i>
      <x v="41"/>
    </i>
    <i>
      <x v="52"/>
    </i>
    <i>
      <x v="13"/>
    </i>
    <i>
      <x v="4"/>
    </i>
    <i>
      <x v="8"/>
    </i>
    <i>
      <x/>
    </i>
    <i>
      <x v="28"/>
    </i>
    <i>
      <x v="12"/>
    </i>
    <i>
      <x v="45"/>
    </i>
    <i>
      <x v="22"/>
    </i>
    <i>
      <x v="46"/>
    </i>
    <i>
      <x v="17"/>
    </i>
    <i>
      <x v="36"/>
    </i>
    <i>
      <x v="3"/>
    </i>
    <i>
      <x v="23"/>
    </i>
    <i>
      <x v="44"/>
    </i>
    <i>
      <x v="33"/>
    </i>
    <i>
      <x v="27"/>
    </i>
    <i>
      <x v="19"/>
    </i>
    <i>
      <x v="15"/>
    </i>
    <i>
      <x v="6"/>
    </i>
    <i>
      <x v="32"/>
    </i>
    <i>
      <x v="16"/>
    </i>
    <i>
      <x v="39"/>
    </i>
    <i>
      <x v="24"/>
    </i>
    <i>
      <x v="11"/>
    </i>
    <i>
      <x v="9"/>
    </i>
    <i>
      <x v="30"/>
    </i>
    <i>
      <x v="51"/>
    </i>
    <i>
      <x v="5"/>
    </i>
    <i>
      <x v="29"/>
    </i>
    <i>
      <x v="25"/>
    </i>
    <i>
      <x v="18"/>
    </i>
    <i>
      <x v="31"/>
    </i>
    <i>
      <x v="34"/>
    </i>
    <i>
      <x v="26"/>
    </i>
    <i>
      <x v="40"/>
    </i>
    <i>
      <x v="37"/>
    </i>
    <i t="grand">
      <x/>
    </i>
  </rowItems>
  <colItems count="1">
    <i/>
  </colItems>
  <pageFields count="1">
    <pageField fld="14" hier="-1"/>
  </pageFields>
  <dataFields count="1">
    <dataField name="Invoice Percentage" fld="5" showDataAs="percentOfTotal" baseField="20" baseItem="0" numFmtId="168"/>
  </dataFields>
  <formats count="6">
    <format dxfId="447">
      <pivotArea field="24" type="button" dataOnly="0" labelOnly="1" outline="0" axis="axisRow" fieldPosition="0"/>
    </format>
    <format dxfId="446">
      <pivotArea dataOnly="0" labelOnly="1" outline="0" axis="axisValues" fieldPosition="0"/>
    </format>
    <format dxfId="445">
      <pivotArea field="24" type="button" dataOnly="0" labelOnly="1" outline="0" axis="axisRow" fieldPosition="0"/>
    </format>
    <format dxfId="444">
      <pivotArea dataOnly="0" labelOnly="1" outline="0" axis="axisValues" fieldPosition="0"/>
    </format>
    <format dxfId="443">
      <pivotArea field="24" type="button" dataOnly="0" labelOnly="1" outline="0" axis="axisRow" fieldPosition="0"/>
    </format>
    <format dxfId="442">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CD6CE3-C196-4B60-83A2-002DC27D7D49}" name="pvt_PaymentStatus" cacheId="5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Payment Status">
  <location ref="D13:E23" firstHeaderRow="1" firstDataRow="1" firstDataCol="1" rowPageCount="1" colPageCount="1"/>
  <pivotFields count="25">
    <pivotField showAll="0">
      <items count="8">
        <item x="0"/>
        <item x="2"/>
        <item x="3"/>
        <item m="1" x="4"/>
        <item m="1" x="5"/>
        <item m="1" x="6"/>
        <item x="1"/>
        <item t="default"/>
      </items>
    </pivotField>
    <pivotField showAll="0"/>
    <pivotField showAll="0"/>
    <pivotField showAll="0"/>
    <pivotField showAll="0"/>
    <pivotField dataField="1" showAll="0"/>
    <pivotField showAll="0"/>
    <pivotField showAll="0"/>
    <pivotField axis="axisRow" showAll="0" sortType="descending">
      <items count="10">
        <item x="3"/>
        <item x="1"/>
        <item x="7"/>
        <item x="4"/>
        <item x="0"/>
        <item x="5"/>
        <item x="6"/>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Page" multipleItemSelectionAllowed="1"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10">
    <i>
      <x v="5"/>
    </i>
    <i>
      <x v="3"/>
    </i>
    <i>
      <x v="4"/>
    </i>
    <i>
      <x v="2"/>
    </i>
    <i>
      <x/>
    </i>
    <i>
      <x v="8"/>
    </i>
    <i>
      <x v="6"/>
    </i>
    <i>
      <x v="1"/>
    </i>
    <i>
      <x v="7"/>
    </i>
    <i t="grand">
      <x/>
    </i>
  </rowItems>
  <colItems count="1">
    <i/>
  </colItems>
  <pageFields count="1">
    <pageField fld="14" hier="-1"/>
  </pageFields>
  <dataFields count="1">
    <dataField name="Sum of Invoice Amount" fld="5" baseField="8" baseItem="1" numFmtId="166"/>
  </dataFields>
  <chartFormats count="10">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8" count="1" selected="0">
            <x v="4"/>
          </reference>
        </references>
      </pivotArea>
    </chartFormat>
    <chartFormat chart="4" format="13">
      <pivotArea type="data" outline="0" fieldPosition="0">
        <references count="2">
          <reference field="4294967294" count="1" selected="0">
            <x v="0"/>
          </reference>
          <reference field="8" count="1" selected="0">
            <x v="5"/>
          </reference>
        </references>
      </pivotArea>
    </chartFormat>
    <chartFormat chart="4" format="14">
      <pivotArea type="data" outline="0" fieldPosition="0">
        <references count="2">
          <reference field="4294967294" count="1" selected="0">
            <x v="0"/>
          </reference>
          <reference field="8" count="1" selected="0">
            <x v="3"/>
          </reference>
        </references>
      </pivotArea>
    </chartFormat>
    <chartFormat chart="4" format="15">
      <pivotArea type="data" outline="0" fieldPosition="0">
        <references count="2">
          <reference field="4294967294" count="1" selected="0">
            <x v="0"/>
          </reference>
          <reference field="8" count="1" selected="0">
            <x v="2"/>
          </reference>
        </references>
      </pivotArea>
    </chartFormat>
    <chartFormat chart="4" format="16">
      <pivotArea type="data" outline="0" fieldPosition="0">
        <references count="2">
          <reference field="4294967294" count="1" selected="0">
            <x v="0"/>
          </reference>
          <reference field="8" count="1" selected="0">
            <x v="0"/>
          </reference>
        </references>
      </pivotArea>
    </chartFormat>
    <chartFormat chart="4" format="17">
      <pivotArea type="data" outline="0" fieldPosition="0">
        <references count="2">
          <reference field="4294967294" count="1" selected="0">
            <x v="0"/>
          </reference>
          <reference field="8" count="1" selected="0">
            <x v="8"/>
          </reference>
        </references>
      </pivotArea>
    </chartFormat>
    <chartFormat chart="4" format="18">
      <pivotArea type="data" outline="0" fieldPosition="0">
        <references count="2">
          <reference field="4294967294" count="1" selected="0">
            <x v="0"/>
          </reference>
          <reference field="8" count="1" selected="0">
            <x v="1"/>
          </reference>
        </references>
      </pivotArea>
    </chartFormat>
    <chartFormat chart="4" format="19">
      <pivotArea type="data" outline="0" fieldPosition="0">
        <references count="2">
          <reference field="4294967294" count="1" selected="0">
            <x v="0"/>
          </reference>
          <reference field="8" count="1" selected="0">
            <x v="6"/>
          </reference>
        </references>
      </pivotArea>
    </chartFormat>
    <chartFormat chart="4" format="20">
      <pivotArea type="data" outline="0" fieldPosition="0">
        <references count="2">
          <reference field="4294967294" count="1" selected="0">
            <x v="0"/>
          </reference>
          <reference field="8" count="1" selected="0">
            <x v="7"/>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04495B-79C1-4E22-AA97-EB0A5B80EF9A}" name="pvt_Resort_Collection" cacheId="5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sort">
  <location ref="A2:E7" firstHeaderRow="0" firstDataRow="1" firstDataCol="1"/>
  <pivotFields count="25">
    <pivotField axis="axisRow" showAll="0">
      <items count="8">
        <item m="1" x="4"/>
        <item m="1" x="5"/>
        <item m="1" x="6"/>
        <item x="1"/>
        <item x="0"/>
        <item x="2"/>
        <item x="3"/>
        <item t="default"/>
      </items>
    </pivotField>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dataField="1" showAll="0"/>
    <pivotField showAll="0"/>
    <pivotField showAll="0"/>
    <pivotField showAll="0"/>
    <pivotField showAll="0"/>
    <pivotField showAll="0"/>
    <pivotField showAll="0"/>
  </pivotFields>
  <rowFields count="1">
    <field x="0"/>
  </rowFields>
  <rowItems count="5">
    <i>
      <x v="3"/>
    </i>
    <i>
      <x v="4"/>
    </i>
    <i>
      <x v="5"/>
    </i>
    <i>
      <x v="6"/>
    </i>
    <i t="grand">
      <x/>
    </i>
  </rowItems>
  <colFields count="1">
    <field x="-2"/>
  </colFields>
  <colItems count="4">
    <i>
      <x/>
    </i>
    <i i="1">
      <x v="1"/>
    </i>
    <i i="2">
      <x v="2"/>
    </i>
    <i i="3">
      <x v="3"/>
    </i>
  </colItems>
  <dataFields count="4">
    <dataField name="Total Invoice" fld="5" baseField="0" baseItem="0" numFmtId="166"/>
    <dataField name="Total Room Revenue" fld="18" baseField="0" baseItem="0" numFmtId="166"/>
    <dataField name="Deposit Received" fld="6" baseField="0" baseItem="0" numFmtId="166"/>
    <dataField name="Balance (Final Invoice)" fld="7" baseField="0" baseItem="0" numFmtId="167"/>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F2B558-D044-4DAD-8B9F-6F84BB8B6E8A}" autoFormatId="16" applyNumberFormats="0" applyBorderFormats="0" applyFontFormats="0" applyPatternFormats="0" applyAlignmentFormats="0" applyWidthHeightFormats="0">
  <queryTableRefresh nextId="26">
    <queryTableFields count="16">
      <queryTableField id="1" name="Resort" tableColumnId="1"/>
      <queryTableField id="4" name="Due Date" tableColumnId="4"/>
      <queryTableField id="6" name="Invoice Amount" tableColumnId="6"/>
      <queryTableField id="7" name="Payment Received" tableColumnId="7"/>
      <queryTableField id="8" name="Balance" tableColumnId="8"/>
      <queryTableField id="9" name="Payment Status" tableColumnId="9"/>
      <queryTableField id="12" name="Arrival" tableColumnId="12"/>
      <queryTableField id="13" name="Departure" tableColumnId="13"/>
      <queryTableField id="14" name="No of nights" tableColumnId="14"/>
      <queryTableField id="22" dataBound="0" tableColumnId="24"/>
      <queryTableField id="23" dataBound="0" tableColumnId="25"/>
      <queryTableField id="24" dataBound="0" tableColumnId="26"/>
      <queryTableField id="25" dataBound="0" tableColumnId="27"/>
      <queryTableField id="15" name="Room Revenue" tableColumnId="15"/>
      <queryTableField id="18" name="Date Entered" tableColumnId="18"/>
      <queryTableField id="21" name="Country" tableColumnId="21"/>
    </queryTableFields>
    <queryTableDeletedFields count="9">
      <deletedField name="FF Comments"/>
      <deletedField name="Reference"/>
      <deletedField name="Origin"/>
      <deletedField name="First Name"/>
      <deletedField name="Last Name"/>
      <deletedField name="Rate Code"/>
      <deletedField name="Opera Status"/>
      <deletedField name="Source"/>
      <deletedField name="Marke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B9B5FC1-7578-4E6B-88B0-3350DAF57107}" sourceName="Month">
  <pivotTables>
    <pivotTable tabId="7" name="pvt_PaymentStatus"/>
    <pivotTable tabId="7" name="pvt_Country_Pct"/>
    <pivotTable tabId="7" name="pvt_DepositVsFull"/>
    <pivotTable tabId="7" name="pvt_Resort_Collection"/>
    <pivotTable tabId="7" name="PivotTable1"/>
  </pivotTables>
  <data>
    <tabular pivotCacheId="809619010">
      <items count="13">
        <i x="0" s="1"/>
        <i x="1" s="1"/>
        <i x="2" s="1"/>
        <i x="3" s="1"/>
        <i x="4" s="1"/>
        <i x="5" s="1"/>
        <i x="6" s="1"/>
        <i x="7" s="1"/>
        <i x="8" s="1"/>
        <i x="9" s="1"/>
        <i x="10"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rt" xr10:uid="{9C4BD28D-366F-425C-9B2B-9EC1B1125827}" sourceName="Resort">
  <pivotTables>
    <pivotTable tabId="7" name="pvt_PaymentStatus"/>
    <pivotTable tabId="7" name="pvt_Country_Pct"/>
    <pivotTable tabId="7" name="pvt_DepositVsFull"/>
    <pivotTable tabId="7" name="pvt_Resort_Collection"/>
    <pivotTable tabId="7" name="PivotTable1"/>
  </pivotTables>
  <data>
    <tabular pivotCacheId="809619010">
      <items count="7">
        <i x="0" s="1"/>
        <i x="2" s="1"/>
        <i x="3" s="1"/>
        <i x="4" s="1" nd="1"/>
        <i x="5" s="1" nd="1"/>
        <i x="6" s="1" nd="1"/>
        <i x="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494505B-AF22-4542-B0F4-644601BC20D0}" cache="Slicer_Month" caption="Month" style="SlicerStyleOther2" rowHeight="257175"/>
  <slicer name="Resort 1" xr10:uid="{3F7E1F51-DEF0-4FD5-A711-94356879A2FB}" cache="Slicer_Resort" caption="Resort" style="SlicerStyleOther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852BE15-CC00-490C-AA3A-CF2F816E737B}" cache="Slicer_Month" caption="Month" style="SlicerStyleOther2" rowHeight="257175"/>
  <slicer name="Resort" xr10:uid="{07D17C7F-95DF-4A3A-A34A-3ACA613DD9D9}" cache="Slicer_Resort" caption="Resort" style="SlicerStyleOther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4EDDD0-755C-4554-BD75-3A934B73E99E}" name="tblPayments" displayName="tblPayments" ref="A1:P1001" tableType="queryTable" totalsRowShown="0" headerRowDxfId="441" headerRowBorderDxfId="440" tableBorderDxfId="439" totalsRowBorderDxfId="438">
  <autoFilter ref="A1:P1001" xr:uid="{EA4EDDD0-755C-4554-BD75-3A934B73E99E}"/>
  <tableColumns count="16">
    <tableColumn id="1" xr3:uid="{18AE8CD6-7D46-411A-95F5-0BD05DC1F560}" uniqueName="1" name="Resort" queryTableFieldId="1" dataDxfId="387"/>
    <tableColumn id="4" xr3:uid="{5733D3E2-C0D1-4F72-B917-D326117A4175}" uniqueName="4" name="Due Date" queryTableFieldId="4" dataDxfId="386"/>
    <tableColumn id="6" xr3:uid="{16F92C2A-80EF-44F2-848F-191ECC013640}" uniqueName="6" name="Invoice Amount" queryTableFieldId="6" dataDxfId="385"/>
    <tableColumn id="7" xr3:uid="{F7A29192-949C-41E2-B7EB-CCBBDA564591}" uniqueName="7" name="Payment Received" queryTableFieldId="7" dataDxfId="384"/>
    <tableColumn id="8" xr3:uid="{495A45A6-779B-464B-8BD2-D023D1D3ADEA}" uniqueName="8" name="Balance" queryTableFieldId="8" dataDxfId="383"/>
    <tableColumn id="9" xr3:uid="{7BB4E2BF-1827-4CD8-B524-6791EAEB228D}" uniqueName="9" name="Payment Status" queryTableFieldId="9" dataDxfId="382"/>
    <tableColumn id="12" xr3:uid="{6AD8ED5E-3C04-480A-86BA-4A826C1DA61C}" uniqueName="12" name="Arrival" queryTableFieldId="12" dataDxfId="381"/>
    <tableColumn id="13" xr3:uid="{851F6CF1-A2C7-490B-B4FC-B4254ECC1729}" uniqueName="13" name="Departure" queryTableFieldId="13" dataDxfId="380"/>
    <tableColumn id="14" xr3:uid="{A8FFE3D3-2904-4285-A506-77307DFC9F08}" uniqueName="14" name="No of nights" queryTableFieldId="14" dataDxfId="379"/>
    <tableColumn id="24" xr3:uid="{32762E7D-4196-4D45-98C2-CC8E7DC7AF50}" uniqueName="24" name="Month" queryTableFieldId="22" dataDxfId="378">
      <calculatedColumnFormula>TEXT(tblPayments[[#This Row],[Arrival]],"mmm")</calculatedColumnFormula>
    </tableColumn>
    <tableColumn id="25" xr3:uid="{6F69769E-AC4E-407E-BFC7-96E2D71DD74B}" uniqueName="25" name="Month Number" queryTableFieldId="23" dataDxfId="377">
      <calculatedColumnFormula>MONTH(tblPayments[[#This Row],[Arrival]])</calculatedColumnFormula>
    </tableColumn>
    <tableColumn id="26" xr3:uid="{6CA81C25-D490-4580-9CFA-6F542B937BFE}" uniqueName="26" name="Year" queryTableFieldId="24" dataDxfId="376">
      <calculatedColumnFormula>YEAR(tblPayments[[#This Row],[Arrival]])</calculatedColumnFormula>
    </tableColumn>
    <tableColumn id="27" xr3:uid="{02E69DBA-5974-493D-92BD-9F8D59C7D13F}" uniqueName="27" name="Payment Type" queryTableFieldId="25" dataDxfId="375">
      <calculatedColumnFormula>IF(tblPayments[[#This Row],[Balance]]=0,"Full Payment","Deposit")</calculatedColumnFormula>
    </tableColumn>
    <tableColumn id="15" xr3:uid="{80FF5A22-3CDD-4838-99B7-52C32A00B8A9}" uniqueName="15" name="Room Revenue" queryTableFieldId="15" dataDxfId="374"/>
    <tableColumn id="18" xr3:uid="{72E2A2CC-8F9F-4F2D-83A8-A7773E403D2F}" uniqueName="18" name="Date Entered" queryTableFieldId="18" dataDxfId="373"/>
    <tableColumn id="21" xr3:uid="{AB1A0418-62D9-4C2F-8F9B-9B0C2BD9AE72}" uniqueName="21" name="Country" queryTableFieldId="21" dataDxfId="37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86D57B-93BE-4038-B03C-8D8B4B2AE4CC}" name="tblSheet1" displayName="tblSheet1" ref="A1:L428" totalsRowShown="0" headerRowDxfId="437" dataDxfId="435" headerRowBorderDxfId="436" tableBorderDxfId="434" totalsRowBorderDxfId="433">
  <autoFilter ref="A1:L428" xr:uid="{6386D57B-93BE-4038-B03C-8D8B4B2AE4CC}"/>
  <tableColumns count="12">
    <tableColumn id="1" xr3:uid="{07DA67B4-0176-4093-B755-8F23ACA04384}" name="Resort" dataDxfId="432"/>
    <tableColumn id="4" xr3:uid="{BD7695F8-9687-46C9-9AA8-6BE4CDDDB38D}" name="Due Date" dataDxfId="431"/>
    <tableColumn id="6" xr3:uid="{B5F6ECB6-362F-4783-B286-A7C01E9ABCB8}" name="Invoice Amount" dataDxfId="430"/>
    <tableColumn id="7" xr3:uid="{0DE0E609-2CE2-4769-9B09-F91D17BBC7B5}" name="Payment Received" dataDxfId="429"/>
    <tableColumn id="8" xr3:uid="{786EC52F-3CB8-4296-9C8E-0E877F50F3AF}" name="Balance" dataDxfId="428"/>
    <tableColumn id="9" xr3:uid="{1AEC2252-AF62-46BC-B7E4-F517772D8559}" name="Payment Status" dataDxfId="427"/>
    <tableColumn id="12" xr3:uid="{9373708B-6FB4-47AF-943E-953D55C50719}" name="Arrival" dataDxfId="426"/>
    <tableColumn id="13" xr3:uid="{1B94E42A-2331-433B-804D-954CE227E5DD}" name="Departure" dataDxfId="425"/>
    <tableColumn id="14" xr3:uid="{8F58D172-3CAD-48E9-BA8A-24A7E4F3D166}" name="No of nights" dataDxfId="424"/>
    <tableColumn id="15" xr3:uid="{DB9CB41B-5C59-4D29-9894-C16C85988E48}" name="Room Revenue" dataDxfId="423"/>
    <tableColumn id="18" xr3:uid="{DC914509-E62B-4375-8E69-56FD57E85CF2}" name="Date Entered" dataDxfId="422"/>
    <tableColumn id="21" xr3:uid="{59458EA3-6443-4CD0-BE85-247264374227}" name="Country" dataDxfId="42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A0E86E-5134-4C7A-813C-D96054136CA3}" name="tblSheet2" displayName="tblSheet2" ref="A1:L495" totalsRowShown="0" headerRowDxfId="420" dataDxfId="418" headerRowBorderDxfId="419" tableBorderDxfId="417" totalsRowBorderDxfId="416">
  <autoFilter ref="A1:L495" xr:uid="{224A26F3-E51F-4552-B586-1F5D21DC118A}"/>
  <tableColumns count="12">
    <tableColumn id="1" xr3:uid="{46224E95-2ECC-4DB5-AF58-9A8F33D9E6A1}" name="Resort" dataDxfId="415"/>
    <tableColumn id="4" xr3:uid="{0420A98F-09F2-476C-9969-B63F583FC060}" name="Due Date" dataDxfId="414"/>
    <tableColumn id="6" xr3:uid="{CDE3FC34-B582-4953-8672-2794971371EE}" name="Invoice Amount" dataDxfId="413"/>
    <tableColumn id="7" xr3:uid="{C5F4E361-0370-454B-9BF0-B5229400C985}" name="Payment Received" dataDxfId="412"/>
    <tableColumn id="8" xr3:uid="{55518D34-D924-4868-AEF2-F850F2F12B74}" name="Balance" dataDxfId="411"/>
    <tableColumn id="9" xr3:uid="{6E18AA2F-C0C6-48E2-B977-90F924533882}" name="Payment Status" dataDxfId="410"/>
    <tableColumn id="12" xr3:uid="{8C7B5EF2-0B44-4AF5-A7D2-B66FF1F7E3DF}" name="Arrival" dataDxfId="409"/>
    <tableColumn id="13" xr3:uid="{19DF0B48-4939-444E-A75A-8CDB4A3DECBA}" name="Departure" dataDxfId="408"/>
    <tableColumn id="14" xr3:uid="{C7E987C0-5D56-429F-98D4-A1B8A8045579}" name="No of nights" dataDxfId="407"/>
    <tableColumn id="15" xr3:uid="{7AE01630-F747-42AB-8D02-242C1FFDF206}" name="Room Revenue" dataDxfId="406"/>
    <tableColumn id="18" xr3:uid="{6DF433FB-21CC-48B5-B548-1B25F33D131E}" name="Date Entered" dataDxfId="405"/>
    <tableColumn id="21" xr3:uid="{34FA78A0-82F1-47FD-A417-7245DB19B27A}" name="Country" dataDxfId="4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0F84E0-8E7E-4633-AFA3-66807A1D33C7}" name="tblSheet3" displayName="tblSheet3" ref="A1:L80" totalsRowShown="0" headerRowDxfId="403" headerRowBorderDxfId="402" tableBorderDxfId="401" totalsRowBorderDxfId="400">
  <autoFilter ref="A1:L80" xr:uid="{24C3E715-E31D-4B42-8C16-21C531007B96}"/>
  <tableColumns count="12">
    <tableColumn id="1" xr3:uid="{C807ED49-562E-44A2-AC1D-761853FFCF22}" name="Resort" dataDxfId="399"/>
    <tableColumn id="4" xr3:uid="{770E73CD-0BE2-4201-AD36-63D2939208D7}" name="Due Date" dataDxfId="398"/>
    <tableColumn id="6" xr3:uid="{FB42BD2E-A260-4354-8E48-1013D5D5320D}" name="Invoice Amount" dataDxfId="397"/>
    <tableColumn id="7" xr3:uid="{03580235-1AF3-4954-ACED-74CD3DE51596}" name="Payment Received" dataDxfId="396"/>
    <tableColumn id="8" xr3:uid="{3A809FDC-9C71-48FC-A4D9-E5F672E9A85A}" name="Balance" dataDxfId="395"/>
    <tableColumn id="9" xr3:uid="{0F0DF68B-BD65-46E4-B106-DB3EDE70E31B}" name="Payment Status" dataDxfId="394"/>
    <tableColumn id="12" xr3:uid="{1DAFC05F-F07C-4864-8974-10634D9F5213}" name="Arrival" dataDxfId="393"/>
    <tableColumn id="13" xr3:uid="{C27C3393-BF84-41A7-812C-0644FDF496A1}" name="Departure" dataDxfId="392"/>
    <tableColumn id="14" xr3:uid="{EB0D4869-BD20-472E-9EC1-5E5177F76EF5}" name="No of nights" dataDxfId="391"/>
    <tableColumn id="17" xr3:uid="{3454BDA6-C05D-439B-8B78-94B544D85C6A}" name="Opera Status" dataDxfId="390"/>
    <tableColumn id="18" xr3:uid="{EBDAD0D7-2233-46DA-8ECB-1188D3DC0D1A}" name="Date Entered" dataDxfId="389"/>
    <tableColumn id="21" xr3:uid="{6CDBFDFC-CCF7-41FC-9AF0-18872C2563B1}" name="Country" dataDxfId="38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C4CB-D774-46CA-88D2-3A2B7E752675}">
  <dimension ref="AA56"/>
  <sheetViews>
    <sheetView showGridLines="0" tabSelected="1" topLeftCell="A3" zoomScale="50" zoomScaleNormal="50" workbookViewId="0">
      <selection activeCell="S41" sqref="S41"/>
    </sheetView>
  </sheetViews>
  <sheetFormatPr defaultColWidth="9.109375" defaultRowHeight="14.4" x14ac:dyDescent="0.3"/>
  <cols>
    <col min="1" max="1" width="5.33203125" style="66" customWidth="1"/>
    <col min="2" max="2" width="9.109375" style="66"/>
    <col min="3" max="3" width="15.109375" style="66" customWidth="1"/>
    <col min="4" max="4" width="15.6640625" style="66" customWidth="1"/>
    <col min="5" max="5" width="15.44140625" style="66" customWidth="1"/>
    <col min="6" max="6" width="25.6640625" style="66" customWidth="1"/>
    <col min="7" max="7" width="20.33203125" style="66" customWidth="1"/>
    <col min="8" max="8" width="20.109375" style="66" customWidth="1"/>
    <col min="9" max="9" width="24" style="66" customWidth="1"/>
    <col min="10" max="10" width="11.109375" style="66" bestFit="1" customWidth="1"/>
    <col min="11" max="11" width="9.109375" style="66"/>
    <col min="12" max="12" width="4.88671875" style="66" customWidth="1"/>
    <col min="13" max="13" width="9.109375" style="66"/>
    <col min="14" max="14" width="9.109375" style="66" customWidth="1"/>
    <col min="15" max="16384" width="9.109375" style="66"/>
  </cols>
  <sheetData>
    <row r="56" spans="27:27" x14ac:dyDescent="0.3">
      <c r="AA56" s="66" t="s">
        <v>97</v>
      </c>
    </row>
  </sheetData>
  <sheetProtection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4D0C1-857A-45F3-AC3E-A3E7BDC30CC3}">
  <dimension ref="A1:F67"/>
  <sheetViews>
    <sheetView zoomScale="55" zoomScaleNormal="55" workbookViewId="0">
      <selection activeCell="H41" sqref="H41"/>
    </sheetView>
  </sheetViews>
  <sheetFormatPr defaultRowHeight="14.4" x14ac:dyDescent="0.3"/>
  <cols>
    <col min="1" max="1" width="15" bestFit="1" customWidth="1"/>
    <col min="2" max="2" width="28.109375" bestFit="1" customWidth="1"/>
    <col min="3" max="3" width="27.6640625" bestFit="1" customWidth="1"/>
    <col min="4" max="4" width="41.6640625" bestFit="1" customWidth="1"/>
    <col min="5" max="5" width="28.109375" bestFit="1" customWidth="1"/>
    <col min="6" max="6" width="15" customWidth="1"/>
    <col min="7" max="7" width="25.33203125" bestFit="1" customWidth="1"/>
    <col min="8" max="8" width="28.109375" bestFit="1" customWidth="1"/>
    <col min="12" max="12" width="15" bestFit="1" customWidth="1"/>
    <col min="13" max="13" width="28.109375" bestFit="1" customWidth="1"/>
  </cols>
  <sheetData>
    <row r="1" spans="1:6" ht="16.8" x14ac:dyDescent="0.3">
      <c r="A1" s="73" t="s">
        <v>90</v>
      </c>
      <c r="B1" s="73"/>
      <c r="C1" s="73"/>
      <c r="D1" s="73"/>
      <c r="E1" s="73"/>
      <c r="F1" s="65"/>
    </row>
    <row r="2" spans="1:6" x14ac:dyDescent="0.3">
      <c r="A2" s="47" t="s">
        <v>46</v>
      </c>
      <c r="B2" t="s">
        <v>94</v>
      </c>
      <c r="C2" t="s">
        <v>95</v>
      </c>
      <c r="D2" t="s">
        <v>96</v>
      </c>
      <c r="E2" t="s">
        <v>99</v>
      </c>
      <c r="F2" s="65"/>
    </row>
    <row r="3" spans="1:6" x14ac:dyDescent="0.3">
      <c r="A3" s="48" t="s">
        <v>87</v>
      </c>
      <c r="B3" s="44"/>
      <c r="C3" s="44"/>
      <c r="D3" s="44"/>
      <c r="E3" s="49"/>
      <c r="F3" s="65"/>
    </row>
    <row r="4" spans="1:6" x14ac:dyDescent="0.3">
      <c r="A4" s="48" t="s">
        <v>101</v>
      </c>
      <c r="B4" s="44">
        <v>15729668.609999999</v>
      </c>
      <c r="C4" s="44">
        <v>8152194.3699999992</v>
      </c>
      <c r="D4" s="44">
        <v>5133921.7900000028</v>
      </c>
      <c r="E4" s="49">
        <v>10603621.440000005</v>
      </c>
      <c r="F4" s="65"/>
    </row>
    <row r="5" spans="1:6" x14ac:dyDescent="0.3">
      <c r="A5" s="48" t="s">
        <v>102</v>
      </c>
      <c r="B5" s="44">
        <v>11586879.509999994</v>
      </c>
      <c r="C5" s="44">
        <v>6380161.7700000089</v>
      </c>
      <c r="D5" s="44">
        <v>2984393.7700000019</v>
      </c>
      <c r="E5" s="49">
        <v>8615913.2170000002</v>
      </c>
      <c r="F5" s="65"/>
    </row>
    <row r="6" spans="1:6" x14ac:dyDescent="0.3">
      <c r="A6" s="48" t="s">
        <v>103</v>
      </c>
      <c r="B6" s="44">
        <v>2006000.03</v>
      </c>
      <c r="C6" s="44"/>
      <c r="D6" s="44">
        <v>862637.57000000007</v>
      </c>
      <c r="E6" s="49">
        <v>1143362.46</v>
      </c>
      <c r="F6" s="65"/>
    </row>
    <row r="7" spans="1:6" x14ac:dyDescent="0.3">
      <c r="A7" s="48" t="s">
        <v>88</v>
      </c>
      <c r="B7" s="44">
        <v>29322548.149999995</v>
      </c>
      <c r="C7" s="44">
        <v>14532356.140000008</v>
      </c>
      <c r="D7" s="44">
        <v>8980953.1300000045</v>
      </c>
      <c r="E7" s="49">
        <v>20362897.117000006</v>
      </c>
      <c r="F7" s="65"/>
    </row>
    <row r="8" spans="1:6" x14ac:dyDescent="0.3">
      <c r="A8" s="48"/>
      <c r="B8" s="44"/>
      <c r="C8" s="44"/>
      <c r="D8" s="44"/>
      <c r="E8" s="49"/>
    </row>
    <row r="9" spans="1:6" x14ac:dyDescent="0.3">
      <c r="A9" s="48"/>
      <c r="B9" s="44"/>
      <c r="C9" s="44"/>
      <c r="D9" s="44"/>
      <c r="E9" s="49"/>
    </row>
    <row r="11" spans="1:6" x14ac:dyDescent="0.3">
      <c r="A11" s="47" t="s">
        <v>83</v>
      </c>
      <c r="B11" t="s">
        <v>91</v>
      </c>
      <c r="D11" s="47" t="s">
        <v>83</v>
      </c>
      <c r="E11" t="s">
        <v>91</v>
      </c>
    </row>
    <row r="12" spans="1:6" x14ac:dyDescent="0.3">
      <c r="C12" s="54"/>
    </row>
    <row r="13" spans="1:6" x14ac:dyDescent="0.3">
      <c r="A13" s="53" t="s">
        <v>53</v>
      </c>
      <c r="B13" s="54" t="s">
        <v>98</v>
      </c>
      <c r="D13" s="47" t="s">
        <v>69</v>
      </c>
      <c r="E13" t="s">
        <v>89</v>
      </c>
    </row>
    <row r="14" spans="1:6" x14ac:dyDescent="0.3">
      <c r="A14" s="48" t="s">
        <v>2</v>
      </c>
      <c r="B14" s="50">
        <v>0.23630080491486891</v>
      </c>
      <c r="D14" s="48" t="s">
        <v>75</v>
      </c>
      <c r="E14" s="44">
        <v>13520991.050000003</v>
      </c>
    </row>
    <row r="15" spans="1:6" x14ac:dyDescent="0.3">
      <c r="A15" s="48" t="s">
        <v>15</v>
      </c>
      <c r="B15" s="50">
        <v>0.11350124801483191</v>
      </c>
      <c r="D15" s="48" t="s">
        <v>72</v>
      </c>
      <c r="E15" s="44">
        <v>8432884.8000000026</v>
      </c>
    </row>
    <row r="16" spans="1:6" x14ac:dyDescent="0.3">
      <c r="A16" s="48" t="s">
        <v>13</v>
      </c>
      <c r="B16" s="50">
        <v>8.2200773195763313E-2</v>
      </c>
      <c r="D16" s="48" t="s">
        <v>70</v>
      </c>
      <c r="E16" s="44">
        <v>6227911.2699999996</v>
      </c>
    </row>
    <row r="17" spans="1:5" x14ac:dyDescent="0.3">
      <c r="A17" s="48" t="s">
        <v>1</v>
      </c>
      <c r="B17" s="50">
        <v>7.627560567242174E-2</v>
      </c>
      <c r="D17" s="48" t="s">
        <v>79</v>
      </c>
      <c r="E17" s="44">
        <v>589432.94000000006</v>
      </c>
    </row>
    <row r="18" spans="1:5" x14ac:dyDescent="0.3">
      <c r="A18" s="48" t="s">
        <v>31</v>
      </c>
      <c r="B18" s="50">
        <v>7.1997551481554983E-2</v>
      </c>
      <c r="D18" s="48" t="s">
        <v>80</v>
      </c>
      <c r="E18" s="44">
        <v>487764.13</v>
      </c>
    </row>
    <row r="19" spans="1:5" x14ac:dyDescent="0.3">
      <c r="A19" s="48" t="s">
        <v>18</v>
      </c>
      <c r="B19" s="50">
        <v>4.0383810231717519E-2</v>
      </c>
      <c r="D19" s="48" t="s">
        <v>87</v>
      </c>
      <c r="E19" s="44">
        <v>30773.279999999999</v>
      </c>
    </row>
    <row r="20" spans="1:5" x14ac:dyDescent="0.3">
      <c r="A20" s="48" t="s">
        <v>24</v>
      </c>
      <c r="B20" s="50">
        <v>3.8771697609097454E-2</v>
      </c>
      <c r="D20" s="48" t="s">
        <v>82</v>
      </c>
      <c r="E20" s="44">
        <v>19329</v>
      </c>
    </row>
    <row r="21" spans="1:5" x14ac:dyDescent="0.3">
      <c r="A21" s="48" t="s">
        <v>38</v>
      </c>
      <c r="B21" s="50">
        <v>3.7696999399419513E-2</v>
      </c>
      <c r="D21" s="48" t="s">
        <v>73</v>
      </c>
      <c r="E21" s="44">
        <v>13461.68</v>
      </c>
    </row>
    <row r="22" spans="1:5" x14ac:dyDescent="0.3">
      <c r="A22" s="48" t="s">
        <v>16</v>
      </c>
      <c r="B22" s="50">
        <v>2.8594582425470413E-2</v>
      </c>
      <c r="D22" s="48" t="s">
        <v>74</v>
      </c>
      <c r="E22" s="44">
        <v>0</v>
      </c>
    </row>
    <row r="23" spans="1:5" x14ac:dyDescent="0.3">
      <c r="A23" s="48" t="s">
        <v>9</v>
      </c>
      <c r="B23" s="50">
        <v>2.6353999524424E-2</v>
      </c>
      <c r="D23" s="48" t="s">
        <v>88</v>
      </c>
      <c r="E23" s="44">
        <v>29322548.150000006</v>
      </c>
    </row>
    <row r="24" spans="1:5" x14ac:dyDescent="0.3">
      <c r="A24" s="48" t="s">
        <v>14</v>
      </c>
      <c r="B24" s="50">
        <v>2.0616290811683771E-2</v>
      </c>
    </row>
    <row r="25" spans="1:5" x14ac:dyDescent="0.3">
      <c r="A25" s="48" t="s">
        <v>17</v>
      </c>
      <c r="B25" s="50">
        <v>1.8817521832596936E-2</v>
      </c>
    </row>
    <row r="26" spans="1:5" x14ac:dyDescent="0.3">
      <c r="A26" s="48" t="s">
        <v>5</v>
      </c>
      <c r="B26" s="50">
        <v>1.8544649230970735E-2</v>
      </c>
    </row>
    <row r="27" spans="1:5" x14ac:dyDescent="0.3">
      <c r="A27" s="48" t="s">
        <v>22</v>
      </c>
      <c r="B27" s="50">
        <v>1.6808676295071576E-2</v>
      </c>
    </row>
    <row r="28" spans="1:5" x14ac:dyDescent="0.3">
      <c r="A28" s="48" t="s">
        <v>40</v>
      </c>
      <c r="B28" s="50">
        <v>1.6435078477311665E-2</v>
      </c>
      <c r="D28" s="47" t="s">
        <v>83</v>
      </c>
      <c r="E28" t="s">
        <v>91</v>
      </c>
    </row>
    <row r="29" spans="1:5" x14ac:dyDescent="0.3">
      <c r="A29" s="48" t="s">
        <v>27</v>
      </c>
      <c r="B29" s="50">
        <v>1.5615794973125485E-2</v>
      </c>
    </row>
    <row r="30" spans="1:5" x14ac:dyDescent="0.3">
      <c r="A30" s="48" t="s">
        <v>87</v>
      </c>
      <c r="B30" s="50">
        <v>1.2285495044877264E-2</v>
      </c>
      <c r="D30" s="47" t="s">
        <v>100</v>
      </c>
      <c r="E30" t="s">
        <v>89</v>
      </c>
    </row>
    <row r="31" spans="1:5" x14ac:dyDescent="0.3">
      <c r="A31" s="48" t="s">
        <v>12</v>
      </c>
      <c r="B31" s="50">
        <v>1.0643584875484296E-2</v>
      </c>
      <c r="D31" s="48" t="s">
        <v>92</v>
      </c>
      <c r="E31" s="44">
        <v>22959656.140000008</v>
      </c>
    </row>
    <row r="32" spans="1:5" x14ac:dyDescent="0.3">
      <c r="A32" s="48" t="s">
        <v>26</v>
      </c>
      <c r="B32" s="50">
        <v>9.4251249443340068E-3</v>
      </c>
      <c r="D32" s="48" t="s">
        <v>93</v>
      </c>
      <c r="E32" s="44">
        <v>6362892.0099999998</v>
      </c>
    </row>
    <row r="33" spans="1:5" x14ac:dyDescent="0.3">
      <c r="A33" s="48" t="s">
        <v>44</v>
      </c>
      <c r="B33" s="50">
        <v>8.7272183403337682E-3</v>
      </c>
      <c r="D33" s="48" t="s">
        <v>88</v>
      </c>
      <c r="E33" s="44">
        <v>29322548.150000006</v>
      </c>
    </row>
    <row r="34" spans="1:5" x14ac:dyDescent="0.3">
      <c r="A34" s="48" t="s">
        <v>20</v>
      </c>
      <c r="B34" s="50">
        <v>7.8760917645555976E-3</v>
      </c>
    </row>
    <row r="35" spans="1:5" x14ac:dyDescent="0.3">
      <c r="A35" s="48" t="s">
        <v>33</v>
      </c>
      <c r="B35" s="50">
        <v>7.5087399933214879E-3</v>
      </c>
    </row>
    <row r="36" spans="1:5" x14ac:dyDescent="0.3">
      <c r="A36" s="48" t="s">
        <v>21</v>
      </c>
      <c r="B36" s="50">
        <v>7.1381040600320403E-3</v>
      </c>
    </row>
    <row r="37" spans="1:5" x14ac:dyDescent="0.3">
      <c r="A37" s="48" t="s">
        <v>25</v>
      </c>
      <c r="B37" s="50">
        <v>6.8708946770030281E-3</v>
      </c>
    </row>
    <row r="38" spans="1:5" x14ac:dyDescent="0.3">
      <c r="A38" s="48" t="s">
        <v>34</v>
      </c>
      <c r="B38" s="50">
        <v>6.3839097148860845E-3</v>
      </c>
      <c r="D38" s="47" t="s">
        <v>83</v>
      </c>
      <c r="E38" t="s">
        <v>91</v>
      </c>
    </row>
    <row r="39" spans="1:5" x14ac:dyDescent="0.3">
      <c r="A39" s="48" t="s">
        <v>37</v>
      </c>
      <c r="B39" s="50">
        <v>5.1743852281814738E-3</v>
      </c>
    </row>
    <row r="40" spans="1:5" x14ac:dyDescent="0.3">
      <c r="A40" s="48" t="s">
        <v>8</v>
      </c>
      <c r="B40" s="50">
        <v>4.7798472111981157E-3</v>
      </c>
      <c r="D40" s="53" t="s">
        <v>53</v>
      </c>
      <c r="E40" s="54" t="s">
        <v>98</v>
      </c>
    </row>
    <row r="41" spans="1:5" x14ac:dyDescent="0.3">
      <c r="A41" s="48" t="s">
        <v>43</v>
      </c>
      <c r="B41" s="50">
        <v>4.7457335320293436E-3</v>
      </c>
      <c r="D41" s="48" t="s">
        <v>2</v>
      </c>
      <c r="E41" s="90">
        <v>0.31419759166296085</v>
      </c>
    </row>
    <row r="42" spans="1:5" x14ac:dyDescent="0.3">
      <c r="A42" s="48" t="s">
        <v>61</v>
      </c>
      <c r="B42" s="50">
        <v>4.734171440008361E-3</v>
      </c>
      <c r="D42" s="48" t="s">
        <v>15</v>
      </c>
      <c r="E42" s="90">
        <v>0.15091704317235963</v>
      </c>
    </row>
    <row r="43" spans="1:5" x14ac:dyDescent="0.3">
      <c r="A43" s="48" t="s">
        <v>32</v>
      </c>
      <c r="B43" s="50">
        <v>4.7147689652612939E-3</v>
      </c>
      <c r="D43" s="48" t="s">
        <v>13</v>
      </c>
      <c r="E43" s="90">
        <v>0.10929833683912667</v>
      </c>
    </row>
    <row r="44" spans="1:5" x14ac:dyDescent="0.3">
      <c r="A44" s="48" t="s">
        <v>6</v>
      </c>
      <c r="B44" s="50">
        <v>4.1502852813970047E-3</v>
      </c>
      <c r="D44" s="48" t="s">
        <v>1</v>
      </c>
      <c r="E44" s="90">
        <v>0.10141993216460932</v>
      </c>
    </row>
    <row r="45" spans="1:5" x14ac:dyDescent="0.3">
      <c r="A45" s="48" t="s">
        <v>36</v>
      </c>
      <c r="B45" s="50">
        <v>4.0960628450703047E-3</v>
      </c>
      <c r="D45" s="48" t="s">
        <v>31</v>
      </c>
      <c r="E45" s="90">
        <v>9.5731613310772901E-2</v>
      </c>
    </row>
    <row r="46" spans="1:5" x14ac:dyDescent="0.3">
      <c r="A46" s="48" t="s">
        <v>60</v>
      </c>
      <c r="B46" s="50">
        <v>3.4492595760304001E-3</v>
      </c>
      <c r="D46" s="48" t="s">
        <v>18</v>
      </c>
      <c r="E46" s="90">
        <v>5.3696371967716795E-2</v>
      </c>
    </row>
    <row r="47" spans="1:5" x14ac:dyDescent="0.3">
      <c r="A47" s="48" t="s">
        <v>35</v>
      </c>
      <c r="B47" s="50">
        <v>3.2519124706424946E-3</v>
      </c>
      <c r="D47" s="48" t="s">
        <v>24</v>
      </c>
      <c r="E47" s="90">
        <v>5.1552824874429623E-2</v>
      </c>
    </row>
    <row r="48" spans="1:5" x14ac:dyDescent="0.3">
      <c r="A48" s="48" t="s">
        <v>10</v>
      </c>
      <c r="B48" s="50">
        <v>2.9024080569205234E-3</v>
      </c>
      <c r="D48" s="48" t="s">
        <v>38</v>
      </c>
      <c r="E48" s="90">
        <v>5.0123851370226145E-2</v>
      </c>
    </row>
    <row r="49" spans="1:5" x14ac:dyDescent="0.3">
      <c r="A49" s="48" t="s">
        <v>41</v>
      </c>
      <c r="B49" s="50">
        <v>2.6586059165529924E-3</v>
      </c>
      <c r="D49" s="48" t="s">
        <v>16</v>
      </c>
      <c r="E49" s="90">
        <v>3.8020813919476842E-2</v>
      </c>
    </row>
    <row r="50" spans="1:5" x14ac:dyDescent="0.3">
      <c r="A50" s="48" t="s">
        <v>28</v>
      </c>
      <c r="B50" s="50">
        <v>2.4146946451514308E-3</v>
      </c>
      <c r="D50" s="48" t="s">
        <v>9</v>
      </c>
      <c r="E50" s="90">
        <v>3.5041620718321162E-2</v>
      </c>
    </row>
    <row r="51" spans="1:5" x14ac:dyDescent="0.3">
      <c r="A51" s="48" t="s">
        <v>30</v>
      </c>
      <c r="B51" s="50">
        <v>2.3194740665810789E-3</v>
      </c>
      <c r="D51" s="48" t="s">
        <v>88</v>
      </c>
      <c r="E51" s="90">
        <v>1</v>
      </c>
    </row>
    <row r="52" spans="1:5" x14ac:dyDescent="0.3">
      <c r="A52" s="48" t="s">
        <v>42</v>
      </c>
      <c r="B52" s="50">
        <v>1.9432553988320415E-3</v>
      </c>
    </row>
    <row r="53" spans="1:5" x14ac:dyDescent="0.3">
      <c r="A53" s="48" t="s">
        <v>19</v>
      </c>
      <c r="B53" s="50">
        <v>1.7859566546572453E-3</v>
      </c>
    </row>
    <row r="54" spans="1:5" x14ac:dyDescent="0.3">
      <c r="A54" s="48" t="s">
        <v>68</v>
      </c>
      <c r="B54" s="50">
        <v>1.705047588096466E-3</v>
      </c>
    </row>
    <row r="55" spans="1:5" x14ac:dyDescent="0.3">
      <c r="A55" s="48" t="s">
        <v>39</v>
      </c>
      <c r="B55" s="50">
        <v>1.5864439803128091E-3</v>
      </c>
    </row>
    <row r="56" spans="1:5" x14ac:dyDescent="0.3">
      <c r="A56" s="48" t="s">
        <v>57</v>
      </c>
      <c r="B56" s="50">
        <v>1.5562276431968275E-3</v>
      </c>
    </row>
    <row r="57" spans="1:5" x14ac:dyDescent="0.3">
      <c r="A57" s="48" t="s">
        <v>62</v>
      </c>
      <c r="B57" s="50">
        <v>1.241229098297175E-3</v>
      </c>
    </row>
    <row r="58" spans="1:5" x14ac:dyDescent="0.3">
      <c r="A58" s="48" t="s">
        <v>29</v>
      </c>
      <c r="B58" s="50">
        <v>8.7113847914339589E-4</v>
      </c>
    </row>
    <row r="59" spans="1:5" x14ac:dyDescent="0.3">
      <c r="A59" s="48" t="s">
        <v>64</v>
      </c>
      <c r="B59" s="50">
        <v>8.6791433915677613E-4</v>
      </c>
    </row>
    <row r="60" spans="1:5" x14ac:dyDescent="0.3">
      <c r="A60" s="48" t="s">
        <v>67</v>
      </c>
      <c r="B60" s="50">
        <v>7.9410424635963973E-4</v>
      </c>
    </row>
    <row r="61" spans="1:5" x14ac:dyDescent="0.3">
      <c r="A61" s="48" t="s">
        <v>59</v>
      </c>
      <c r="B61" s="50">
        <v>7.0835112602585996E-4</v>
      </c>
    </row>
    <row r="62" spans="1:5" x14ac:dyDescent="0.3">
      <c r="A62" s="48" t="s">
        <v>45</v>
      </c>
      <c r="B62" s="50">
        <v>6.7763551442919184E-4</v>
      </c>
    </row>
    <row r="63" spans="1:5" x14ac:dyDescent="0.3">
      <c r="A63" s="48" t="s">
        <v>66</v>
      </c>
      <c r="B63" s="50">
        <v>5.4260154740337597E-4</v>
      </c>
    </row>
    <row r="64" spans="1:5" x14ac:dyDescent="0.3">
      <c r="A64" s="48" t="s">
        <v>58</v>
      </c>
      <c r="B64" s="50">
        <v>4.2791847201724176E-4</v>
      </c>
    </row>
    <row r="65" spans="1:2" x14ac:dyDescent="0.3">
      <c r="A65" s="48" t="s">
        <v>63</v>
      </c>
      <c r="B65" s="50">
        <v>1.2631917188956853E-4</v>
      </c>
    </row>
    <row r="66" spans="1:2" x14ac:dyDescent="0.3">
      <c r="A66" s="48" t="s">
        <v>65</v>
      </c>
      <c r="B66" s="50">
        <v>0</v>
      </c>
    </row>
    <row r="67" spans="1:2" x14ac:dyDescent="0.3">
      <c r="A67" s="48" t="s">
        <v>88</v>
      </c>
      <c r="B67" s="50">
        <v>1</v>
      </c>
    </row>
  </sheetData>
  <mergeCells count="1">
    <mergeCell ref="A1:E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D417-FC64-42D9-875B-D7596D271B2C}">
  <dimension ref="A1:E7"/>
  <sheetViews>
    <sheetView workbookViewId="0">
      <selection activeCell="D23" sqref="D23"/>
    </sheetView>
  </sheetViews>
  <sheetFormatPr defaultRowHeight="14.4" x14ac:dyDescent="0.3"/>
  <cols>
    <col min="1" max="1" width="18.5546875" bestFit="1" customWidth="1"/>
    <col min="2" max="2" width="13.88671875" bestFit="1" customWidth="1"/>
    <col min="3" max="3" width="20" bestFit="1" customWidth="1"/>
    <col min="4" max="4" width="17.44140625" bestFit="1" customWidth="1"/>
    <col min="5" max="5" width="21.6640625" bestFit="1" customWidth="1"/>
  </cols>
  <sheetData>
    <row r="1" spans="1:5" x14ac:dyDescent="0.3">
      <c r="A1" s="74" t="s">
        <v>90</v>
      </c>
      <c r="B1" s="75"/>
      <c r="C1" s="75"/>
      <c r="D1" s="75"/>
      <c r="E1" s="76"/>
    </row>
    <row r="2" spans="1:5" ht="15" thickBot="1" x14ac:dyDescent="0.35">
      <c r="A2" s="58" t="s">
        <v>46</v>
      </c>
      <c r="B2" s="59" t="s">
        <v>94</v>
      </c>
      <c r="C2" s="60" t="s">
        <v>95</v>
      </c>
      <c r="D2" s="60" t="s">
        <v>96</v>
      </c>
      <c r="E2" s="61" t="s">
        <v>99</v>
      </c>
    </row>
    <row r="3" spans="1:5" x14ac:dyDescent="0.3">
      <c r="A3" s="62" t="s">
        <v>101</v>
      </c>
      <c r="B3" s="55">
        <f>IFERROR(GETPIVOTDATA("Total Invoice",Pivots_Backend!$A$2,"Resort",$A3),0)</f>
        <v>15729668.609999999</v>
      </c>
      <c r="C3" s="55">
        <f>IFERROR(GETPIVOTDATA("Total Room Revenue",Pivots_Backend!$A$2,"Resort",$A3),0)</f>
        <v>8152194.3699999992</v>
      </c>
      <c r="D3" s="55">
        <f>IFERROR(GETPIVOTDATA("Deposit Received",Pivots_Backend!$A$2,"Resort",$A3),0)</f>
        <v>5133921.7900000028</v>
      </c>
      <c r="E3" s="55">
        <f>IFERROR(GETPIVOTDATA("Balance (Final Invoice)",Pivots_Backend!$A$2,"Resort",$A3),0)</f>
        <v>10603621.440000005</v>
      </c>
    </row>
    <row r="4" spans="1:5" x14ac:dyDescent="0.3">
      <c r="A4" s="63" t="s">
        <v>102</v>
      </c>
      <c r="B4" s="55">
        <f>IFERROR(GETPIVOTDATA("Total Invoice",Pivots_Backend!$A$2,"Resort",$A4),0)</f>
        <v>11586879.509999994</v>
      </c>
      <c r="C4" s="55">
        <f>IFERROR(GETPIVOTDATA("Total Room Revenue",Pivots_Backend!$A$2,"Resort",$A4),0)</f>
        <v>6380161.7700000089</v>
      </c>
      <c r="D4" s="55">
        <f>IFERROR(GETPIVOTDATA("Deposit Received",Pivots_Backend!$A$2,"Resort",$A4),0)</f>
        <v>2984393.7700000019</v>
      </c>
      <c r="E4" s="55">
        <f>IFERROR(GETPIVOTDATA("Balance (Final Invoice)",Pivots_Backend!$A$2,"Resort",$A4),0)</f>
        <v>8615913.2170000002</v>
      </c>
    </row>
    <row r="5" spans="1:5" x14ac:dyDescent="0.3">
      <c r="A5" s="63" t="s">
        <v>103</v>
      </c>
      <c r="B5" s="55">
        <f>IFERROR(GETPIVOTDATA("Total Invoice",Pivots_Backend!$A$2,"Resort",$A5),0)</f>
        <v>2006000.03</v>
      </c>
      <c r="C5" s="55">
        <f>IFERROR(GETPIVOTDATA("Total Room Revenue",Pivots_Backend!$A$2,"Resort",$A5),0)</f>
        <v>0</v>
      </c>
      <c r="D5" s="55">
        <f>IFERROR(GETPIVOTDATA("Deposit Received",Pivots_Backend!$A$2,"Resort",$A5),0)</f>
        <v>862637.57000000007</v>
      </c>
      <c r="E5" s="55">
        <f>IFERROR(GETPIVOTDATA("Balance (Final Invoice)",Pivots_Backend!$A$2,"Resort",$A5),0)</f>
        <v>1143362.46</v>
      </c>
    </row>
    <row r="6" spans="1:5" ht="15" thickBot="1" x14ac:dyDescent="0.35">
      <c r="A6" s="64" t="s">
        <v>88</v>
      </c>
      <c r="B6" s="55">
        <f>IFERROR(GETPIVOTDATA("Total Invoice",Pivots_Backend!$A$2),0)</f>
        <v>29322548.149999995</v>
      </c>
      <c r="C6" s="56">
        <f>IFERROR(GETPIVOTDATA("Total Room Revenue",Pivots_Backend!$A$2),0)</f>
        <v>14532356.140000008</v>
      </c>
      <c r="D6" s="56">
        <f>IFERROR(GETPIVOTDATA("Deposit Received",Pivots_Backend!$A$2),0)</f>
        <v>8980953.1300000045</v>
      </c>
      <c r="E6" s="57">
        <f>IFERROR(GETPIVOTDATA("Balance (Final Invoice)",Pivots_Backend!$A$2),0)</f>
        <v>20362897.117000006</v>
      </c>
    </row>
    <row r="7" spans="1:5" x14ac:dyDescent="0.3">
      <c r="E7" t="s">
        <v>97</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CBA0F-D018-404D-A83F-25B47EF4CEE4}">
  <dimension ref="A1:P1001"/>
  <sheetViews>
    <sheetView zoomScale="70" zoomScaleNormal="70" workbookViewId="0">
      <selection activeCell="T13" sqref="T13"/>
    </sheetView>
  </sheetViews>
  <sheetFormatPr defaultRowHeight="14.4" x14ac:dyDescent="0.3"/>
  <cols>
    <col min="1" max="1" width="9.77734375" bestFit="1" customWidth="1"/>
    <col min="2" max="2" width="12" bestFit="1" customWidth="1"/>
    <col min="3" max="3" width="17.77734375" style="44" bestFit="1" customWidth="1"/>
    <col min="4" max="4" width="20.109375" style="44" bestFit="1" customWidth="1"/>
    <col min="5" max="5" width="12" style="44" bestFit="1" customWidth="1"/>
    <col min="6" max="6" width="17.44140625" bestFit="1" customWidth="1"/>
    <col min="7" max="7" width="10" style="46" bestFit="1" customWidth="1"/>
    <col min="8" max="8" width="12.77734375" style="46" bestFit="1" customWidth="1"/>
    <col min="9" max="9" width="14.21875" bestFit="1" customWidth="1"/>
    <col min="10" max="10" width="10.44140625" bestFit="1" customWidth="1"/>
    <col min="11" max="11" width="19.109375" bestFit="1" customWidth="1"/>
    <col min="12" max="12" width="8.88671875" bestFit="1" customWidth="1"/>
    <col min="13" max="13" width="18.88671875" bestFit="1" customWidth="1"/>
    <col min="14" max="14" width="17.109375" style="44" bestFit="1" customWidth="1"/>
    <col min="15" max="15" width="15.33203125" style="46" bestFit="1" customWidth="1"/>
    <col min="16" max="16" width="21.33203125" bestFit="1" customWidth="1"/>
  </cols>
  <sheetData>
    <row r="1" spans="1:16" s="2" customFormat="1" x14ac:dyDescent="0.3">
      <c r="A1" s="36" t="s">
        <v>46</v>
      </c>
      <c r="B1" s="37" t="s">
        <v>71</v>
      </c>
      <c r="C1" s="41" t="s">
        <v>54</v>
      </c>
      <c r="D1" s="41" t="s">
        <v>55</v>
      </c>
      <c r="E1" s="41" t="s">
        <v>56</v>
      </c>
      <c r="F1" s="37" t="s">
        <v>69</v>
      </c>
      <c r="G1" s="45" t="s">
        <v>47</v>
      </c>
      <c r="H1" s="45" t="s">
        <v>48</v>
      </c>
      <c r="I1" s="37" t="s">
        <v>49</v>
      </c>
      <c r="J1" s="26" t="s">
        <v>83</v>
      </c>
      <c r="K1" s="26" t="s">
        <v>84</v>
      </c>
      <c r="L1" s="26" t="s">
        <v>85</v>
      </c>
      <c r="M1" s="26" t="s">
        <v>86</v>
      </c>
      <c r="N1" s="41" t="s">
        <v>50</v>
      </c>
      <c r="O1" s="45" t="s">
        <v>52</v>
      </c>
      <c r="P1" s="39" t="s">
        <v>53</v>
      </c>
    </row>
    <row r="2" spans="1:16" x14ac:dyDescent="0.3">
      <c r="A2" s="78" t="s">
        <v>101</v>
      </c>
      <c r="B2" s="81" t="s">
        <v>76</v>
      </c>
      <c r="C2" s="42">
        <v>199999.97</v>
      </c>
      <c r="D2" s="42">
        <v>199999.97</v>
      </c>
      <c r="E2" s="42"/>
      <c r="F2" s="81" t="s">
        <v>70</v>
      </c>
      <c r="G2" s="84">
        <v>46023</v>
      </c>
      <c r="H2" s="84">
        <v>46030</v>
      </c>
      <c r="I2" s="40">
        <v>7</v>
      </c>
      <c r="J2" s="81" t="str">
        <f>TEXT(tblPayments[[#This Row],[Arrival]],"mmm")</f>
        <v>Jan</v>
      </c>
      <c r="K2" s="86">
        <f>MONTH(tblPayments[[#This Row],[Arrival]])</f>
        <v>1</v>
      </c>
      <c r="L2" s="81">
        <f>YEAR(tblPayments[[#This Row],[Arrival]])</f>
        <v>2026</v>
      </c>
      <c r="M2" s="81" t="str">
        <f>IF(tblPayments[[#This Row],[Balance]]=0,"Full Payment","Deposit")</f>
        <v>Full Payment</v>
      </c>
      <c r="N2" s="42">
        <v>137553.57</v>
      </c>
      <c r="O2" s="84">
        <v>45933</v>
      </c>
      <c r="P2" s="88" t="s">
        <v>1</v>
      </c>
    </row>
    <row r="3" spans="1:16" x14ac:dyDescent="0.3">
      <c r="A3" s="77" t="s">
        <v>101</v>
      </c>
      <c r="B3" s="80" t="s">
        <v>76</v>
      </c>
      <c r="C3" s="43">
        <v>209974.09</v>
      </c>
      <c r="D3" s="43">
        <v>209974.09</v>
      </c>
      <c r="E3" s="43"/>
      <c r="F3" s="80" t="s">
        <v>70</v>
      </c>
      <c r="G3" s="83">
        <v>46023</v>
      </c>
      <c r="H3" s="83">
        <v>46030</v>
      </c>
      <c r="I3" s="4">
        <v>7</v>
      </c>
      <c r="J3" s="80" t="str">
        <f>TEXT(tblPayments[[#This Row],[Arrival]],"mmm")</f>
        <v>Jan</v>
      </c>
      <c r="K3" s="80">
        <f>MONTH(tblPayments[[#This Row],[Arrival]])</f>
        <v>1</v>
      </c>
      <c r="L3" s="80">
        <f>YEAR(tblPayments[[#This Row],[Arrival]])</f>
        <v>2026</v>
      </c>
      <c r="M3" s="80" t="str">
        <f>IF(tblPayments[[#This Row],[Balance]]=0,"Full Payment","Deposit")</f>
        <v>Full Payment</v>
      </c>
      <c r="N3" s="43">
        <v>149217.09</v>
      </c>
      <c r="O3" s="83">
        <v>45861</v>
      </c>
      <c r="P3" s="87" t="s">
        <v>2</v>
      </c>
    </row>
    <row r="4" spans="1:16" x14ac:dyDescent="0.3">
      <c r="A4" s="77" t="s">
        <v>101</v>
      </c>
      <c r="B4" s="80" t="s">
        <v>76</v>
      </c>
      <c r="C4" s="43">
        <v>136440</v>
      </c>
      <c r="D4" s="43">
        <v>136440</v>
      </c>
      <c r="E4" s="43"/>
      <c r="F4" s="80" t="s">
        <v>70</v>
      </c>
      <c r="G4" s="83">
        <v>46024</v>
      </c>
      <c r="H4" s="83">
        <v>46034</v>
      </c>
      <c r="I4" s="4">
        <v>10</v>
      </c>
      <c r="J4" s="80" t="str">
        <f>TEXT(tblPayments[[#This Row],[Arrival]],"mmm")</f>
        <v>Jan</v>
      </c>
      <c r="K4" s="80">
        <f>MONTH(tblPayments[[#This Row],[Arrival]])</f>
        <v>1</v>
      </c>
      <c r="L4" s="80">
        <f>YEAR(tblPayments[[#This Row],[Arrival]])</f>
        <v>2026</v>
      </c>
      <c r="M4" s="80" t="str">
        <f>IF(tblPayments[[#This Row],[Balance]]=0,"Full Payment","Deposit")</f>
        <v>Full Payment</v>
      </c>
      <c r="N4" s="43">
        <v>95268.04</v>
      </c>
      <c r="O4" s="83">
        <v>45895</v>
      </c>
      <c r="P4" s="87" t="s">
        <v>1</v>
      </c>
    </row>
    <row r="5" spans="1:16" x14ac:dyDescent="0.3">
      <c r="A5" s="77" t="s">
        <v>101</v>
      </c>
      <c r="B5" s="80" t="s">
        <v>76</v>
      </c>
      <c r="C5" s="43">
        <v>131512</v>
      </c>
      <c r="D5" s="43">
        <v>131512</v>
      </c>
      <c r="E5" s="43"/>
      <c r="F5" s="80" t="s">
        <v>70</v>
      </c>
      <c r="G5" s="83">
        <v>46024</v>
      </c>
      <c r="H5" s="83">
        <v>46033</v>
      </c>
      <c r="I5" s="4">
        <v>9</v>
      </c>
      <c r="J5" s="80" t="str">
        <f>TEXT(tblPayments[[#This Row],[Arrival]],"mmm")</f>
        <v>Jan</v>
      </c>
      <c r="K5" s="80">
        <f>MONTH(tblPayments[[#This Row],[Arrival]])</f>
        <v>1</v>
      </c>
      <c r="L5" s="80">
        <f>YEAR(tblPayments[[#This Row],[Arrival]])</f>
        <v>2026</v>
      </c>
      <c r="M5" s="80" t="str">
        <f>IF(tblPayments[[#This Row],[Balance]]=0,"Full Payment","Deposit")</f>
        <v>Full Payment</v>
      </c>
      <c r="N5" s="43">
        <v>90370.98</v>
      </c>
      <c r="O5" s="83">
        <v>45973</v>
      </c>
      <c r="P5" s="87" t="s">
        <v>1</v>
      </c>
    </row>
    <row r="6" spans="1:16" x14ac:dyDescent="0.3">
      <c r="A6" s="77" t="s">
        <v>101</v>
      </c>
      <c r="B6" s="80" t="s">
        <v>76</v>
      </c>
      <c r="C6" s="43">
        <v>65778</v>
      </c>
      <c r="D6" s="43">
        <v>65778</v>
      </c>
      <c r="E6" s="43"/>
      <c r="F6" s="80" t="s">
        <v>70</v>
      </c>
      <c r="G6" s="83">
        <v>46025</v>
      </c>
      <c r="H6" s="83">
        <v>46032</v>
      </c>
      <c r="I6" s="4">
        <v>7</v>
      </c>
      <c r="J6" s="80" t="str">
        <f>TEXT(tblPayments[[#This Row],[Arrival]],"mmm")</f>
        <v>Jan</v>
      </c>
      <c r="K6" s="80">
        <f>MONTH(tblPayments[[#This Row],[Arrival]])</f>
        <v>1</v>
      </c>
      <c r="L6" s="80">
        <f>YEAR(tblPayments[[#This Row],[Arrival]])</f>
        <v>2026</v>
      </c>
      <c r="M6" s="80" t="str">
        <f>IF(tblPayments[[#This Row],[Balance]]=0,"Full Payment","Deposit")</f>
        <v>Full Payment</v>
      </c>
      <c r="N6" s="43">
        <v>36985.269999999997</v>
      </c>
      <c r="O6" s="83">
        <v>45736</v>
      </c>
      <c r="P6" s="87" t="s">
        <v>2</v>
      </c>
    </row>
    <row r="7" spans="1:16" x14ac:dyDescent="0.3">
      <c r="A7" s="77" t="s">
        <v>101</v>
      </c>
      <c r="B7" s="80" t="s">
        <v>76</v>
      </c>
      <c r="C7" s="43">
        <v>116300</v>
      </c>
      <c r="D7" s="43">
        <v>116300</v>
      </c>
      <c r="E7" s="43"/>
      <c r="F7" s="80" t="s">
        <v>70</v>
      </c>
      <c r="G7" s="83">
        <v>46025</v>
      </c>
      <c r="H7" s="83">
        <v>46034</v>
      </c>
      <c r="I7" s="4">
        <v>9</v>
      </c>
      <c r="J7" s="80" t="str">
        <f>TEXT(tblPayments[[#This Row],[Arrival]],"mmm")</f>
        <v>Jan</v>
      </c>
      <c r="K7" s="80">
        <f>MONTH(tblPayments[[#This Row],[Arrival]])</f>
        <v>1</v>
      </c>
      <c r="L7" s="80">
        <f>YEAR(tblPayments[[#This Row],[Arrival]])</f>
        <v>2026</v>
      </c>
      <c r="M7" s="80" t="str">
        <f>IF(tblPayments[[#This Row],[Balance]]=0,"Full Payment","Deposit")</f>
        <v>Full Payment</v>
      </c>
      <c r="N7" s="43">
        <v>84335.67</v>
      </c>
      <c r="O7" s="83">
        <v>45901</v>
      </c>
      <c r="P7" s="87" t="s">
        <v>1</v>
      </c>
    </row>
    <row r="8" spans="1:16" x14ac:dyDescent="0.3">
      <c r="A8" s="77" t="s">
        <v>101</v>
      </c>
      <c r="B8" s="80" t="s">
        <v>76</v>
      </c>
      <c r="C8" s="43">
        <v>78492.39</v>
      </c>
      <c r="D8" s="43">
        <v>78824.539999999994</v>
      </c>
      <c r="E8" s="43"/>
      <c r="F8" s="80" t="s">
        <v>70</v>
      </c>
      <c r="G8" s="83">
        <v>46025</v>
      </c>
      <c r="H8" s="83">
        <v>46032</v>
      </c>
      <c r="I8" s="4">
        <v>7</v>
      </c>
      <c r="J8" s="80" t="str">
        <f>TEXT(tblPayments[[#This Row],[Arrival]],"mmm")</f>
        <v>Jan</v>
      </c>
      <c r="K8" s="80">
        <f>MONTH(tblPayments[[#This Row],[Arrival]])</f>
        <v>1</v>
      </c>
      <c r="L8" s="80">
        <f>YEAR(tblPayments[[#This Row],[Arrival]])</f>
        <v>2026</v>
      </c>
      <c r="M8" s="80" t="str">
        <f>IF(tblPayments[[#This Row],[Balance]]=0,"Full Payment","Deposit")</f>
        <v>Full Payment</v>
      </c>
      <c r="N8" s="43">
        <v>57379.839999999997</v>
      </c>
      <c r="O8" s="83">
        <v>45833</v>
      </c>
      <c r="P8" s="87" t="s">
        <v>1</v>
      </c>
    </row>
    <row r="9" spans="1:16" x14ac:dyDescent="0.3">
      <c r="A9" s="77" t="s">
        <v>101</v>
      </c>
      <c r="B9" s="80" t="s">
        <v>76</v>
      </c>
      <c r="C9" s="43">
        <v>20030.88</v>
      </c>
      <c r="D9" s="43">
        <v>20030.88</v>
      </c>
      <c r="E9" s="43"/>
      <c r="F9" s="80" t="s">
        <v>70</v>
      </c>
      <c r="G9" s="83">
        <v>46026</v>
      </c>
      <c r="H9" s="83">
        <v>46030</v>
      </c>
      <c r="I9" s="4">
        <v>4</v>
      </c>
      <c r="J9" s="80" t="str">
        <f>TEXT(tblPayments[[#This Row],[Arrival]],"mmm")</f>
        <v>Jan</v>
      </c>
      <c r="K9" s="80">
        <f>MONTH(tblPayments[[#This Row],[Arrival]])</f>
        <v>1</v>
      </c>
      <c r="L9" s="80">
        <f>YEAR(tblPayments[[#This Row],[Arrival]])</f>
        <v>2026</v>
      </c>
      <c r="M9" s="80" t="str">
        <f>IF(tblPayments[[#This Row],[Balance]]=0,"Full Payment","Deposit")</f>
        <v>Full Payment</v>
      </c>
      <c r="N9" s="43">
        <v>11604.76</v>
      </c>
      <c r="O9" s="83">
        <v>45912</v>
      </c>
      <c r="P9" s="87" t="s">
        <v>8</v>
      </c>
    </row>
    <row r="10" spans="1:16" x14ac:dyDescent="0.3">
      <c r="A10" s="77" t="s">
        <v>101</v>
      </c>
      <c r="B10" s="80" t="s">
        <v>76</v>
      </c>
      <c r="C10" s="43">
        <v>85106</v>
      </c>
      <c r="D10" s="43">
        <v>85106</v>
      </c>
      <c r="E10" s="43"/>
      <c r="F10" s="80" t="s">
        <v>70</v>
      </c>
      <c r="G10" s="83">
        <v>46026</v>
      </c>
      <c r="H10" s="83">
        <v>46031</v>
      </c>
      <c r="I10" s="4">
        <v>5</v>
      </c>
      <c r="J10" s="80" t="str">
        <f>TEXT(tblPayments[[#This Row],[Arrival]],"mmm")</f>
        <v>Jan</v>
      </c>
      <c r="K10" s="80">
        <f>MONTH(tblPayments[[#This Row],[Arrival]])</f>
        <v>1</v>
      </c>
      <c r="L10" s="80">
        <f>YEAR(tblPayments[[#This Row],[Arrival]])</f>
        <v>2026</v>
      </c>
      <c r="M10" s="80" t="str">
        <f>IF(tblPayments[[#This Row],[Balance]]=0,"Full Payment","Deposit")</f>
        <v>Full Payment</v>
      </c>
      <c r="N10" s="43">
        <v>59803.1</v>
      </c>
      <c r="O10" s="83">
        <v>45933</v>
      </c>
      <c r="P10" s="87" t="s">
        <v>10</v>
      </c>
    </row>
    <row r="11" spans="1:16" x14ac:dyDescent="0.3">
      <c r="A11" s="77" t="s">
        <v>101</v>
      </c>
      <c r="B11" s="80" t="s">
        <v>76</v>
      </c>
      <c r="C11" s="43">
        <v>0</v>
      </c>
      <c r="D11" s="43">
        <v>0</v>
      </c>
      <c r="E11" s="43"/>
      <c r="F11" s="80" t="s">
        <v>73</v>
      </c>
      <c r="G11" s="83">
        <v>46026</v>
      </c>
      <c r="H11" s="83">
        <v>46028</v>
      </c>
      <c r="I11" s="4">
        <v>2</v>
      </c>
      <c r="J11" s="80" t="str">
        <f>TEXT(tblPayments[[#This Row],[Arrival]],"mmm")</f>
        <v>Jan</v>
      </c>
      <c r="K11" s="80">
        <f>MONTH(tblPayments[[#This Row],[Arrival]])</f>
        <v>1</v>
      </c>
      <c r="L11" s="80">
        <f>YEAR(tblPayments[[#This Row],[Arrival]])</f>
        <v>2026</v>
      </c>
      <c r="M11" s="80" t="str">
        <f>IF(tblPayments[[#This Row],[Balance]]=0,"Full Payment","Deposit")</f>
        <v>Full Payment</v>
      </c>
      <c r="N11" s="43">
        <v>0</v>
      </c>
      <c r="O11" s="83">
        <v>45973</v>
      </c>
      <c r="P11" s="87" t="s">
        <v>6</v>
      </c>
    </row>
    <row r="12" spans="1:16" x14ac:dyDescent="0.3">
      <c r="A12" s="77" t="s">
        <v>101</v>
      </c>
      <c r="B12" s="80" t="s">
        <v>76</v>
      </c>
      <c r="C12" s="43">
        <v>0</v>
      </c>
      <c r="D12" s="43">
        <v>0</v>
      </c>
      <c r="E12" s="43"/>
      <c r="F12" s="80" t="s">
        <v>74</v>
      </c>
      <c r="G12" s="83">
        <v>46026</v>
      </c>
      <c r="H12" s="83">
        <v>46033</v>
      </c>
      <c r="I12" s="4">
        <v>7</v>
      </c>
      <c r="J12" s="80" t="str">
        <f>TEXT(tblPayments[[#This Row],[Arrival]],"mmm")</f>
        <v>Jan</v>
      </c>
      <c r="K12" s="80">
        <f>MONTH(tblPayments[[#This Row],[Arrival]])</f>
        <v>1</v>
      </c>
      <c r="L12" s="80">
        <f>YEAR(tblPayments[[#This Row],[Arrival]])</f>
        <v>2026</v>
      </c>
      <c r="M12" s="80" t="str">
        <f>IF(tblPayments[[#This Row],[Balance]]=0,"Full Payment","Deposit")</f>
        <v>Full Payment</v>
      </c>
      <c r="N12" s="43">
        <v>22696.94</v>
      </c>
      <c r="O12" s="83">
        <v>46001</v>
      </c>
      <c r="P12" s="87" t="s">
        <v>9</v>
      </c>
    </row>
    <row r="13" spans="1:16" x14ac:dyDescent="0.3">
      <c r="A13" s="77" t="s">
        <v>101</v>
      </c>
      <c r="B13" s="80" t="s">
        <v>76</v>
      </c>
      <c r="C13" s="43">
        <v>0</v>
      </c>
      <c r="D13" s="43">
        <v>0</v>
      </c>
      <c r="E13" s="43"/>
      <c r="F13" s="80" t="s">
        <v>74</v>
      </c>
      <c r="G13" s="83">
        <v>46026</v>
      </c>
      <c r="H13" s="83">
        <v>46033</v>
      </c>
      <c r="I13" s="4">
        <v>7</v>
      </c>
      <c r="J13" s="80" t="str">
        <f>TEXT(tblPayments[[#This Row],[Arrival]],"mmm")</f>
        <v>Jan</v>
      </c>
      <c r="K13" s="80">
        <f>MONTH(tblPayments[[#This Row],[Arrival]])</f>
        <v>1</v>
      </c>
      <c r="L13" s="80">
        <f>YEAR(tblPayments[[#This Row],[Arrival]])</f>
        <v>2026</v>
      </c>
      <c r="M13" s="80" t="str">
        <f>IF(tblPayments[[#This Row],[Balance]]=0,"Full Payment","Deposit")</f>
        <v>Full Payment</v>
      </c>
      <c r="N13" s="43">
        <v>22696.94</v>
      </c>
      <c r="O13" s="83">
        <v>46001</v>
      </c>
      <c r="P13" s="87" t="s">
        <v>9</v>
      </c>
    </row>
    <row r="14" spans="1:16" x14ac:dyDescent="0.3">
      <c r="A14" s="77" t="s">
        <v>101</v>
      </c>
      <c r="B14" s="80" t="s">
        <v>76</v>
      </c>
      <c r="C14" s="43">
        <v>18682.88</v>
      </c>
      <c r="D14" s="43">
        <v>18682.88</v>
      </c>
      <c r="E14" s="43"/>
      <c r="F14" s="80" t="s">
        <v>70</v>
      </c>
      <c r="G14" s="83">
        <v>46026</v>
      </c>
      <c r="H14" s="83">
        <v>46030</v>
      </c>
      <c r="I14" s="4">
        <v>4</v>
      </c>
      <c r="J14" s="80" t="str">
        <f>TEXT(tblPayments[[#This Row],[Arrival]],"mmm")</f>
        <v>Jan</v>
      </c>
      <c r="K14" s="80">
        <f>MONTH(tblPayments[[#This Row],[Arrival]])</f>
        <v>1</v>
      </c>
      <c r="L14" s="80">
        <f>YEAR(tblPayments[[#This Row],[Arrival]])</f>
        <v>2026</v>
      </c>
      <c r="M14" s="80" t="str">
        <f>IF(tblPayments[[#This Row],[Balance]]=0,"Full Payment","Deposit")</f>
        <v>Full Payment</v>
      </c>
      <c r="N14" s="43">
        <v>11766.56</v>
      </c>
      <c r="O14" s="83">
        <v>45837</v>
      </c>
      <c r="P14" s="87" t="s">
        <v>9</v>
      </c>
    </row>
    <row r="15" spans="1:16" x14ac:dyDescent="0.3">
      <c r="A15" s="77" t="s">
        <v>101</v>
      </c>
      <c r="B15" s="80" t="s">
        <v>76</v>
      </c>
      <c r="C15" s="43">
        <v>63049.9</v>
      </c>
      <c r="D15" s="43">
        <v>2600</v>
      </c>
      <c r="E15" s="43">
        <v>60449.9</v>
      </c>
      <c r="F15" s="80" t="s">
        <v>80</v>
      </c>
      <c r="G15" s="83">
        <v>46027</v>
      </c>
      <c r="H15" s="83">
        <v>46036</v>
      </c>
      <c r="I15" s="4">
        <v>9</v>
      </c>
      <c r="J15" s="80" t="str">
        <f>TEXT(tblPayments[[#This Row],[Arrival]],"mmm")</f>
        <v>Jan</v>
      </c>
      <c r="K15" s="80">
        <f>MONTH(tblPayments[[#This Row],[Arrival]])</f>
        <v>1</v>
      </c>
      <c r="L15" s="80">
        <f>YEAR(tblPayments[[#This Row],[Arrival]])</f>
        <v>2026</v>
      </c>
      <c r="M15" s="80" t="str">
        <f>IF(tblPayments[[#This Row],[Balance]]=0,"Full Payment","Deposit")</f>
        <v>Deposit</v>
      </c>
      <c r="N15" s="43">
        <v>45073.17</v>
      </c>
      <c r="O15" s="83">
        <v>45938</v>
      </c>
      <c r="P15" s="87" t="s">
        <v>12</v>
      </c>
    </row>
    <row r="16" spans="1:16" x14ac:dyDescent="0.3">
      <c r="A16" s="77" t="s">
        <v>101</v>
      </c>
      <c r="B16" s="80" t="s">
        <v>76</v>
      </c>
      <c r="C16" s="43">
        <v>43204</v>
      </c>
      <c r="D16" s="43">
        <v>43204</v>
      </c>
      <c r="E16" s="43"/>
      <c r="F16" s="80" t="s">
        <v>70</v>
      </c>
      <c r="G16" s="83">
        <v>46027</v>
      </c>
      <c r="H16" s="83">
        <v>46033</v>
      </c>
      <c r="I16" s="4">
        <v>6</v>
      </c>
      <c r="J16" s="80" t="str">
        <f>TEXT(tblPayments[[#This Row],[Arrival]],"mmm")</f>
        <v>Jan</v>
      </c>
      <c r="K16" s="80">
        <f>MONTH(tblPayments[[#This Row],[Arrival]])</f>
        <v>1</v>
      </c>
      <c r="L16" s="80">
        <f>YEAR(tblPayments[[#This Row],[Arrival]])</f>
        <v>2026</v>
      </c>
      <c r="M16" s="80" t="str">
        <f>IF(tblPayments[[#This Row],[Balance]]=0,"Full Payment","Deposit")</f>
        <v>Full Payment</v>
      </c>
      <c r="N16" s="43">
        <v>30396.3</v>
      </c>
      <c r="O16" s="83">
        <v>45975</v>
      </c>
      <c r="P16" s="87" t="s">
        <v>13</v>
      </c>
    </row>
    <row r="17" spans="1:16" x14ac:dyDescent="0.3">
      <c r="A17" s="77" t="s">
        <v>101</v>
      </c>
      <c r="B17" s="80" t="s">
        <v>76</v>
      </c>
      <c r="C17" s="43">
        <v>30367.55</v>
      </c>
      <c r="D17" s="43">
        <v>30367.55</v>
      </c>
      <c r="E17" s="43"/>
      <c r="F17" s="80" t="s">
        <v>70</v>
      </c>
      <c r="G17" s="83">
        <v>46027</v>
      </c>
      <c r="H17" s="83">
        <v>46030</v>
      </c>
      <c r="I17" s="4">
        <v>3</v>
      </c>
      <c r="J17" s="80" t="str">
        <f>TEXT(tblPayments[[#This Row],[Arrival]],"mmm")</f>
        <v>Jan</v>
      </c>
      <c r="K17" s="80">
        <f>MONTH(tblPayments[[#This Row],[Arrival]])</f>
        <v>1</v>
      </c>
      <c r="L17" s="80">
        <f>YEAR(tblPayments[[#This Row],[Arrival]])</f>
        <v>2026</v>
      </c>
      <c r="M17" s="80" t="str">
        <f>IF(tblPayments[[#This Row],[Balance]]=0,"Full Payment","Deposit")</f>
        <v>Full Payment</v>
      </c>
      <c r="N17" s="43">
        <v>21402.3</v>
      </c>
      <c r="O17" s="83">
        <v>45961</v>
      </c>
      <c r="P17" s="87" t="s">
        <v>14</v>
      </c>
    </row>
    <row r="18" spans="1:16" x14ac:dyDescent="0.3">
      <c r="A18" s="77" t="s">
        <v>101</v>
      </c>
      <c r="B18" s="80" t="s">
        <v>76</v>
      </c>
      <c r="C18" s="43">
        <v>56372.1</v>
      </c>
      <c r="D18" s="43">
        <v>56372.1</v>
      </c>
      <c r="E18" s="43"/>
      <c r="F18" s="80" t="s">
        <v>72</v>
      </c>
      <c r="G18" s="83">
        <v>46028</v>
      </c>
      <c r="H18" s="83">
        <v>46035</v>
      </c>
      <c r="I18" s="4">
        <v>7</v>
      </c>
      <c r="J18" s="80" t="str">
        <f>TEXT(tblPayments[[#This Row],[Arrival]],"mmm")</f>
        <v>Jan</v>
      </c>
      <c r="K18" s="80">
        <f>MONTH(tblPayments[[#This Row],[Arrival]])</f>
        <v>1</v>
      </c>
      <c r="L18" s="80">
        <f>YEAR(tblPayments[[#This Row],[Arrival]])</f>
        <v>2026</v>
      </c>
      <c r="M18" s="80" t="str">
        <f>IF(tblPayments[[#This Row],[Balance]]=0,"Full Payment","Deposit")</f>
        <v>Full Payment</v>
      </c>
      <c r="N18" s="43">
        <v>38085.53</v>
      </c>
      <c r="O18" s="83">
        <v>45976</v>
      </c>
      <c r="P18" s="87" t="s">
        <v>1</v>
      </c>
    </row>
    <row r="19" spans="1:16" x14ac:dyDescent="0.3">
      <c r="A19" s="77" t="s">
        <v>101</v>
      </c>
      <c r="B19" s="80" t="s">
        <v>76</v>
      </c>
      <c r="C19" s="43">
        <v>0</v>
      </c>
      <c r="D19" s="43">
        <v>0</v>
      </c>
      <c r="E19" s="43"/>
      <c r="F19" s="80" t="s">
        <v>73</v>
      </c>
      <c r="G19" s="83">
        <v>46028</v>
      </c>
      <c r="H19" s="83">
        <v>46033</v>
      </c>
      <c r="I19" s="4">
        <v>5</v>
      </c>
      <c r="J19" s="80" t="str">
        <f>TEXT(tblPayments[[#This Row],[Arrival]],"mmm")</f>
        <v>Jan</v>
      </c>
      <c r="K19" s="80">
        <f>MONTH(tblPayments[[#This Row],[Arrival]])</f>
        <v>1</v>
      </c>
      <c r="L19" s="80">
        <f>YEAR(tblPayments[[#This Row],[Arrival]])</f>
        <v>2026</v>
      </c>
      <c r="M19" s="80" t="str">
        <f>IF(tblPayments[[#This Row],[Balance]]=0,"Full Payment","Deposit")</f>
        <v>Full Payment</v>
      </c>
      <c r="N19" s="43">
        <v>0</v>
      </c>
      <c r="O19" s="83">
        <v>45975</v>
      </c>
      <c r="P19" s="87" t="s">
        <v>1</v>
      </c>
    </row>
    <row r="20" spans="1:16" x14ac:dyDescent="0.3">
      <c r="A20" s="77" t="s">
        <v>101</v>
      </c>
      <c r="B20" s="80" t="s">
        <v>76</v>
      </c>
      <c r="C20" s="43"/>
      <c r="D20" s="43"/>
      <c r="E20" s="43"/>
      <c r="F20" s="80" t="s">
        <v>73</v>
      </c>
      <c r="G20" s="83">
        <v>46029</v>
      </c>
      <c r="H20" s="83">
        <v>46036</v>
      </c>
      <c r="I20" s="4">
        <v>7</v>
      </c>
      <c r="J20" s="80" t="str">
        <f>TEXT(tblPayments[[#This Row],[Arrival]],"mmm")</f>
        <v>Jan</v>
      </c>
      <c r="K20" s="80">
        <f>MONTH(tblPayments[[#This Row],[Arrival]])</f>
        <v>1</v>
      </c>
      <c r="L20" s="80">
        <f>YEAR(tblPayments[[#This Row],[Arrival]])</f>
        <v>2026</v>
      </c>
      <c r="M20" s="80" t="str">
        <f>IF(tblPayments[[#This Row],[Balance]]=0,"Full Payment","Deposit")</f>
        <v>Full Payment</v>
      </c>
      <c r="N20" s="43">
        <v>10040.379999999999</v>
      </c>
      <c r="O20" s="83"/>
      <c r="P20" s="87"/>
    </row>
    <row r="21" spans="1:16" x14ac:dyDescent="0.3">
      <c r="A21" s="77" t="s">
        <v>101</v>
      </c>
      <c r="B21" s="80" t="s">
        <v>76</v>
      </c>
      <c r="C21" s="43">
        <v>19000</v>
      </c>
      <c r="D21" s="43">
        <v>11017.78</v>
      </c>
      <c r="E21" s="43">
        <v>7982.22</v>
      </c>
      <c r="F21" s="80" t="s">
        <v>72</v>
      </c>
      <c r="G21" s="83">
        <v>46029</v>
      </c>
      <c r="H21" s="83">
        <v>46045</v>
      </c>
      <c r="I21" s="4">
        <v>16</v>
      </c>
      <c r="J21" s="80" t="str">
        <f>TEXT(tblPayments[[#This Row],[Arrival]],"mmm")</f>
        <v>Jan</v>
      </c>
      <c r="K21" s="80">
        <f>MONTH(tblPayments[[#This Row],[Arrival]])</f>
        <v>1</v>
      </c>
      <c r="L21" s="80">
        <f>YEAR(tblPayments[[#This Row],[Arrival]])</f>
        <v>2026</v>
      </c>
      <c r="M21" s="80" t="str">
        <f>IF(tblPayments[[#This Row],[Balance]]=0,"Full Payment","Deposit")</f>
        <v>Deposit</v>
      </c>
      <c r="N21" s="43">
        <v>0</v>
      </c>
      <c r="O21" s="83">
        <v>45743</v>
      </c>
      <c r="P21" s="87" t="s">
        <v>18</v>
      </c>
    </row>
    <row r="22" spans="1:16" x14ac:dyDescent="0.3">
      <c r="A22" s="77" t="s">
        <v>101</v>
      </c>
      <c r="B22" s="80" t="s">
        <v>76</v>
      </c>
      <c r="C22" s="43">
        <v>52368.800000000003</v>
      </c>
      <c r="D22" s="43"/>
      <c r="E22" s="43">
        <v>52368.800000000003</v>
      </c>
      <c r="F22" s="80" t="s">
        <v>75</v>
      </c>
      <c r="G22" s="83">
        <v>46030</v>
      </c>
      <c r="H22" s="83">
        <v>46037</v>
      </c>
      <c r="I22" s="4">
        <v>7</v>
      </c>
      <c r="J22" s="80" t="str">
        <f>TEXT(tblPayments[[#This Row],[Arrival]],"mmm")</f>
        <v>Jan</v>
      </c>
      <c r="K22" s="80">
        <f>MONTH(tblPayments[[#This Row],[Arrival]])</f>
        <v>1</v>
      </c>
      <c r="L22" s="80">
        <f>YEAR(tblPayments[[#This Row],[Arrival]])</f>
        <v>2026</v>
      </c>
      <c r="M22" s="80" t="str">
        <f>IF(tblPayments[[#This Row],[Balance]]=0,"Full Payment","Deposit")</f>
        <v>Deposit</v>
      </c>
      <c r="N22" s="43">
        <v>37832.76</v>
      </c>
      <c r="O22" s="83">
        <v>45995</v>
      </c>
      <c r="P22" s="87" t="s">
        <v>19</v>
      </c>
    </row>
    <row r="23" spans="1:16" x14ac:dyDescent="0.3">
      <c r="A23" s="77" t="s">
        <v>101</v>
      </c>
      <c r="B23" s="80" t="s">
        <v>76</v>
      </c>
      <c r="C23" s="43"/>
      <c r="D23" s="43"/>
      <c r="E23" s="43"/>
      <c r="F23" s="80" t="s">
        <v>74</v>
      </c>
      <c r="G23" s="83">
        <v>46030</v>
      </c>
      <c r="H23" s="83">
        <v>46046</v>
      </c>
      <c r="I23" s="4">
        <v>16</v>
      </c>
      <c r="J23" s="80" t="str">
        <f>TEXT(tblPayments[[#This Row],[Arrival]],"mmm")</f>
        <v>Jan</v>
      </c>
      <c r="K23" s="80">
        <f>MONTH(tblPayments[[#This Row],[Arrival]])</f>
        <v>1</v>
      </c>
      <c r="L23" s="80">
        <f>YEAR(tblPayments[[#This Row],[Arrival]])</f>
        <v>2026</v>
      </c>
      <c r="M23" s="80" t="str">
        <f>IF(tblPayments[[#This Row],[Balance]]=0,"Full Payment","Deposit")</f>
        <v>Full Payment</v>
      </c>
      <c r="N23" s="43">
        <v>10622.68</v>
      </c>
      <c r="O23" s="83">
        <v>45932</v>
      </c>
      <c r="P23" s="87" t="s">
        <v>18</v>
      </c>
    </row>
    <row r="24" spans="1:16" x14ac:dyDescent="0.3">
      <c r="A24" s="77" t="s">
        <v>101</v>
      </c>
      <c r="B24" s="80" t="s">
        <v>76</v>
      </c>
      <c r="C24" s="43">
        <v>0</v>
      </c>
      <c r="D24" s="43">
        <v>0</v>
      </c>
      <c r="E24" s="43"/>
      <c r="F24" s="80" t="s">
        <v>73</v>
      </c>
      <c r="G24" s="83">
        <v>46031</v>
      </c>
      <c r="H24" s="83">
        <v>46038</v>
      </c>
      <c r="I24" s="4">
        <v>7</v>
      </c>
      <c r="J24" s="80" t="str">
        <f>TEXT(tblPayments[[#This Row],[Arrival]],"mmm")</f>
        <v>Jan</v>
      </c>
      <c r="K24" s="80">
        <f>MONTH(tblPayments[[#This Row],[Arrival]])</f>
        <v>1</v>
      </c>
      <c r="L24" s="80">
        <f>YEAR(tblPayments[[#This Row],[Arrival]])</f>
        <v>2026</v>
      </c>
      <c r="M24" s="80" t="str">
        <f>IF(tblPayments[[#This Row],[Balance]]=0,"Full Payment","Deposit")</f>
        <v>Full Payment</v>
      </c>
      <c r="N24" s="43">
        <v>0</v>
      </c>
      <c r="O24" s="83">
        <v>45674</v>
      </c>
      <c r="P24" s="87" t="s">
        <v>2</v>
      </c>
    </row>
    <row r="25" spans="1:16" x14ac:dyDescent="0.3">
      <c r="A25" s="77" t="s">
        <v>101</v>
      </c>
      <c r="B25" s="80" t="s">
        <v>76</v>
      </c>
      <c r="C25" s="43">
        <v>67954.740000000005</v>
      </c>
      <c r="D25" s="43">
        <v>67954.740000000005</v>
      </c>
      <c r="E25" s="43"/>
      <c r="F25" s="80" t="s">
        <v>70</v>
      </c>
      <c r="G25" s="83">
        <v>46031</v>
      </c>
      <c r="H25" s="83">
        <v>46039</v>
      </c>
      <c r="I25" s="4">
        <v>8</v>
      </c>
      <c r="J25" s="80" t="str">
        <f>TEXT(tblPayments[[#This Row],[Arrival]],"mmm")</f>
        <v>Jan</v>
      </c>
      <c r="K25" s="80">
        <f>MONTH(tblPayments[[#This Row],[Arrival]])</f>
        <v>1</v>
      </c>
      <c r="L25" s="80">
        <f>YEAR(tblPayments[[#This Row],[Arrival]])</f>
        <v>2026</v>
      </c>
      <c r="M25" s="80" t="str">
        <f>IF(tblPayments[[#This Row],[Balance]]=0,"Full Payment","Deposit")</f>
        <v>Full Payment</v>
      </c>
      <c r="N25" s="43">
        <v>49406.1</v>
      </c>
      <c r="O25" s="83">
        <v>45980</v>
      </c>
      <c r="P25" s="87" t="s">
        <v>20</v>
      </c>
    </row>
    <row r="26" spans="1:16" x14ac:dyDescent="0.3">
      <c r="A26" s="77" t="s">
        <v>101</v>
      </c>
      <c r="B26" s="80" t="s">
        <v>76</v>
      </c>
      <c r="C26" s="43">
        <v>157003.12</v>
      </c>
      <c r="D26" s="43">
        <v>157003.12</v>
      </c>
      <c r="E26" s="43"/>
      <c r="F26" s="80" t="s">
        <v>70</v>
      </c>
      <c r="G26" s="83">
        <v>46032</v>
      </c>
      <c r="H26" s="83">
        <v>46040</v>
      </c>
      <c r="I26" s="4">
        <v>8</v>
      </c>
      <c r="J26" s="80" t="str">
        <f>TEXT(tblPayments[[#This Row],[Arrival]],"mmm")</f>
        <v>Jan</v>
      </c>
      <c r="K26" s="80">
        <f>MONTH(tblPayments[[#This Row],[Arrival]])</f>
        <v>1</v>
      </c>
      <c r="L26" s="80">
        <f>YEAR(tblPayments[[#This Row],[Arrival]])</f>
        <v>2026</v>
      </c>
      <c r="M26" s="80" t="str">
        <f>IF(tblPayments[[#This Row],[Balance]]=0,"Full Payment","Deposit")</f>
        <v>Full Payment</v>
      </c>
      <c r="N26" s="43">
        <v>107244.08</v>
      </c>
      <c r="O26" s="83">
        <v>45792</v>
      </c>
      <c r="P26" s="87" t="s">
        <v>21</v>
      </c>
    </row>
    <row r="27" spans="1:16" x14ac:dyDescent="0.3">
      <c r="A27" s="77" t="s">
        <v>101</v>
      </c>
      <c r="B27" s="80" t="s">
        <v>77</v>
      </c>
      <c r="C27" s="43">
        <v>33897</v>
      </c>
      <c r="D27" s="43">
        <v>33897</v>
      </c>
      <c r="E27" s="43"/>
      <c r="F27" s="80" t="s">
        <v>70</v>
      </c>
      <c r="G27" s="83">
        <v>46034</v>
      </c>
      <c r="H27" s="83">
        <v>46040</v>
      </c>
      <c r="I27" s="4">
        <v>6</v>
      </c>
      <c r="J27" s="80" t="str">
        <f>TEXT(tblPayments[[#This Row],[Arrival]],"mmm")</f>
        <v>Jan</v>
      </c>
      <c r="K27" s="80">
        <f>MONTH(tblPayments[[#This Row],[Arrival]])</f>
        <v>1</v>
      </c>
      <c r="L27" s="80">
        <f>YEAR(tblPayments[[#This Row],[Arrival]])</f>
        <v>2026</v>
      </c>
      <c r="M27" s="80" t="str">
        <f>IF(tblPayments[[#This Row],[Balance]]=0,"Full Payment","Deposit")</f>
        <v>Full Payment</v>
      </c>
      <c r="N27" s="43">
        <v>20535.72</v>
      </c>
      <c r="O27" s="83">
        <v>45966</v>
      </c>
      <c r="P27" s="87" t="s">
        <v>1</v>
      </c>
    </row>
    <row r="28" spans="1:16" x14ac:dyDescent="0.3">
      <c r="A28" s="77" t="s">
        <v>101</v>
      </c>
      <c r="B28" s="80" t="s">
        <v>77</v>
      </c>
      <c r="C28" s="43">
        <v>41700</v>
      </c>
      <c r="D28" s="43">
        <v>41700</v>
      </c>
      <c r="E28" s="43"/>
      <c r="F28" s="80" t="s">
        <v>70</v>
      </c>
      <c r="G28" s="83">
        <v>46034</v>
      </c>
      <c r="H28" s="83">
        <v>46043</v>
      </c>
      <c r="I28" s="4">
        <v>9</v>
      </c>
      <c r="J28" s="80" t="str">
        <f>TEXT(tblPayments[[#This Row],[Arrival]],"mmm")</f>
        <v>Jan</v>
      </c>
      <c r="K28" s="80">
        <f>MONTH(tblPayments[[#This Row],[Arrival]])</f>
        <v>1</v>
      </c>
      <c r="L28" s="80">
        <f>YEAR(tblPayments[[#This Row],[Arrival]])</f>
        <v>2026</v>
      </c>
      <c r="M28" s="80" t="str">
        <f>IF(tblPayments[[#This Row],[Balance]]=0,"Full Payment","Deposit")</f>
        <v>Full Payment</v>
      </c>
      <c r="N28" s="43">
        <v>10003.08</v>
      </c>
      <c r="O28" s="83">
        <v>45911</v>
      </c>
      <c r="P28" s="87" t="s">
        <v>22</v>
      </c>
    </row>
    <row r="29" spans="1:16" x14ac:dyDescent="0.3">
      <c r="A29" s="77" t="s">
        <v>101</v>
      </c>
      <c r="B29" s="80" t="s">
        <v>77</v>
      </c>
      <c r="C29" s="43">
        <v>58243.22</v>
      </c>
      <c r="D29" s="43"/>
      <c r="E29" s="43">
        <v>58243.22</v>
      </c>
      <c r="F29" s="80" t="s">
        <v>75</v>
      </c>
      <c r="G29" s="83">
        <v>46034</v>
      </c>
      <c r="H29" s="83">
        <v>46048</v>
      </c>
      <c r="I29" s="4">
        <v>14</v>
      </c>
      <c r="J29" s="80" t="str">
        <f>TEXT(tblPayments[[#This Row],[Arrival]],"mmm")</f>
        <v>Jan</v>
      </c>
      <c r="K29" s="80">
        <f>MONTH(tblPayments[[#This Row],[Arrival]])</f>
        <v>1</v>
      </c>
      <c r="L29" s="80">
        <f>YEAR(tblPayments[[#This Row],[Arrival]])</f>
        <v>2026</v>
      </c>
      <c r="M29" s="80" t="str">
        <f>IF(tblPayments[[#This Row],[Balance]]=0,"Full Payment","Deposit")</f>
        <v>Deposit</v>
      </c>
      <c r="N29" s="43">
        <v>34161.120000000003</v>
      </c>
      <c r="O29" s="83">
        <v>45777</v>
      </c>
      <c r="P29" s="87" t="s">
        <v>22</v>
      </c>
    </row>
    <row r="30" spans="1:16" x14ac:dyDescent="0.3">
      <c r="A30" s="77" t="s">
        <v>101</v>
      </c>
      <c r="B30" s="80" t="s">
        <v>77</v>
      </c>
      <c r="C30" s="43"/>
      <c r="D30" s="43"/>
      <c r="E30" s="43"/>
      <c r="F30" s="80" t="s">
        <v>74</v>
      </c>
      <c r="G30" s="83">
        <v>46034</v>
      </c>
      <c r="H30" s="83">
        <v>46038</v>
      </c>
      <c r="I30" s="4">
        <v>4</v>
      </c>
      <c r="J30" s="80" t="str">
        <f>TEXT(tblPayments[[#This Row],[Arrival]],"mmm")</f>
        <v>Jan</v>
      </c>
      <c r="K30" s="80">
        <f>MONTH(tblPayments[[#This Row],[Arrival]])</f>
        <v>1</v>
      </c>
      <c r="L30" s="80">
        <f>YEAR(tblPayments[[#This Row],[Arrival]])</f>
        <v>2026</v>
      </c>
      <c r="M30" s="80" t="str">
        <f>IF(tblPayments[[#This Row],[Balance]]=0,"Full Payment","Deposit")</f>
        <v>Full Payment</v>
      </c>
      <c r="N30" s="43"/>
      <c r="O30" s="83">
        <v>46002</v>
      </c>
      <c r="P30" s="87"/>
    </row>
    <row r="31" spans="1:16" x14ac:dyDescent="0.3">
      <c r="A31" s="77" t="s">
        <v>101</v>
      </c>
      <c r="B31" s="80" t="s">
        <v>77</v>
      </c>
      <c r="C31" s="43">
        <v>29085</v>
      </c>
      <c r="D31" s="43"/>
      <c r="E31" s="43">
        <v>29085</v>
      </c>
      <c r="F31" s="80" t="s">
        <v>75</v>
      </c>
      <c r="G31" s="83">
        <v>46035</v>
      </c>
      <c r="H31" s="83">
        <v>46040</v>
      </c>
      <c r="I31" s="4">
        <v>5</v>
      </c>
      <c r="J31" s="80" t="str">
        <f>TEXT(tblPayments[[#This Row],[Arrival]],"mmm")</f>
        <v>Jan</v>
      </c>
      <c r="K31" s="80">
        <f>MONTH(tblPayments[[#This Row],[Arrival]])</f>
        <v>1</v>
      </c>
      <c r="L31" s="80">
        <f>YEAR(tblPayments[[#This Row],[Arrival]])</f>
        <v>2026</v>
      </c>
      <c r="M31" s="80" t="str">
        <f>IF(tblPayments[[#This Row],[Balance]]=0,"Full Payment","Deposit")</f>
        <v>Deposit</v>
      </c>
      <c r="N31" s="43">
        <v>19570.7</v>
      </c>
      <c r="O31" s="83">
        <v>45998</v>
      </c>
      <c r="P31" s="87" t="s">
        <v>18</v>
      </c>
    </row>
    <row r="32" spans="1:16" x14ac:dyDescent="0.3">
      <c r="A32" s="77" t="s">
        <v>101</v>
      </c>
      <c r="B32" s="80" t="s">
        <v>77</v>
      </c>
      <c r="C32" s="43">
        <v>43861.8</v>
      </c>
      <c r="D32" s="43">
        <v>18861.8</v>
      </c>
      <c r="E32" s="43">
        <v>25000</v>
      </c>
      <c r="F32" s="80" t="s">
        <v>72</v>
      </c>
      <c r="G32" s="83">
        <v>46035</v>
      </c>
      <c r="H32" s="83">
        <v>46041</v>
      </c>
      <c r="I32" s="4">
        <v>6</v>
      </c>
      <c r="J32" s="80" t="str">
        <f>TEXT(tblPayments[[#This Row],[Arrival]],"mmm")</f>
        <v>Jan</v>
      </c>
      <c r="K32" s="80">
        <f>MONTH(tblPayments[[#This Row],[Arrival]])</f>
        <v>1</v>
      </c>
      <c r="L32" s="80">
        <f>YEAR(tblPayments[[#This Row],[Arrival]])</f>
        <v>2026</v>
      </c>
      <c r="M32" s="80" t="str">
        <f>IF(tblPayments[[#This Row],[Balance]]=0,"Full Payment","Deposit")</f>
        <v>Deposit</v>
      </c>
      <c r="N32" s="43">
        <v>32644.74</v>
      </c>
      <c r="O32" s="83">
        <v>45976</v>
      </c>
      <c r="P32" s="87" t="s">
        <v>1</v>
      </c>
    </row>
    <row r="33" spans="1:16" x14ac:dyDescent="0.3">
      <c r="A33" s="77" t="s">
        <v>101</v>
      </c>
      <c r="B33" s="80" t="s">
        <v>77</v>
      </c>
      <c r="C33" s="43">
        <v>127800.88</v>
      </c>
      <c r="D33" s="43">
        <v>50000</v>
      </c>
      <c r="E33" s="43">
        <v>77800.88</v>
      </c>
      <c r="F33" s="80" t="s">
        <v>72</v>
      </c>
      <c r="G33" s="83">
        <v>46035</v>
      </c>
      <c r="H33" s="83">
        <v>46049</v>
      </c>
      <c r="I33" s="4">
        <v>14</v>
      </c>
      <c r="J33" s="80" t="str">
        <f>TEXT(tblPayments[[#This Row],[Arrival]],"mmm")</f>
        <v>Jan</v>
      </c>
      <c r="K33" s="80">
        <f>MONTH(tblPayments[[#This Row],[Arrival]])</f>
        <v>1</v>
      </c>
      <c r="L33" s="80">
        <f>YEAR(tblPayments[[#This Row],[Arrival]])</f>
        <v>2026</v>
      </c>
      <c r="M33" s="80" t="str">
        <f>IF(tblPayments[[#This Row],[Balance]]=0,"Full Payment","Deposit")</f>
        <v>Deposit</v>
      </c>
      <c r="N33" s="43">
        <v>88943.12</v>
      </c>
      <c r="O33" s="83">
        <v>45917</v>
      </c>
      <c r="P33" s="87" t="s">
        <v>1</v>
      </c>
    </row>
    <row r="34" spans="1:16" x14ac:dyDescent="0.3">
      <c r="A34" s="77" t="s">
        <v>101</v>
      </c>
      <c r="B34" s="80" t="s">
        <v>77</v>
      </c>
      <c r="C34" s="43">
        <v>103950</v>
      </c>
      <c r="D34" s="43">
        <v>103950</v>
      </c>
      <c r="E34" s="43"/>
      <c r="F34" s="80" t="s">
        <v>70</v>
      </c>
      <c r="G34" s="83">
        <v>46035</v>
      </c>
      <c r="H34" s="83">
        <v>46045</v>
      </c>
      <c r="I34" s="4">
        <v>10</v>
      </c>
      <c r="J34" s="80" t="str">
        <f>TEXT(tblPayments[[#This Row],[Arrival]],"mmm")</f>
        <v>Jan</v>
      </c>
      <c r="K34" s="80">
        <f>MONTH(tblPayments[[#This Row],[Arrival]])</f>
        <v>1</v>
      </c>
      <c r="L34" s="80">
        <f>YEAR(tblPayments[[#This Row],[Arrival]])</f>
        <v>2026</v>
      </c>
      <c r="M34" s="80" t="str">
        <f>IF(tblPayments[[#This Row],[Balance]]=0,"Full Payment","Deposit")</f>
        <v>Full Payment</v>
      </c>
      <c r="N34" s="43">
        <v>0</v>
      </c>
      <c r="O34" s="83">
        <v>45555</v>
      </c>
      <c r="P34" s="87" t="s">
        <v>15</v>
      </c>
    </row>
    <row r="35" spans="1:16" x14ac:dyDescent="0.3">
      <c r="A35" s="77" t="s">
        <v>101</v>
      </c>
      <c r="B35" s="80" t="s">
        <v>77</v>
      </c>
      <c r="C35" s="43">
        <v>91560</v>
      </c>
      <c r="D35" s="43"/>
      <c r="E35" s="43">
        <v>91560</v>
      </c>
      <c r="F35" s="80" t="s">
        <v>75</v>
      </c>
      <c r="G35" s="83">
        <v>46036</v>
      </c>
      <c r="H35" s="83">
        <v>46066</v>
      </c>
      <c r="I35" s="4">
        <v>30</v>
      </c>
      <c r="J35" s="80" t="str">
        <f>TEXT(tblPayments[[#This Row],[Arrival]],"mmm")</f>
        <v>Jan</v>
      </c>
      <c r="K35" s="80">
        <f>MONTH(tblPayments[[#This Row],[Arrival]])</f>
        <v>1</v>
      </c>
      <c r="L35" s="80">
        <f>YEAR(tblPayments[[#This Row],[Arrival]])</f>
        <v>2026</v>
      </c>
      <c r="M35" s="80" t="str">
        <f>IF(tblPayments[[#This Row],[Balance]]=0,"Full Payment","Deposit")</f>
        <v>Deposit</v>
      </c>
      <c r="N35" s="43">
        <v>47179.5</v>
      </c>
      <c r="O35" s="83">
        <v>45776</v>
      </c>
      <c r="P35" s="87" t="s">
        <v>24</v>
      </c>
    </row>
    <row r="36" spans="1:16" x14ac:dyDescent="0.3">
      <c r="A36" s="77" t="s">
        <v>101</v>
      </c>
      <c r="B36" s="80" t="s">
        <v>77</v>
      </c>
      <c r="C36" s="43">
        <v>136400.34</v>
      </c>
      <c r="D36" s="43"/>
      <c r="E36" s="43">
        <v>136400.34</v>
      </c>
      <c r="F36" s="80" t="s">
        <v>75</v>
      </c>
      <c r="G36" s="83">
        <v>46036</v>
      </c>
      <c r="H36" s="83">
        <v>46054</v>
      </c>
      <c r="I36" s="4">
        <v>18</v>
      </c>
      <c r="J36" s="80" t="str">
        <f>TEXT(tblPayments[[#This Row],[Arrival]],"mmm")</f>
        <v>Jan</v>
      </c>
      <c r="K36" s="80">
        <f>MONTH(tblPayments[[#This Row],[Arrival]])</f>
        <v>1</v>
      </c>
      <c r="L36" s="80">
        <f>YEAR(tblPayments[[#This Row],[Arrival]])</f>
        <v>2026</v>
      </c>
      <c r="M36" s="80" t="str">
        <f>IF(tblPayments[[#This Row],[Balance]]=0,"Full Payment","Deposit")</f>
        <v>Deposit</v>
      </c>
      <c r="N36" s="43">
        <v>87639.12</v>
      </c>
      <c r="O36" s="83">
        <v>45861</v>
      </c>
      <c r="P36" s="87" t="s">
        <v>20</v>
      </c>
    </row>
    <row r="37" spans="1:16" x14ac:dyDescent="0.3">
      <c r="A37" s="77" t="s">
        <v>101</v>
      </c>
      <c r="B37" s="80" t="s">
        <v>77</v>
      </c>
      <c r="C37" s="43"/>
      <c r="D37" s="43"/>
      <c r="E37" s="43"/>
      <c r="F37" s="80" t="s">
        <v>74</v>
      </c>
      <c r="G37" s="83">
        <v>46037</v>
      </c>
      <c r="H37" s="83">
        <v>46046</v>
      </c>
      <c r="I37" s="4">
        <v>9</v>
      </c>
      <c r="J37" s="80" t="str">
        <f>TEXT(tblPayments[[#This Row],[Arrival]],"mmm")</f>
        <v>Jan</v>
      </c>
      <c r="K37" s="80">
        <f>MONTH(tblPayments[[#This Row],[Arrival]])</f>
        <v>1</v>
      </c>
      <c r="L37" s="80">
        <f>YEAR(tblPayments[[#This Row],[Arrival]])</f>
        <v>2026</v>
      </c>
      <c r="M37" s="80" t="str">
        <f>IF(tblPayments[[#This Row],[Balance]]=0,"Full Payment","Deposit")</f>
        <v>Full Payment</v>
      </c>
      <c r="N37" s="43">
        <v>0</v>
      </c>
      <c r="O37" s="83">
        <v>45912</v>
      </c>
      <c r="P37" s="87" t="s">
        <v>1</v>
      </c>
    </row>
    <row r="38" spans="1:16" x14ac:dyDescent="0.3">
      <c r="A38" s="77" t="s">
        <v>101</v>
      </c>
      <c r="B38" s="80" t="s">
        <v>77</v>
      </c>
      <c r="C38" s="43">
        <v>33970</v>
      </c>
      <c r="D38" s="43">
        <v>33970</v>
      </c>
      <c r="E38" s="43"/>
      <c r="F38" s="80" t="s">
        <v>70</v>
      </c>
      <c r="G38" s="83">
        <v>46038</v>
      </c>
      <c r="H38" s="83">
        <v>46053</v>
      </c>
      <c r="I38" s="4">
        <v>15</v>
      </c>
      <c r="J38" s="80" t="str">
        <f>TEXT(tblPayments[[#This Row],[Arrival]],"mmm")</f>
        <v>Jan</v>
      </c>
      <c r="K38" s="80">
        <f>MONTH(tblPayments[[#This Row],[Arrival]])</f>
        <v>1</v>
      </c>
      <c r="L38" s="80">
        <f>YEAR(tblPayments[[#This Row],[Arrival]])</f>
        <v>2026</v>
      </c>
      <c r="M38" s="80" t="str">
        <f>IF(tblPayments[[#This Row],[Balance]]=0,"Full Payment","Deposit")</f>
        <v>Full Payment</v>
      </c>
      <c r="N38" s="43">
        <v>12213.9</v>
      </c>
      <c r="O38" s="83">
        <v>45341</v>
      </c>
      <c r="P38" s="87" t="s">
        <v>25</v>
      </c>
    </row>
    <row r="39" spans="1:16" x14ac:dyDescent="0.3">
      <c r="A39" s="77" t="s">
        <v>101</v>
      </c>
      <c r="B39" s="80" t="s">
        <v>77</v>
      </c>
      <c r="C39" s="43">
        <v>83115.100000000006</v>
      </c>
      <c r="D39" s="43"/>
      <c r="E39" s="43">
        <v>83115.100000000006</v>
      </c>
      <c r="F39" s="80" t="s">
        <v>75</v>
      </c>
      <c r="G39" s="83">
        <v>46038</v>
      </c>
      <c r="H39" s="83">
        <v>46044</v>
      </c>
      <c r="I39" s="4">
        <v>6</v>
      </c>
      <c r="J39" s="80" t="str">
        <f>TEXT(tblPayments[[#This Row],[Arrival]],"mmm")</f>
        <v>Jan</v>
      </c>
      <c r="K39" s="80">
        <f>MONTH(tblPayments[[#This Row],[Arrival]])</f>
        <v>1</v>
      </c>
      <c r="L39" s="80">
        <f>YEAR(tblPayments[[#This Row],[Arrival]])</f>
        <v>2026</v>
      </c>
      <c r="M39" s="80" t="str">
        <f>IF(tblPayments[[#This Row],[Balance]]=0,"Full Payment","Deposit")</f>
        <v>Deposit</v>
      </c>
      <c r="N39" s="43">
        <v>52936.44</v>
      </c>
      <c r="O39" s="83">
        <v>45870</v>
      </c>
      <c r="P39" s="87" t="s">
        <v>15</v>
      </c>
    </row>
    <row r="40" spans="1:16" x14ac:dyDescent="0.3">
      <c r="A40" s="77" t="s">
        <v>101</v>
      </c>
      <c r="B40" s="80" t="s">
        <v>77</v>
      </c>
      <c r="C40" s="43">
        <v>22025</v>
      </c>
      <c r="D40" s="43"/>
      <c r="E40" s="43">
        <v>22025</v>
      </c>
      <c r="F40" s="80" t="s">
        <v>75</v>
      </c>
      <c r="G40" s="83">
        <v>46038</v>
      </c>
      <c r="H40" s="83">
        <v>46045</v>
      </c>
      <c r="I40" s="4">
        <v>7</v>
      </c>
      <c r="J40" s="80" t="str">
        <f>TEXT(tblPayments[[#This Row],[Arrival]],"mmm")</f>
        <v>Jan</v>
      </c>
      <c r="K40" s="80">
        <f>MONTH(tblPayments[[#This Row],[Arrival]])</f>
        <v>1</v>
      </c>
      <c r="L40" s="80">
        <f>YEAR(tblPayments[[#This Row],[Arrival]])</f>
        <v>2026</v>
      </c>
      <c r="M40" s="80" t="str">
        <f>IF(tblPayments[[#This Row],[Balance]]=0,"Full Payment","Deposit")</f>
        <v>Deposit</v>
      </c>
      <c r="N40" s="43">
        <v>0</v>
      </c>
      <c r="O40" s="83">
        <v>45989</v>
      </c>
      <c r="P40" s="87" t="s">
        <v>24</v>
      </c>
    </row>
    <row r="41" spans="1:16" x14ac:dyDescent="0.3">
      <c r="A41" s="77" t="s">
        <v>101</v>
      </c>
      <c r="B41" s="80" t="s">
        <v>77</v>
      </c>
      <c r="C41" s="43">
        <v>7420</v>
      </c>
      <c r="D41" s="43"/>
      <c r="E41" s="43">
        <v>7420</v>
      </c>
      <c r="F41" s="80" t="s">
        <v>75</v>
      </c>
      <c r="G41" s="83">
        <v>46038</v>
      </c>
      <c r="H41" s="83">
        <v>46048</v>
      </c>
      <c r="I41" s="4">
        <v>10</v>
      </c>
      <c r="J41" s="80" t="str">
        <f>TEXT(tblPayments[[#This Row],[Arrival]],"mmm")</f>
        <v>Jan</v>
      </c>
      <c r="K41" s="80">
        <f>MONTH(tblPayments[[#This Row],[Arrival]])</f>
        <v>1</v>
      </c>
      <c r="L41" s="80">
        <f>YEAR(tblPayments[[#This Row],[Arrival]])</f>
        <v>2026</v>
      </c>
      <c r="M41" s="80" t="str">
        <f>IF(tblPayments[[#This Row],[Balance]]=0,"Full Payment","Deposit")</f>
        <v>Deposit</v>
      </c>
      <c r="N41" s="43">
        <v>0</v>
      </c>
      <c r="O41" s="83">
        <v>45947</v>
      </c>
      <c r="P41" s="87" t="s">
        <v>22</v>
      </c>
    </row>
    <row r="42" spans="1:16" x14ac:dyDescent="0.3">
      <c r="A42" s="77" t="s">
        <v>101</v>
      </c>
      <c r="B42" s="80" t="s">
        <v>77</v>
      </c>
      <c r="C42" s="43">
        <v>54114.7</v>
      </c>
      <c r="D42" s="43"/>
      <c r="E42" s="43">
        <v>54114.7</v>
      </c>
      <c r="F42" s="80" t="s">
        <v>75</v>
      </c>
      <c r="G42" s="83">
        <v>46039</v>
      </c>
      <c r="H42" s="83">
        <v>46058</v>
      </c>
      <c r="I42" s="4">
        <v>19</v>
      </c>
      <c r="J42" s="80" t="str">
        <f>TEXT(tblPayments[[#This Row],[Arrival]],"mmm")</f>
        <v>Jan</v>
      </c>
      <c r="K42" s="80">
        <f>MONTH(tblPayments[[#This Row],[Arrival]])</f>
        <v>1</v>
      </c>
      <c r="L42" s="80">
        <f>YEAR(tblPayments[[#This Row],[Arrival]])</f>
        <v>2026</v>
      </c>
      <c r="M42" s="80" t="str">
        <f>IF(tblPayments[[#This Row],[Balance]]=0,"Full Payment","Deposit")</f>
        <v>Deposit</v>
      </c>
      <c r="N42" s="43">
        <v>37079.26</v>
      </c>
      <c r="O42" s="83">
        <v>45921</v>
      </c>
      <c r="P42" s="87" t="s">
        <v>24</v>
      </c>
    </row>
    <row r="43" spans="1:16" x14ac:dyDescent="0.3">
      <c r="A43" s="77" t="s">
        <v>101</v>
      </c>
      <c r="B43" s="80" t="s">
        <v>77</v>
      </c>
      <c r="C43" s="43">
        <v>150000</v>
      </c>
      <c r="D43" s="43"/>
      <c r="E43" s="43">
        <v>150000</v>
      </c>
      <c r="F43" s="80" t="s">
        <v>75</v>
      </c>
      <c r="G43" s="83">
        <v>46039</v>
      </c>
      <c r="H43" s="83">
        <v>46046</v>
      </c>
      <c r="I43" s="4">
        <v>7</v>
      </c>
      <c r="J43" s="80" t="str">
        <f>TEXT(tblPayments[[#This Row],[Arrival]],"mmm")</f>
        <v>Jan</v>
      </c>
      <c r="K43" s="80">
        <f>MONTH(tblPayments[[#This Row],[Arrival]])</f>
        <v>1</v>
      </c>
      <c r="L43" s="80">
        <f>YEAR(tblPayments[[#This Row],[Arrival]])</f>
        <v>2026</v>
      </c>
      <c r="M43" s="80" t="str">
        <f>IF(tblPayments[[#This Row],[Balance]]=0,"Full Payment","Deposit")</f>
        <v>Deposit</v>
      </c>
      <c r="N43" s="43">
        <v>54116.51</v>
      </c>
      <c r="O43" s="83">
        <v>45689</v>
      </c>
      <c r="P43" s="87" t="s">
        <v>24</v>
      </c>
    </row>
    <row r="44" spans="1:16" x14ac:dyDescent="0.3">
      <c r="A44" s="77" t="s">
        <v>101</v>
      </c>
      <c r="B44" s="80" t="s">
        <v>77</v>
      </c>
      <c r="C44" s="43">
        <v>66048.639999999999</v>
      </c>
      <c r="D44" s="43"/>
      <c r="E44" s="43">
        <v>66048.639999999999</v>
      </c>
      <c r="F44" s="80" t="s">
        <v>75</v>
      </c>
      <c r="G44" s="83">
        <v>46039</v>
      </c>
      <c r="H44" s="83">
        <v>46067</v>
      </c>
      <c r="I44" s="4">
        <v>28</v>
      </c>
      <c r="J44" s="80" t="str">
        <f>TEXT(tblPayments[[#This Row],[Arrival]],"mmm")</f>
        <v>Jan</v>
      </c>
      <c r="K44" s="80">
        <f>MONTH(tblPayments[[#This Row],[Arrival]])</f>
        <v>1</v>
      </c>
      <c r="L44" s="80">
        <f>YEAR(tblPayments[[#This Row],[Arrival]])</f>
        <v>2026</v>
      </c>
      <c r="M44" s="80" t="str">
        <f>IF(tblPayments[[#This Row],[Balance]]=0,"Full Payment","Deposit")</f>
        <v>Deposit</v>
      </c>
      <c r="N44" s="43">
        <v>30719.919999999998</v>
      </c>
      <c r="O44" s="83">
        <v>45820</v>
      </c>
      <c r="P44" s="87" t="s">
        <v>24</v>
      </c>
    </row>
    <row r="45" spans="1:16" x14ac:dyDescent="0.3">
      <c r="A45" s="77" t="s">
        <v>101</v>
      </c>
      <c r="B45" s="80" t="s">
        <v>77</v>
      </c>
      <c r="C45" s="43">
        <v>26735.68</v>
      </c>
      <c r="D45" s="43"/>
      <c r="E45" s="43">
        <v>26735.68</v>
      </c>
      <c r="F45" s="80" t="s">
        <v>75</v>
      </c>
      <c r="G45" s="83">
        <v>46039</v>
      </c>
      <c r="H45" s="83">
        <v>46043</v>
      </c>
      <c r="I45" s="4">
        <v>4</v>
      </c>
      <c r="J45" s="80" t="str">
        <f>TEXT(tblPayments[[#This Row],[Arrival]],"mmm")</f>
        <v>Jan</v>
      </c>
      <c r="K45" s="80">
        <f>MONTH(tblPayments[[#This Row],[Arrival]])</f>
        <v>1</v>
      </c>
      <c r="L45" s="80">
        <f>YEAR(tblPayments[[#This Row],[Arrival]])</f>
        <v>2026</v>
      </c>
      <c r="M45" s="80" t="str">
        <f>IF(tblPayments[[#This Row],[Balance]]=0,"Full Payment","Deposit")</f>
        <v>Deposit</v>
      </c>
      <c r="N45" s="43">
        <v>16648.099999999999</v>
      </c>
      <c r="O45" s="83">
        <v>45902</v>
      </c>
      <c r="P45" s="87" t="s">
        <v>8</v>
      </c>
    </row>
    <row r="46" spans="1:16" x14ac:dyDescent="0.3">
      <c r="A46" s="77" t="s">
        <v>101</v>
      </c>
      <c r="B46" s="80" t="s">
        <v>77</v>
      </c>
      <c r="C46" s="43">
        <v>912</v>
      </c>
      <c r="D46" s="43"/>
      <c r="E46" s="43">
        <v>912</v>
      </c>
      <c r="F46" s="80" t="s">
        <v>82</v>
      </c>
      <c r="G46" s="83">
        <v>46039</v>
      </c>
      <c r="H46" s="83">
        <v>46065</v>
      </c>
      <c r="I46" s="4">
        <v>26</v>
      </c>
      <c r="J46" s="80" t="str">
        <f>TEXT(tblPayments[[#This Row],[Arrival]],"mmm")</f>
        <v>Jan</v>
      </c>
      <c r="K46" s="80">
        <f>MONTH(tblPayments[[#This Row],[Arrival]])</f>
        <v>1</v>
      </c>
      <c r="L46" s="80">
        <f>YEAR(tblPayments[[#This Row],[Arrival]])</f>
        <v>2026</v>
      </c>
      <c r="M46" s="80" t="str">
        <f>IF(tblPayments[[#This Row],[Balance]]=0,"Full Payment","Deposit")</f>
        <v>Deposit</v>
      </c>
      <c r="N46" s="43">
        <v>0</v>
      </c>
      <c r="O46" s="83">
        <v>45829</v>
      </c>
      <c r="P46" s="87" t="s">
        <v>2</v>
      </c>
    </row>
    <row r="47" spans="1:16" x14ac:dyDescent="0.3">
      <c r="A47" s="77" t="s">
        <v>101</v>
      </c>
      <c r="B47" s="80" t="s">
        <v>77</v>
      </c>
      <c r="C47" s="43">
        <v>49652</v>
      </c>
      <c r="D47" s="43"/>
      <c r="E47" s="43">
        <v>49652</v>
      </c>
      <c r="F47" s="80" t="s">
        <v>75</v>
      </c>
      <c r="G47" s="83">
        <v>46040</v>
      </c>
      <c r="H47" s="83">
        <v>46047</v>
      </c>
      <c r="I47" s="4">
        <v>7</v>
      </c>
      <c r="J47" s="80" t="str">
        <f>TEXT(tblPayments[[#This Row],[Arrival]],"mmm")</f>
        <v>Jan</v>
      </c>
      <c r="K47" s="80">
        <f>MONTH(tblPayments[[#This Row],[Arrival]])</f>
        <v>1</v>
      </c>
      <c r="L47" s="80">
        <f>YEAR(tblPayments[[#This Row],[Arrival]])</f>
        <v>2026</v>
      </c>
      <c r="M47" s="80" t="str">
        <f>IF(tblPayments[[#This Row],[Balance]]=0,"Full Payment","Deposit")</f>
        <v>Deposit</v>
      </c>
      <c r="N47" s="43">
        <v>30213.68</v>
      </c>
      <c r="O47" s="83">
        <v>45996</v>
      </c>
      <c r="P47" s="87" t="s">
        <v>26</v>
      </c>
    </row>
    <row r="48" spans="1:16" x14ac:dyDescent="0.3">
      <c r="A48" s="77" t="s">
        <v>101</v>
      </c>
      <c r="B48" s="80" t="s">
        <v>77</v>
      </c>
      <c r="C48" s="43">
        <v>7284</v>
      </c>
      <c r="D48" s="43">
        <v>7284</v>
      </c>
      <c r="E48" s="43"/>
      <c r="F48" s="80" t="s">
        <v>70</v>
      </c>
      <c r="G48" s="83">
        <v>46040</v>
      </c>
      <c r="H48" s="83">
        <v>46047</v>
      </c>
      <c r="I48" s="4">
        <v>7</v>
      </c>
      <c r="J48" s="80" t="str">
        <f>TEXT(tblPayments[[#This Row],[Arrival]],"mmm")</f>
        <v>Jan</v>
      </c>
      <c r="K48" s="80">
        <f>MONTH(tblPayments[[#This Row],[Arrival]])</f>
        <v>1</v>
      </c>
      <c r="L48" s="80">
        <f>YEAR(tblPayments[[#This Row],[Arrival]])</f>
        <v>2026</v>
      </c>
      <c r="M48" s="80" t="str">
        <f>IF(tblPayments[[#This Row],[Balance]]=0,"Full Payment","Deposit")</f>
        <v>Full Payment</v>
      </c>
      <c r="N48" s="43">
        <v>1314.11</v>
      </c>
      <c r="O48" s="83">
        <v>45762</v>
      </c>
      <c r="P48" s="87" t="s">
        <v>27</v>
      </c>
    </row>
    <row r="49" spans="1:16" x14ac:dyDescent="0.3">
      <c r="A49" s="77" t="s">
        <v>101</v>
      </c>
      <c r="B49" s="80" t="s">
        <v>77</v>
      </c>
      <c r="C49" s="43">
        <v>15482</v>
      </c>
      <c r="D49" s="43"/>
      <c r="E49" s="43">
        <v>15482</v>
      </c>
      <c r="F49" s="80" t="s">
        <v>79</v>
      </c>
      <c r="G49" s="83">
        <v>46040</v>
      </c>
      <c r="H49" s="83">
        <v>46043</v>
      </c>
      <c r="I49" s="4">
        <v>3</v>
      </c>
      <c r="J49" s="80" t="str">
        <f>TEXT(tblPayments[[#This Row],[Arrival]],"mmm")</f>
        <v>Jan</v>
      </c>
      <c r="K49" s="80">
        <f>MONTH(tblPayments[[#This Row],[Arrival]])</f>
        <v>1</v>
      </c>
      <c r="L49" s="80">
        <f>YEAR(tblPayments[[#This Row],[Arrival]])</f>
        <v>2026</v>
      </c>
      <c r="M49" s="80" t="str">
        <f>IF(tblPayments[[#This Row],[Balance]]=0,"Full Payment","Deposit")</f>
        <v>Deposit</v>
      </c>
      <c r="N49" s="43">
        <v>9020.9699999999993</v>
      </c>
      <c r="O49" s="83">
        <v>45987</v>
      </c>
      <c r="P49" s="87" t="s">
        <v>2</v>
      </c>
    </row>
    <row r="50" spans="1:16" x14ac:dyDescent="0.3">
      <c r="A50" s="77" t="s">
        <v>101</v>
      </c>
      <c r="B50" s="80" t="s">
        <v>77</v>
      </c>
      <c r="C50" s="43">
        <v>0</v>
      </c>
      <c r="D50" s="43"/>
      <c r="E50" s="43">
        <v>0</v>
      </c>
      <c r="F50" s="80" t="s">
        <v>73</v>
      </c>
      <c r="G50" s="83">
        <v>46040</v>
      </c>
      <c r="H50" s="83">
        <v>46054</v>
      </c>
      <c r="I50" s="4">
        <v>14</v>
      </c>
      <c r="J50" s="80" t="str">
        <f>TEXT(tblPayments[[#This Row],[Arrival]],"mmm")</f>
        <v>Jan</v>
      </c>
      <c r="K50" s="80">
        <f>MONTH(tblPayments[[#This Row],[Arrival]])</f>
        <v>1</v>
      </c>
      <c r="L50" s="80">
        <f>YEAR(tblPayments[[#This Row],[Arrival]])</f>
        <v>2026</v>
      </c>
      <c r="M50" s="80" t="str">
        <f>IF(tblPayments[[#This Row],[Balance]]=0,"Full Payment","Deposit")</f>
        <v>Full Payment</v>
      </c>
      <c r="N50" s="43">
        <v>0</v>
      </c>
      <c r="O50" s="83">
        <v>45957</v>
      </c>
      <c r="P50" s="87" t="s">
        <v>18</v>
      </c>
    </row>
    <row r="51" spans="1:16" x14ac:dyDescent="0.3">
      <c r="A51" s="77" t="s">
        <v>101</v>
      </c>
      <c r="B51" s="80" t="s">
        <v>77</v>
      </c>
      <c r="C51" s="43">
        <v>0</v>
      </c>
      <c r="D51" s="43"/>
      <c r="E51" s="43">
        <v>0</v>
      </c>
      <c r="F51" s="80" t="s">
        <v>73</v>
      </c>
      <c r="G51" s="83">
        <v>46041</v>
      </c>
      <c r="H51" s="83">
        <v>46048</v>
      </c>
      <c r="I51" s="4">
        <v>7</v>
      </c>
      <c r="J51" s="80" t="str">
        <f>TEXT(tblPayments[[#This Row],[Arrival]],"mmm")</f>
        <v>Jan</v>
      </c>
      <c r="K51" s="80">
        <f>MONTH(tblPayments[[#This Row],[Arrival]])</f>
        <v>1</v>
      </c>
      <c r="L51" s="80">
        <f>YEAR(tblPayments[[#This Row],[Arrival]])</f>
        <v>2026</v>
      </c>
      <c r="M51" s="80" t="str">
        <f>IF(tblPayments[[#This Row],[Balance]]=0,"Full Payment","Deposit")</f>
        <v>Full Payment</v>
      </c>
      <c r="N51" s="43">
        <v>0</v>
      </c>
      <c r="O51" s="83">
        <v>45695</v>
      </c>
      <c r="P51" s="87" t="s">
        <v>27</v>
      </c>
    </row>
    <row r="52" spans="1:16" x14ac:dyDescent="0.3">
      <c r="A52" s="77" t="s">
        <v>101</v>
      </c>
      <c r="B52" s="80" t="s">
        <v>77</v>
      </c>
      <c r="C52" s="43">
        <v>78926.5</v>
      </c>
      <c r="D52" s="43"/>
      <c r="E52" s="43">
        <v>78926.5</v>
      </c>
      <c r="F52" s="80" t="s">
        <v>75</v>
      </c>
      <c r="G52" s="83">
        <v>46041</v>
      </c>
      <c r="H52" s="83">
        <v>46048</v>
      </c>
      <c r="I52" s="4">
        <v>7</v>
      </c>
      <c r="J52" s="80" t="str">
        <f>TEXT(tblPayments[[#This Row],[Arrival]],"mmm")</f>
        <v>Jan</v>
      </c>
      <c r="K52" s="80">
        <f>MONTH(tblPayments[[#This Row],[Arrival]])</f>
        <v>1</v>
      </c>
      <c r="L52" s="80">
        <f>YEAR(tblPayments[[#This Row],[Arrival]])</f>
        <v>2026</v>
      </c>
      <c r="M52" s="80" t="str">
        <f>IF(tblPayments[[#This Row],[Balance]]=0,"Full Payment","Deposit")</f>
        <v>Deposit</v>
      </c>
      <c r="N52" s="43">
        <v>54617.22</v>
      </c>
      <c r="O52" s="83">
        <v>45787</v>
      </c>
      <c r="P52" s="87" t="s">
        <v>2</v>
      </c>
    </row>
    <row r="53" spans="1:16" x14ac:dyDescent="0.3">
      <c r="A53" s="77" t="s">
        <v>101</v>
      </c>
      <c r="B53" s="80" t="s">
        <v>77</v>
      </c>
      <c r="C53" s="43">
        <v>70805</v>
      </c>
      <c r="D53" s="43">
        <v>22397.78</v>
      </c>
      <c r="E53" s="43">
        <v>48407.22</v>
      </c>
      <c r="F53" s="80" t="s">
        <v>72</v>
      </c>
      <c r="G53" s="83">
        <v>46042</v>
      </c>
      <c r="H53" s="83">
        <v>46052</v>
      </c>
      <c r="I53" s="4">
        <v>10</v>
      </c>
      <c r="J53" s="80" t="str">
        <f>TEXT(tblPayments[[#This Row],[Arrival]],"mmm")</f>
        <v>Jan</v>
      </c>
      <c r="K53" s="80">
        <f>MONTH(tblPayments[[#This Row],[Arrival]])</f>
        <v>1</v>
      </c>
      <c r="L53" s="80">
        <f>YEAR(tblPayments[[#This Row],[Arrival]])</f>
        <v>2026</v>
      </c>
      <c r="M53" s="80" t="str">
        <f>IF(tblPayments[[#This Row],[Balance]]=0,"Full Payment","Deposit")</f>
        <v>Deposit</v>
      </c>
      <c r="N53" s="43">
        <v>38442.5</v>
      </c>
      <c r="O53" s="83">
        <v>45971</v>
      </c>
      <c r="P53" s="87" t="s">
        <v>28</v>
      </c>
    </row>
    <row r="54" spans="1:16" x14ac:dyDescent="0.3">
      <c r="A54" s="77" t="s">
        <v>101</v>
      </c>
      <c r="B54" s="80" t="s">
        <v>77</v>
      </c>
      <c r="C54" s="43">
        <v>25544</v>
      </c>
      <c r="D54" s="43"/>
      <c r="E54" s="43">
        <v>25544</v>
      </c>
      <c r="F54" s="80" t="s">
        <v>75</v>
      </c>
      <c r="G54" s="83">
        <v>46042</v>
      </c>
      <c r="H54" s="83">
        <v>46048</v>
      </c>
      <c r="I54" s="4">
        <v>6</v>
      </c>
      <c r="J54" s="80" t="str">
        <f>TEXT(tblPayments[[#This Row],[Arrival]],"mmm")</f>
        <v>Jan</v>
      </c>
      <c r="K54" s="80">
        <f>MONTH(tblPayments[[#This Row],[Arrival]])</f>
        <v>1</v>
      </c>
      <c r="L54" s="80">
        <f>YEAR(tblPayments[[#This Row],[Arrival]])</f>
        <v>2026</v>
      </c>
      <c r="M54" s="80" t="str">
        <f>IF(tblPayments[[#This Row],[Balance]]=0,"Full Payment","Deposit")</f>
        <v>Deposit</v>
      </c>
      <c r="N54" s="43">
        <v>17109.54</v>
      </c>
      <c r="O54" s="83">
        <v>45971</v>
      </c>
      <c r="P54" s="87" t="s">
        <v>29</v>
      </c>
    </row>
    <row r="55" spans="1:16" x14ac:dyDescent="0.3">
      <c r="A55" s="77" t="s">
        <v>101</v>
      </c>
      <c r="B55" s="80" t="s">
        <v>77</v>
      </c>
      <c r="C55" s="43"/>
      <c r="D55" s="43"/>
      <c r="E55" s="43"/>
      <c r="F55" s="80" t="s">
        <v>73</v>
      </c>
      <c r="G55" s="83">
        <v>46043</v>
      </c>
      <c r="H55" s="83">
        <v>46047</v>
      </c>
      <c r="I55" s="4">
        <v>4</v>
      </c>
      <c r="J55" s="80" t="str">
        <f>TEXT(tblPayments[[#This Row],[Arrival]],"mmm")</f>
        <v>Jan</v>
      </c>
      <c r="K55" s="80">
        <f>MONTH(tblPayments[[#This Row],[Arrival]])</f>
        <v>1</v>
      </c>
      <c r="L55" s="80">
        <f>YEAR(tblPayments[[#This Row],[Arrival]])</f>
        <v>2026</v>
      </c>
      <c r="M55" s="80" t="str">
        <f>IF(tblPayments[[#This Row],[Balance]]=0,"Full Payment","Deposit")</f>
        <v>Full Payment</v>
      </c>
      <c r="N55" s="43"/>
      <c r="O55" s="83">
        <v>46002</v>
      </c>
      <c r="P55" s="87"/>
    </row>
    <row r="56" spans="1:16" x14ac:dyDescent="0.3">
      <c r="A56" s="77" t="s">
        <v>101</v>
      </c>
      <c r="B56" s="80" t="s">
        <v>77</v>
      </c>
      <c r="C56" s="43">
        <v>40086</v>
      </c>
      <c r="D56" s="43"/>
      <c r="E56" s="43">
        <v>40086</v>
      </c>
      <c r="F56" s="80" t="s">
        <v>75</v>
      </c>
      <c r="G56" s="83">
        <v>46043</v>
      </c>
      <c r="H56" s="83">
        <v>46050</v>
      </c>
      <c r="I56" s="4">
        <v>7</v>
      </c>
      <c r="J56" s="80" t="str">
        <f>TEXT(tblPayments[[#This Row],[Arrival]],"mmm")</f>
        <v>Jan</v>
      </c>
      <c r="K56" s="80">
        <f>MONTH(tblPayments[[#This Row],[Arrival]])</f>
        <v>1</v>
      </c>
      <c r="L56" s="80">
        <f>YEAR(tblPayments[[#This Row],[Arrival]])</f>
        <v>2026</v>
      </c>
      <c r="M56" s="80" t="str">
        <f>IF(tblPayments[[#This Row],[Balance]]=0,"Full Payment","Deposit")</f>
        <v>Deposit</v>
      </c>
      <c r="N56" s="43">
        <v>19992.21</v>
      </c>
      <c r="O56" s="83">
        <v>45939</v>
      </c>
      <c r="P56" s="87" t="s">
        <v>13</v>
      </c>
    </row>
    <row r="57" spans="1:16" x14ac:dyDescent="0.3">
      <c r="A57" s="77" t="s">
        <v>101</v>
      </c>
      <c r="B57" s="80" t="s">
        <v>77</v>
      </c>
      <c r="C57" s="43">
        <v>0</v>
      </c>
      <c r="D57" s="43"/>
      <c r="E57" s="43">
        <v>0</v>
      </c>
      <c r="F57" s="80" t="s">
        <v>73</v>
      </c>
      <c r="G57" s="83">
        <v>46043</v>
      </c>
      <c r="H57" s="83">
        <v>46050</v>
      </c>
      <c r="I57" s="4">
        <v>7</v>
      </c>
      <c r="J57" s="80" t="str">
        <f>TEXT(tblPayments[[#This Row],[Arrival]],"mmm")</f>
        <v>Jan</v>
      </c>
      <c r="K57" s="80">
        <f>MONTH(tblPayments[[#This Row],[Arrival]])</f>
        <v>1</v>
      </c>
      <c r="L57" s="80">
        <f>YEAR(tblPayments[[#This Row],[Arrival]])</f>
        <v>2026</v>
      </c>
      <c r="M57" s="80" t="str">
        <f>IF(tblPayments[[#This Row],[Balance]]=0,"Full Payment","Deposit")</f>
        <v>Full Payment</v>
      </c>
      <c r="N57" s="43">
        <v>0</v>
      </c>
      <c r="O57" s="83">
        <v>45847</v>
      </c>
      <c r="P57" s="87" t="s">
        <v>24</v>
      </c>
    </row>
    <row r="58" spans="1:16" x14ac:dyDescent="0.3">
      <c r="A58" s="77" t="s">
        <v>101</v>
      </c>
      <c r="B58" s="80" t="s">
        <v>77</v>
      </c>
      <c r="C58" s="43">
        <v>17682</v>
      </c>
      <c r="D58" s="43"/>
      <c r="E58" s="43">
        <v>17682</v>
      </c>
      <c r="F58" s="80" t="s">
        <v>75</v>
      </c>
      <c r="G58" s="83">
        <v>46043</v>
      </c>
      <c r="H58" s="83">
        <v>46047</v>
      </c>
      <c r="I58" s="4">
        <v>4</v>
      </c>
      <c r="J58" s="80" t="str">
        <f>TEXT(tblPayments[[#This Row],[Arrival]],"mmm")</f>
        <v>Jan</v>
      </c>
      <c r="K58" s="80">
        <f>MONTH(tblPayments[[#This Row],[Arrival]])</f>
        <v>1</v>
      </c>
      <c r="L58" s="80">
        <f>YEAR(tblPayments[[#This Row],[Arrival]])</f>
        <v>2026</v>
      </c>
      <c r="M58" s="80" t="str">
        <f>IF(tblPayments[[#This Row],[Balance]]=0,"Full Payment","Deposit")</f>
        <v>Deposit</v>
      </c>
      <c r="N58" s="43">
        <v>11468.52</v>
      </c>
      <c r="O58" s="83">
        <v>45896</v>
      </c>
      <c r="P58" s="87" t="s">
        <v>15</v>
      </c>
    </row>
    <row r="59" spans="1:16" x14ac:dyDescent="0.3">
      <c r="A59" s="77" t="s">
        <v>101</v>
      </c>
      <c r="B59" s="80" t="s">
        <v>77</v>
      </c>
      <c r="C59" s="43">
        <v>22521</v>
      </c>
      <c r="D59" s="43"/>
      <c r="E59" s="43">
        <v>22521</v>
      </c>
      <c r="F59" s="80" t="s">
        <v>75</v>
      </c>
      <c r="G59" s="83">
        <v>46043</v>
      </c>
      <c r="H59" s="83">
        <v>46049</v>
      </c>
      <c r="I59" s="4">
        <v>6</v>
      </c>
      <c r="J59" s="80" t="str">
        <f>TEXT(tblPayments[[#This Row],[Arrival]],"mmm")</f>
        <v>Jan</v>
      </c>
      <c r="K59" s="80">
        <f>MONTH(tblPayments[[#This Row],[Arrival]])</f>
        <v>1</v>
      </c>
      <c r="L59" s="80">
        <f>YEAR(tblPayments[[#This Row],[Arrival]])</f>
        <v>2026</v>
      </c>
      <c r="M59" s="80" t="str">
        <f>IF(tblPayments[[#This Row],[Balance]]=0,"Full Payment","Deposit")</f>
        <v>Deposit</v>
      </c>
      <c r="N59" s="43">
        <v>13487.16</v>
      </c>
      <c r="O59" s="83">
        <v>46000</v>
      </c>
      <c r="P59" s="87" t="s">
        <v>1</v>
      </c>
    </row>
    <row r="60" spans="1:16" x14ac:dyDescent="0.3">
      <c r="A60" s="77" t="s">
        <v>101</v>
      </c>
      <c r="B60" s="80" t="s">
        <v>77</v>
      </c>
      <c r="C60" s="43">
        <v>34520</v>
      </c>
      <c r="D60" s="43"/>
      <c r="E60" s="43">
        <v>34520</v>
      </c>
      <c r="F60" s="80" t="s">
        <v>75</v>
      </c>
      <c r="G60" s="83">
        <v>46044</v>
      </c>
      <c r="H60" s="83">
        <v>46049</v>
      </c>
      <c r="I60" s="4">
        <v>5</v>
      </c>
      <c r="J60" s="80" t="str">
        <f>TEXT(tblPayments[[#This Row],[Arrival]],"mmm")</f>
        <v>Jan</v>
      </c>
      <c r="K60" s="80">
        <f>MONTH(tblPayments[[#This Row],[Arrival]])</f>
        <v>1</v>
      </c>
      <c r="L60" s="80">
        <f>YEAR(tblPayments[[#This Row],[Arrival]])</f>
        <v>2026</v>
      </c>
      <c r="M60" s="80" t="str">
        <f>IF(tblPayments[[#This Row],[Balance]]=0,"Full Payment","Deposit")</f>
        <v>Deposit</v>
      </c>
      <c r="N60" s="43">
        <v>15066.05</v>
      </c>
      <c r="O60" s="83">
        <v>45687</v>
      </c>
      <c r="P60" s="87" t="s">
        <v>2</v>
      </c>
    </row>
    <row r="61" spans="1:16" x14ac:dyDescent="0.3">
      <c r="A61" s="77" t="s">
        <v>101</v>
      </c>
      <c r="B61" s="80" t="s">
        <v>77</v>
      </c>
      <c r="C61" s="43">
        <v>18872.48</v>
      </c>
      <c r="D61" s="43">
        <v>16272.48</v>
      </c>
      <c r="E61" s="43">
        <v>2600</v>
      </c>
      <c r="F61" s="80" t="s">
        <v>72</v>
      </c>
      <c r="G61" s="83">
        <v>46044</v>
      </c>
      <c r="H61" s="83">
        <v>46047</v>
      </c>
      <c r="I61" s="4">
        <v>3</v>
      </c>
      <c r="J61" s="80" t="str">
        <f>TEXT(tblPayments[[#This Row],[Arrival]],"mmm")</f>
        <v>Jan</v>
      </c>
      <c r="K61" s="80">
        <f>MONTH(tblPayments[[#This Row],[Arrival]])</f>
        <v>1</v>
      </c>
      <c r="L61" s="80">
        <f>YEAR(tblPayments[[#This Row],[Arrival]])</f>
        <v>2026</v>
      </c>
      <c r="M61" s="80" t="str">
        <f>IF(tblPayments[[#This Row],[Balance]]=0,"Full Payment","Deposit")</f>
        <v>Deposit</v>
      </c>
      <c r="N61" s="43">
        <v>12065.37</v>
      </c>
      <c r="O61" s="83">
        <v>45955</v>
      </c>
      <c r="P61" s="87" t="s">
        <v>30</v>
      </c>
    </row>
    <row r="62" spans="1:16" x14ac:dyDescent="0.3">
      <c r="A62" s="77" t="s">
        <v>101</v>
      </c>
      <c r="B62" s="80" t="s">
        <v>77</v>
      </c>
      <c r="C62" s="43">
        <v>72686</v>
      </c>
      <c r="D62" s="43"/>
      <c r="E62" s="43">
        <v>72686</v>
      </c>
      <c r="F62" s="80" t="s">
        <v>75</v>
      </c>
      <c r="G62" s="83">
        <v>46045</v>
      </c>
      <c r="H62" s="83">
        <v>46052</v>
      </c>
      <c r="I62" s="4">
        <v>7</v>
      </c>
      <c r="J62" s="80" t="str">
        <f>TEXT(tblPayments[[#This Row],[Arrival]],"mmm")</f>
        <v>Jan</v>
      </c>
      <c r="K62" s="80">
        <f>MONTH(tblPayments[[#This Row],[Arrival]])</f>
        <v>1</v>
      </c>
      <c r="L62" s="80">
        <f>YEAR(tblPayments[[#This Row],[Arrival]])</f>
        <v>2026</v>
      </c>
      <c r="M62" s="80" t="str">
        <f>IF(tblPayments[[#This Row],[Balance]]=0,"Full Payment","Deposit")</f>
        <v>Deposit</v>
      </c>
      <c r="N62" s="43">
        <v>40194.28</v>
      </c>
      <c r="O62" s="83">
        <v>45974</v>
      </c>
      <c r="P62" s="87" t="s">
        <v>25</v>
      </c>
    </row>
    <row r="63" spans="1:16" x14ac:dyDescent="0.3">
      <c r="A63" s="77" t="s">
        <v>101</v>
      </c>
      <c r="B63" s="80" t="s">
        <v>77</v>
      </c>
      <c r="C63" s="43">
        <v>12816</v>
      </c>
      <c r="D63" s="43"/>
      <c r="E63" s="43">
        <v>12816</v>
      </c>
      <c r="F63" s="80" t="s">
        <v>75</v>
      </c>
      <c r="G63" s="83">
        <v>46045</v>
      </c>
      <c r="H63" s="83">
        <v>46047</v>
      </c>
      <c r="I63" s="4">
        <v>2</v>
      </c>
      <c r="J63" s="80" t="str">
        <f>TEXT(tblPayments[[#This Row],[Arrival]],"mmm")</f>
        <v>Jan</v>
      </c>
      <c r="K63" s="80">
        <f>MONTH(tblPayments[[#This Row],[Arrival]])</f>
        <v>1</v>
      </c>
      <c r="L63" s="80">
        <f>YEAR(tblPayments[[#This Row],[Arrival]])</f>
        <v>2026</v>
      </c>
      <c r="M63" s="80" t="str">
        <f>IF(tblPayments[[#This Row],[Balance]]=0,"Full Payment","Deposit")</f>
        <v>Deposit</v>
      </c>
      <c r="N63" s="43">
        <v>4479.41</v>
      </c>
      <c r="O63" s="83">
        <v>45989</v>
      </c>
      <c r="P63" s="87" t="s">
        <v>31</v>
      </c>
    </row>
    <row r="64" spans="1:16" x14ac:dyDescent="0.3">
      <c r="A64" s="77" t="s">
        <v>101</v>
      </c>
      <c r="B64" s="80" t="s">
        <v>77</v>
      </c>
      <c r="C64" s="43">
        <v>18947.98</v>
      </c>
      <c r="D64" s="43">
        <v>18947.98</v>
      </c>
      <c r="E64" s="43"/>
      <c r="F64" s="80" t="s">
        <v>70</v>
      </c>
      <c r="G64" s="83">
        <v>46046</v>
      </c>
      <c r="H64" s="83">
        <v>46050</v>
      </c>
      <c r="I64" s="4">
        <v>4</v>
      </c>
      <c r="J64" s="80" t="str">
        <f>TEXT(tblPayments[[#This Row],[Arrival]],"mmm")</f>
        <v>Jan</v>
      </c>
      <c r="K64" s="80">
        <f>MONTH(tblPayments[[#This Row],[Arrival]])</f>
        <v>1</v>
      </c>
      <c r="L64" s="80">
        <f>YEAR(tblPayments[[#This Row],[Arrival]])</f>
        <v>2026</v>
      </c>
      <c r="M64" s="80" t="str">
        <f>IF(tblPayments[[#This Row],[Balance]]=0,"Full Payment","Deposit")</f>
        <v>Full Payment</v>
      </c>
      <c r="N64" s="43">
        <v>11471.28</v>
      </c>
      <c r="O64" s="83">
        <v>45785</v>
      </c>
      <c r="P64" s="87" t="s">
        <v>12</v>
      </c>
    </row>
    <row r="65" spans="1:16" x14ac:dyDescent="0.3">
      <c r="A65" s="77" t="s">
        <v>101</v>
      </c>
      <c r="B65" s="80" t="s">
        <v>77</v>
      </c>
      <c r="C65" s="43"/>
      <c r="D65" s="43"/>
      <c r="E65" s="43"/>
      <c r="F65" s="80" t="s">
        <v>73</v>
      </c>
      <c r="G65" s="83">
        <v>46046</v>
      </c>
      <c r="H65" s="83">
        <v>46052</v>
      </c>
      <c r="I65" s="4">
        <v>6</v>
      </c>
      <c r="J65" s="80" t="str">
        <f>TEXT(tblPayments[[#This Row],[Arrival]],"mmm")</f>
        <v>Jan</v>
      </c>
      <c r="K65" s="80">
        <f>MONTH(tblPayments[[#This Row],[Arrival]])</f>
        <v>1</v>
      </c>
      <c r="L65" s="80">
        <f>YEAR(tblPayments[[#This Row],[Arrival]])</f>
        <v>2026</v>
      </c>
      <c r="M65" s="80" t="str">
        <f>IF(tblPayments[[#This Row],[Balance]]=0,"Full Payment","Deposit")</f>
        <v>Full Payment</v>
      </c>
      <c r="N65" s="43">
        <v>0</v>
      </c>
      <c r="O65" s="83">
        <v>45995</v>
      </c>
      <c r="P65" s="87" t="s">
        <v>8</v>
      </c>
    </row>
    <row r="66" spans="1:16" x14ac:dyDescent="0.3">
      <c r="A66" s="77" t="s">
        <v>101</v>
      </c>
      <c r="B66" s="80" t="s">
        <v>77</v>
      </c>
      <c r="C66" s="43">
        <v>19224</v>
      </c>
      <c r="D66" s="43"/>
      <c r="E66" s="43">
        <v>19224</v>
      </c>
      <c r="F66" s="80" t="s">
        <v>75</v>
      </c>
      <c r="G66" s="83">
        <v>46047</v>
      </c>
      <c r="H66" s="83">
        <v>46050</v>
      </c>
      <c r="I66" s="4">
        <v>3</v>
      </c>
      <c r="J66" s="80" t="str">
        <f>TEXT(tblPayments[[#This Row],[Arrival]],"mmm")</f>
        <v>Jan</v>
      </c>
      <c r="K66" s="80">
        <f>MONTH(tblPayments[[#This Row],[Arrival]])</f>
        <v>1</v>
      </c>
      <c r="L66" s="80">
        <f>YEAR(tblPayments[[#This Row],[Arrival]])</f>
        <v>2026</v>
      </c>
      <c r="M66" s="80" t="str">
        <f>IF(tblPayments[[#This Row],[Balance]]=0,"Full Payment","Deposit")</f>
        <v>Deposit</v>
      </c>
      <c r="N66" s="43">
        <v>12546.63</v>
      </c>
      <c r="O66" s="83">
        <v>45989</v>
      </c>
      <c r="P66" s="87" t="s">
        <v>31</v>
      </c>
    </row>
    <row r="67" spans="1:16" x14ac:dyDescent="0.3">
      <c r="A67" s="77" t="s">
        <v>101</v>
      </c>
      <c r="B67" s="80" t="s">
        <v>77</v>
      </c>
      <c r="C67" s="43">
        <v>36837.980000000003</v>
      </c>
      <c r="D67" s="43">
        <v>18419.2</v>
      </c>
      <c r="E67" s="43">
        <v>18419.2</v>
      </c>
      <c r="F67" s="80" t="s">
        <v>72</v>
      </c>
      <c r="G67" s="83">
        <v>46048</v>
      </c>
      <c r="H67" s="83">
        <v>46055</v>
      </c>
      <c r="I67" s="4">
        <v>7</v>
      </c>
      <c r="J67" s="80" t="str">
        <f>TEXT(tblPayments[[#This Row],[Arrival]],"mmm")</f>
        <v>Jan</v>
      </c>
      <c r="K67" s="80">
        <f>MONTH(tblPayments[[#This Row],[Arrival]])</f>
        <v>1</v>
      </c>
      <c r="L67" s="80">
        <f>YEAR(tblPayments[[#This Row],[Arrival]])</f>
        <v>2026</v>
      </c>
      <c r="M67" s="80" t="str">
        <f>IF(tblPayments[[#This Row],[Balance]]=0,"Full Payment","Deposit")</f>
        <v>Deposit</v>
      </c>
      <c r="N67" s="43">
        <v>22634.29</v>
      </c>
      <c r="O67" s="83">
        <v>45911</v>
      </c>
      <c r="P67" s="87" t="s">
        <v>2</v>
      </c>
    </row>
    <row r="68" spans="1:16" x14ac:dyDescent="0.3">
      <c r="A68" s="77" t="s">
        <v>101</v>
      </c>
      <c r="B68" s="80" t="s">
        <v>77</v>
      </c>
      <c r="C68" s="43">
        <v>380</v>
      </c>
      <c r="D68" s="43"/>
      <c r="E68" s="43">
        <v>380</v>
      </c>
      <c r="F68" s="80" t="s">
        <v>75</v>
      </c>
      <c r="G68" s="83">
        <v>46048</v>
      </c>
      <c r="H68" s="83">
        <v>46050</v>
      </c>
      <c r="I68" s="4">
        <v>2</v>
      </c>
      <c r="J68" s="80" t="str">
        <f>TEXT(tblPayments[[#This Row],[Arrival]],"mmm")</f>
        <v>Jan</v>
      </c>
      <c r="K68" s="80">
        <f>MONTH(tblPayments[[#This Row],[Arrival]])</f>
        <v>1</v>
      </c>
      <c r="L68" s="80">
        <f>YEAR(tblPayments[[#This Row],[Arrival]])</f>
        <v>2026</v>
      </c>
      <c r="M68" s="80" t="str">
        <f>IF(tblPayments[[#This Row],[Balance]]=0,"Full Payment","Deposit")</f>
        <v>Deposit</v>
      </c>
      <c r="N68" s="43">
        <v>0</v>
      </c>
      <c r="O68" s="83">
        <v>45939</v>
      </c>
      <c r="P68" s="87" t="s">
        <v>13</v>
      </c>
    </row>
    <row r="69" spans="1:16" x14ac:dyDescent="0.3">
      <c r="A69" s="77" t="s">
        <v>101</v>
      </c>
      <c r="B69" s="80" t="s">
        <v>77</v>
      </c>
      <c r="C69" s="43">
        <v>73887.5</v>
      </c>
      <c r="D69" s="43">
        <v>73887.5</v>
      </c>
      <c r="E69" s="43"/>
      <c r="F69" s="80" t="s">
        <v>70</v>
      </c>
      <c r="G69" s="83">
        <v>46048</v>
      </c>
      <c r="H69" s="83">
        <v>46055</v>
      </c>
      <c r="I69" s="4">
        <v>7</v>
      </c>
      <c r="J69" s="80" t="str">
        <f>TEXT(tblPayments[[#This Row],[Arrival]],"mmm")</f>
        <v>Jan</v>
      </c>
      <c r="K69" s="80">
        <f>MONTH(tblPayments[[#This Row],[Arrival]])</f>
        <v>1</v>
      </c>
      <c r="L69" s="80">
        <f>YEAR(tblPayments[[#This Row],[Arrival]])</f>
        <v>2026</v>
      </c>
      <c r="M69" s="80" t="str">
        <f>IF(tblPayments[[#This Row],[Balance]]=0,"Full Payment","Deposit")</f>
        <v>Full Payment</v>
      </c>
      <c r="N69" s="43">
        <v>23605.54</v>
      </c>
      <c r="O69" s="83">
        <v>45879</v>
      </c>
      <c r="P69" s="87" t="s">
        <v>2</v>
      </c>
    </row>
    <row r="70" spans="1:16" x14ac:dyDescent="0.3">
      <c r="A70" s="77" t="s">
        <v>101</v>
      </c>
      <c r="B70" s="80" t="s">
        <v>77</v>
      </c>
      <c r="C70" s="43">
        <v>0</v>
      </c>
      <c r="D70" s="43"/>
      <c r="E70" s="43">
        <v>0</v>
      </c>
      <c r="F70" s="80" t="s">
        <v>73</v>
      </c>
      <c r="G70" s="83">
        <v>46048</v>
      </c>
      <c r="H70" s="83">
        <v>46059</v>
      </c>
      <c r="I70" s="4">
        <v>11</v>
      </c>
      <c r="J70" s="80" t="str">
        <f>TEXT(tblPayments[[#This Row],[Arrival]],"mmm")</f>
        <v>Jan</v>
      </c>
      <c r="K70" s="80">
        <f>MONTH(tblPayments[[#This Row],[Arrival]])</f>
        <v>1</v>
      </c>
      <c r="L70" s="80">
        <f>YEAR(tblPayments[[#This Row],[Arrival]])</f>
        <v>2026</v>
      </c>
      <c r="M70" s="80" t="str">
        <f>IF(tblPayments[[#This Row],[Balance]]=0,"Full Payment","Deposit")</f>
        <v>Full Payment</v>
      </c>
      <c r="N70" s="43">
        <v>0</v>
      </c>
      <c r="O70" s="83">
        <v>45937</v>
      </c>
      <c r="P70" s="87" t="s">
        <v>22</v>
      </c>
    </row>
    <row r="71" spans="1:16" x14ac:dyDescent="0.3">
      <c r="A71" s="77" t="s">
        <v>101</v>
      </c>
      <c r="B71" s="80" t="s">
        <v>77</v>
      </c>
      <c r="C71" s="43">
        <v>397</v>
      </c>
      <c r="D71" s="43"/>
      <c r="E71" s="43">
        <v>397</v>
      </c>
      <c r="F71" s="80" t="s">
        <v>75</v>
      </c>
      <c r="G71" s="83">
        <v>46048</v>
      </c>
      <c r="H71" s="83">
        <v>46051</v>
      </c>
      <c r="I71" s="4">
        <v>3</v>
      </c>
      <c r="J71" s="80" t="str">
        <f>TEXT(tblPayments[[#This Row],[Arrival]],"mmm")</f>
        <v>Jan</v>
      </c>
      <c r="K71" s="80">
        <f>MONTH(tblPayments[[#This Row],[Arrival]])</f>
        <v>1</v>
      </c>
      <c r="L71" s="80">
        <f>YEAR(tblPayments[[#This Row],[Arrival]])</f>
        <v>2026</v>
      </c>
      <c r="M71" s="80" t="str">
        <f>IF(tblPayments[[#This Row],[Balance]]=0,"Full Payment","Deposit")</f>
        <v>Deposit</v>
      </c>
      <c r="N71" s="43">
        <v>0</v>
      </c>
      <c r="O71" s="83">
        <v>45981</v>
      </c>
      <c r="P71" s="87" t="s">
        <v>31</v>
      </c>
    </row>
    <row r="72" spans="1:16" x14ac:dyDescent="0.3">
      <c r="A72" s="77" t="s">
        <v>101</v>
      </c>
      <c r="B72" s="80" t="s">
        <v>77</v>
      </c>
      <c r="C72" s="43">
        <v>1200</v>
      </c>
      <c r="D72" s="43"/>
      <c r="E72" s="43">
        <v>1200</v>
      </c>
      <c r="F72" s="80" t="s">
        <v>75</v>
      </c>
      <c r="G72" s="83">
        <v>46048</v>
      </c>
      <c r="H72" s="83">
        <v>46051</v>
      </c>
      <c r="I72" s="4">
        <v>3</v>
      </c>
      <c r="J72" s="80" t="str">
        <f>TEXT(tblPayments[[#This Row],[Arrival]],"mmm")</f>
        <v>Jan</v>
      </c>
      <c r="K72" s="80">
        <f>MONTH(tblPayments[[#This Row],[Arrival]])</f>
        <v>1</v>
      </c>
      <c r="L72" s="80">
        <f>YEAR(tblPayments[[#This Row],[Arrival]])</f>
        <v>2026</v>
      </c>
      <c r="M72" s="80" t="str">
        <f>IF(tblPayments[[#This Row],[Balance]]=0,"Full Payment","Deposit")</f>
        <v>Deposit</v>
      </c>
      <c r="N72" s="43">
        <v>386.91</v>
      </c>
      <c r="O72" s="83">
        <v>45915</v>
      </c>
      <c r="P72" s="87" t="s">
        <v>31</v>
      </c>
    </row>
    <row r="73" spans="1:16" x14ac:dyDescent="0.3">
      <c r="A73" s="77" t="s">
        <v>101</v>
      </c>
      <c r="B73" s="80" t="s">
        <v>77</v>
      </c>
      <c r="C73" s="43">
        <v>13797</v>
      </c>
      <c r="D73" s="43"/>
      <c r="E73" s="43">
        <v>13797</v>
      </c>
      <c r="F73" s="80" t="s">
        <v>75</v>
      </c>
      <c r="G73" s="83">
        <v>46049</v>
      </c>
      <c r="H73" s="83">
        <v>46051</v>
      </c>
      <c r="I73" s="4">
        <v>2</v>
      </c>
      <c r="J73" s="80" t="str">
        <f>TEXT(tblPayments[[#This Row],[Arrival]],"mmm")</f>
        <v>Jan</v>
      </c>
      <c r="K73" s="80">
        <f>MONTH(tblPayments[[#This Row],[Arrival]])</f>
        <v>1</v>
      </c>
      <c r="L73" s="80">
        <f>YEAR(tblPayments[[#This Row],[Arrival]])</f>
        <v>2026</v>
      </c>
      <c r="M73" s="80" t="str">
        <f>IF(tblPayments[[#This Row],[Balance]]=0,"Full Payment","Deposit")</f>
        <v>Deposit</v>
      </c>
      <c r="N73" s="43">
        <v>0</v>
      </c>
      <c r="O73" s="83">
        <v>45689</v>
      </c>
      <c r="P73" s="87" t="s">
        <v>2</v>
      </c>
    </row>
    <row r="74" spans="1:16" x14ac:dyDescent="0.3">
      <c r="A74" s="77" t="s">
        <v>101</v>
      </c>
      <c r="B74" s="80" t="s">
        <v>77</v>
      </c>
      <c r="C74" s="43">
        <v>0</v>
      </c>
      <c r="D74" s="43"/>
      <c r="E74" s="43">
        <v>0</v>
      </c>
      <c r="F74" s="80" t="s">
        <v>73</v>
      </c>
      <c r="G74" s="83">
        <v>46049</v>
      </c>
      <c r="H74" s="83">
        <v>46073</v>
      </c>
      <c r="I74" s="4">
        <v>24</v>
      </c>
      <c r="J74" s="80" t="str">
        <f>TEXT(tblPayments[[#This Row],[Arrival]],"mmm")</f>
        <v>Jan</v>
      </c>
      <c r="K74" s="80">
        <f>MONTH(tblPayments[[#This Row],[Arrival]])</f>
        <v>1</v>
      </c>
      <c r="L74" s="80">
        <f>YEAR(tblPayments[[#This Row],[Arrival]])</f>
        <v>2026</v>
      </c>
      <c r="M74" s="80" t="str">
        <f>IF(tblPayments[[#This Row],[Balance]]=0,"Full Payment","Deposit")</f>
        <v>Full Payment</v>
      </c>
      <c r="N74" s="43">
        <v>0</v>
      </c>
      <c r="O74" s="83">
        <v>45918</v>
      </c>
      <c r="P74" s="87" t="s">
        <v>1</v>
      </c>
    </row>
    <row r="75" spans="1:16" x14ac:dyDescent="0.3">
      <c r="A75" s="77" t="s">
        <v>101</v>
      </c>
      <c r="B75" s="80" t="s">
        <v>77</v>
      </c>
      <c r="C75" s="43">
        <v>24252.37</v>
      </c>
      <c r="D75" s="43"/>
      <c r="E75" s="43">
        <v>24252.37</v>
      </c>
      <c r="F75" s="80" t="s">
        <v>75</v>
      </c>
      <c r="G75" s="83">
        <v>46049</v>
      </c>
      <c r="H75" s="83">
        <v>46052</v>
      </c>
      <c r="I75" s="4">
        <v>3</v>
      </c>
      <c r="J75" s="80" t="str">
        <f>TEXT(tblPayments[[#This Row],[Arrival]],"mmm")</f>
        <v>Jan</v>
      </c>
      <c r="K75" s="80">
        <f>MONTH(tblPayments[[#This Row],[Arrival]])</f>
        <v>1</v>
      </c>
      <c r="L75" s="80">
        <f>YEAR(tblPayments[[#This Row],[Arrival]])</f>
        <v>2026</v>
      </c>
      <c r="M75" s="80" t="str">
        <f>IF(tblPayments[[#This Row],[Balance]]=0,"Full Payment","Deposit")</f>
        <v>Deposit</v>
      </c>
      <c r="N75" s="43">
        <v>0</v>
      </c>
      <c r="O75" s="83">
        <v>45966</v>
      </c>
      <c r="P75" s="87" t="s">
        <v>2</v>
      </c>
    </row>
    <row r="76" spans="1:16" x14ac:dyDescent="0.3">
      <c r="A76" s="77" t="s">
        <v>101</v>
      </c>
      <c r="B76" s="80" t="s">
        <v>77</v>
      </c>
      <c r="C76" s="43">
        <v>147338</v>
      </c>
      <c r="D76" s="43">
        <v>36834.5</v>
      </c>
      <c r="E76" s="43">
        <v>110503.5</v>
      </c>
      <c r="F76" s="80" t="s">
        <v>72</v>
      </c>
      <c r="G76" s="83">
        <v>46050</v>
      </c>
      <c r="H76" s="83">
        <v>46057</v>
      </c>
      <c r="I76" s="4">
        <v>7</v>
      </c>
      <c r="J76" s="80" t="str">
        <f>TEXT(tblPayments[[#This Row],[Arrival]],"mmm")</f>
        <v>Jan</v>
      </c>
      <c r="K76" s="80">
        <f>MONTH(tblPayments[[#This Row],[Arrival]])</f>
        <v>1</v>
      </c>
      <c r="L76" s="80">
        <f>YEAR(tblPayments[[#This Row],[Arrival]])</f>
        <v>2026</v>
      </c>
      <c r="M76" s="80" t="str">
        <f>IF(tblPayments[[#This Row],[Balance]]=0,"Full Payment","Deposit")</f>
        <v>Deposit</v>
      </c>
      <c r="N76" s="43">
        <v>48317.29</v>
      </c>
      <c r="O76" s="83">
        <v>45967</v>
      </c>
      <c r="P76" s="87" t="s">
        <v>22</v>
      </c>
    </row>
    <row r="77" spans="1:16" x14ac:dyDescent="0.3">
      <c r="A77" s="77" t="s">
        <v>101</v>
      </c>
      <c r="B77" s="80" t="s">
        <v>77</v>
      </c>
      <c r="C77" s="43">
        <v>0</v>
      </c>
      <c r="D77" s="43"/>
      <c r="E77" s="43">
        <v>0</v>
      </c>
      <c r="F77" s="80" t="s">
        <v>73</v>
      </c>
      <c r="G77" s="83">
        <v>46050</v>
      </c>
      <c r="H77" s="83">
        <v>46057</v>
      </c>
      <c r="I77" s="4">
        <v>7</v>
      </c>
      <c r="J77" s="80" t="str">
        <f>TEXT(tblPayments[[#This Row],[Arrival]],"mmm")</f>
        <v>Jan</v>
      </c>
      <c r="K77" s="80">
        <f>MONTH(tblPayments[[#This Row],[Arrival]])</f>
        <v>1</v>
      </c>
      <c r="L77" s="80">
        <f>YEAR(tblPayments[[#This Row],[Arrival]])</f>
        <v>2026</v>
      </c>
      <c r="M77" s="80" t="str">
        <f>IF(tblPayments[[#This Row],[Balance]]=0,"Full Payment","Deposit")</f>
        <v>Full Payment</v>
      </c>
      <c r="N77" s="43">
        <v>0</v>
      </c>
      <c r="O77" s="83">
        <v>45935</v>
      </c>
      <c r="P77" s="87" t="s">
        <v>2</v>
      </c>
    </row>
    <row r="78" spans="1:16" x14ac:dyDescent="0.3">
      <c r="A78" s="77" t="s">
        <v>101</v>
      </c>
      <c r="B78" s="80" t="s">
        <v>77</v>
      </c>
      <c r="C78" s="43">
        <v>19395.96</v>
      </c>
      <c r="D78" s="43"/>
      <c r="E78" s="43">
        <v>19395.96</v>
      </c>
      <c r="F78" s="80" t="s">
        <v>75</v>
      </c>
      <c r="G78" s="83">
        <v>46051</v>
      </c>
      <c r="H78" s="83">
        <v>46057</v>
      </c>
      <c r="I78" s="4">
        <v>6</v>
      </c>
      <c r="J78" s="80" t="str">
        <f>TEXT(tblPayments[[#This Row],[Arrival]],"mmm")</f>
        <v>Jan</v>
      </c>
      <c r="K78" s="80">
        <f>MONTH(tblPayments[[#This Row],[Arrival]])</f>
        <v>1</v>
      </c>
      <c r="L78" s="80">
        <f>YEAR(tblPayments[[#This Row],[Arrival]])</f>
        <v>2026</v>
      </c>
      <c r="M78" s="80" t="str">
        <f>IF(tblPayments[[#This Row],[Balance]]=0,"Full Payment","Deposit")</f>
        <v>Deposit</v>
      </c>
      <c r="N78" s="43">
        <v>12580.86</v>
      </c>
      <c r="O78" s="83">
        <v>46000</v>
      </c>
      <c r="P78" s="87" t="s">
        <v>2</v>
      </c>
    </row>
    <row r="79" spans="1:16" x14ac:dyDescent="0.3">
      <c r="A79" s="77" t="s">
        <v>101</v>
      </c>
      <c r="B79" s="80" t="s">
        <v>77</v>
      </c>
      <c r="C79" s="43">
        <v>27320</v>
      </c>
      <c r="D79" s="43"/>
      <c r="E79" s="43">
        <v>27320</v>
      </c>
      <c r="F79" s="80" t="s">
        <v>75</v>
      </c>
      <c r="G79" s="83">
        <v>46052</v>
      </c>
      <c r="H79" s="83">
        <v>46057</v>
      </c>
      <c r="I79" s="4">
        <v>5</v>
      </c>
      <c r="J79" s="80" t="str">
        <f>TEXT(tblPayments[[#This Row],[Arrival]],"mmm")</f>
        <v>Jan</v>
      </c>
      <c r="K79" s="80">
        <f>MONTH(tblPayments[[#This Row],[Arrival]])</f>
        <v>1</v>
      </c>
      <c r="L79" s="80">
        <f>YEAR(tblPayments[[#This Row],[Arrival]])</f>
        <v>2026</v>
      </c>
      <c r="M79" s="80" t="str">
        <f>IF(tblPayments[[#This Row],[Balance]]=0,"Full Payment","Deposit")</f>
        <v>Deposit</v>
      </c>
      <c r="N79" s="43">
        <v>17361.099999999999</v>
      </c>
      <c r="O79" s="83">
        <v>45965</v>
      </c>
      <c r="P79" s="87" t="s">
        <v>13</v>
      </c>
    </row>
    <row r="80" spans="1:16" x14ac:dyDescent="0.3">
      <c r="A80" s="77" t="s">
        <v>101</v>
      </c>
      <c r="B80" s="80" t="s">
        <v>77</v>
      </c>
      <c r="C80" s="43">
        <v>325</v>
      </c>
      <c r="D80" s="43"/>
      <c r="E80" s="43">
        <v>325</v>
      </c>
      <c r="F80" s="80" t="s">
        <v>75</v>
      </c>
      <c r="G80" s="83">
        <v>46052</v>
      </c>
      <c r="H80" s="83">
        <v>46054</v>
      </c>
      <c r="I80" s="4">
        <v>2</v>
      </c>
      <c r="J80" s="80" t="str">
        <f>TEXT(tblPayments[[#This Row],[Arrival]],"mmm")</f>
        <v>Jan</v>
      </c>
      <c r="K80" s="80">
        <f>MONTH(tblPayments[[#This Row],[Arrival]])</f>
        <v>1</v>
      </c>
      <c r="L80" s="80">
        <f>YEAR(tblPayments[[#This Row],[Arrival]])</f>
        <v>2026</v>
      </c>
      <c r="M80" s="80" t="str">
        <f>IF(tblPayments[[#This Row],[Balance]]=0,"Full Payment","Deposit")</f>
        <v>Deposit</v>
      </c>
      <c r="N80" s="43">
        <v>-1144.68</v>
      </c>
      <c r="O80" s="83">
        <v>45981</v>
      </c>
      <c r="P80" s="87" t="s">
        <v>2</v>
      </c>
    </row>
    <row r="81" spans="1:16" x14ac:dyDescent="0.3">
      <c r="A81" s="77" t="s">
        <v>101</v>
      </c>
      <c r="B81" s="80" t="s">
        <v>77</v>
      </c>
      <c r="C81" s="43">
        <v>8311.2000000000007</v>
      </c>
      <c r="D81" s="43"/>
      <c r="E81" s="43">
        <v>8311.2000000000007</v>
      </c>
      <c r="F81" s="80" t="s">
        <v>80</v>
      </c>
      <c r="G81" s="83">
        <v>46052</v>
      </c>
      <c r="H81" s="83">
        <v>46053</v>
      </c>
      <c r="I81" s="4">
        <v>1</v>
      </c>
      <c r="J81" s="80" t="str">
        <f>TEXT(tblPayments[[#This Row],[Arrival]],"mmm")</f>
        <v>Jan</v>
      </c>
      <c r="K81" s="80">
        <f>MONTH(tblPayments[[#This Row],[Arrival]])</f>
        <v>1</v>
      </c>
      <c r="L81" s="80">
        <f>YEAR(tblPayments[[#This Row],[Arrival]])</f>
        <v>2026</v>
      </c>
      <c r="M81" s="80" t="str">
        <f>IF(tblPayments[[#This Row],[Balance]]=0,"Full Payment","Deposit")</f>
        <v>Deposit</v>
      </c>
      <c r="N81" s="43">
        <v>4197.7299999999996</v>
      </c>
      <c r="O81" s="83">
        <v>45986</v>
      </c>
      <c r="P81" s="87" t="s">
        <v>32</v>
      </c>
    </row>
    <row r="82" spans="1:16" x14ac:dyDescent="0.3">
      <c r="A82" s="77" t="s">
        <v>101</v>
      </c>
      <c r="B82" s="80" t="s">
        <v>77</v>
      </c>
      <c r="C82" s="43">
        <v>13600</v>
      </c>
      <c r="D82" s="43"/>
      <c r="E82" s="43">
        <v>13600</v>
      </c>
      <c r="F82" s="80" t="s">
        <v>75</v>
      </c>
      <c r="G82" s="83">
        <v>46053</v>
      </c>
      <c r="H82" s="83">
        <v>46067</v>
      </c>
      <c r="I82" s="4">
        <v>14</v>
      </c>
      <c r="J82" s="80" t="str">
        <f>TEXT(tblPayments[[#This Row],[Arrival]],"mmm")</f>
        <v>Jan</v>
      </c>
      <c r="K82" s="80">
        <f>MONTH(tblPayments[[#This Row],[Arrival]])</f>
        <v>1</v>
      </c>
      <c r="L82" s="80">
        <f>YEAR(tblPayments[[#This Row],[Arrival]])</f>
        <v>2026</v>
      </c>
      <c r="M82" s="80" t="str">
        <f>IF(tblPayments[[#This Row],[Balance]]=0,"Full Payment","Deposit")</f>
        <v>Deposit</v>
      </c>
      <c r="N82" s="43">
        <v>0</v>
      </c>
      <c r="O82" s="83">
        <v>45748</v>
      </c>
      <c r="P82" s="87" t="s">
        <v>24</v>
      </c>
    </row>
    <row r="83" spans="1:16" x14ac:dyDescent="0.3">
      <c r="A83" s="77" t="s">
        <v>101</v>
      </c>
      <c r="B83" s="80" t="s">
        <v>77</v>
      </c>
      <c r="C83" s="43">
        <v>35074</v>
      </c>
      <c r="D83" s="43">
        <v>35074</v>
      </c>
      <c r="E83" s="43"/>
      <c r="F83" s="80" t="s">
        <v>70</v>
      </c>
      <c r="G83" s="83">
        <v>46053</v>
      </c>
      <c r="H83" s="83">
        <v>46062</v>
      </c>
      <c r="I83" s="4">
        <v>9</v>
      </c>
      <c r="J83" s="80" t="str">
        <f>TEXT(tblPayments[[#This Row],[Arrival]],"mmm")</f>
        <v>Jan</v>
      </c>
      <c r="K83" s="80">
        <f>MONTH(tblPayments[[#This Row],[Arrival]])</f>
        <v>1</v>
      </c>
      <c r="L83" s="80">
        <f>YEAR(tblPayments[[#This Row],[Arrival]])</f>
        <v>2026</v>
      </c>
      <c r="M83" s="80" t="str">
        <f>IF(tblPayments[[#This Row],[Balance]]=0,"Full Payment","Deposit")</f>
        <v>Full Payment</v>
      </c>
      <c r="N83" s="43">
        <v>19842.66</v>
      </c>
      <c r="O83" s="83">
        <v>45849</v>
      </c>
      <c r="P83" s="87" t="s">
        <v>1</v>
      </c>
    </row>
    <row r="84" spans="1:16" x14ac:dyDescent="0.3">
      <c r="A84" s="77" t="s">
        <v>101</v>
      </c>
      <c r="B84" s="80" t="s">
        <v>77</v>
      </c>
      <c r="C84" s="43">
        <v>60160</v>
      </c>
      <c r="D84" s="43"/>
      <c r="E84" s="43">
        <v>60160</v>
      </c>
      <c r="F84" s="80" t="s">
        <v>75</v>
      </c>
      <c r="G84" s="83">
        <v>46053</v>
      </c>
      <c r="H84" s="83">
        <v>46062</v>
      </c>
      <c r="I84" s="4">
        <v>9</v>
      </c>
      <c r="J84" s="80" t="str">
        <f>TEXT(tblPayments[[#This Row],[Arrival]],"mmm")</f>
        <v>Jan</v>
      </c>
      <c r="K84" s="80">
        <f>MONTH(tblPayments[[#This Row],[Arrival]])</f>
        <v>1</v>
      </c>
      <c r="L84" s="80">
        <f>YEAR(tblPayments[[#This Row],[Arrival]])</f>
        <v>2026</v>
      </c>
      <c r="M84" s="80" t="str">
        <f>IF(tblPayments[[#This Row],[Balance]]=0,"Full Payment","Deposit")</f>
        <v>Deposit</v>
      </c>
      <c r="N84" s="43">
        <v>34232.67</v>
      </c>
      <c r="O84" s="83">
        <v>45776</v>
      </c>
      <c r="P84" s="87" t="s">
        <v>24</v>
      </c>
    </row>
    <row r="85" spans="1:16" x14ac:dyDescent="0.3">
      <c r="A85" s="77" t="s">
        <v>101</v>
      </c>
      <c r="B85" s="80" t="s">
        <v>77</v>
      </c>
      <c r="C85" s="43">
        <v>35340</v>
      </c>
      <c r="D85" s="43"/>
      <c r="E85" s="43">
        <v>35340</v>
      </c>
      <c r="F85" s="80" t="s">
        <v>75</v>
      </c>
      <c r="G85" s="83">
        <v>46053</v>
      </c>
      <c r="H85" s="83">
        <v>46062</v>
      </c>
      <c r="I85" s="4">
        <v>9</v>
      </c>
      <c r="J85" s="80" t="str">
        <f>TEXT(tblPayments[[#This Row],[Arrival]],"mmm")</f>
        <v>Jan</v>
      </c>
      <c r="K85" s="80">
        <f>MONTH(tblPayments[[#This Row],[Arrival]])</f>
        <v>1</v>
      </c>
      <c r="L85" s="80">
        <f>YEAR(tblPayments[[#This Row],[Arrival]])</f>
        <v>2026</v>
      </c>
      <c r="M85" s="80" t="str">
        <f>IF(tblPayments[[#This Row],[Balance]]=0,"Full Payment","Deposit")</f>
        <v>Deposit</v>
      </c>
      <c r="N85" s="43">
        <v>16787.79</v>
      </c>
      <c r="O85" s="83">
        <v>45776</v>
      </c>
      <c r="P85" s="87" t="s">
        <v>24</v>
      </c>
    </row>
    <row r="86" spans="1:16" x14ac:dyDescent="0.3">
      <c r="A86" s="77" t="s">
        <v>101</v>
      </c>
      <c r="B86" s="80" t="s">
        <v>77</v>
      </c>
      <c r="C86" s="43">
        <v>35340</v>
      </c>
      <c r="D86" s="43"/>
      <c r="E86" s="43">
        <v>35340</v>
      </c>
      <c r="F86" s="80" t="s">
        <v>75</v>
      </c>
      <c r="G86" s="83">
        <v>46053</v>
      </c>
      <c r="H86" s="83">
        <v>46062</v>
      </c>
      <c r="I86" s="4">
        <v>9</v>
      </c>
      <c r="J86" s="80" t="str">
        <f>TEXT(tblPayments[[#This Row],[Arrival]],"mmm")</f>
        <v>Jan</v>
      </c>
      <c r="K86" s="80">
        <f>MONTH(tblPayments[[#This Row],[Arrival]])</f>
        <v>1</v>
      </c>
      <c r="L86" s="80">
        <f>YEAR(tblPayments[[#This Row],[Arrival]])</f>
        <v>2026</v>
      </c>
      <c r="M86" s="80" t="str">
        <f>IF(tblPayments[[#This Row],[Balance]]=0,"Full Payment","Deposit")</f>
        <v>Deposit</v>
      </c>
      <c r="N86" s="43">
        <v>16787.79</v>
      </c>
      <c r="O86" s="83">
        <v>45776</v>
      </c>
      <c r="P86" s="87" t="s">
        <v>24</v>
      </c>
    </row>
    <row r="87" spans="1:16" x14ac:dyDescent="0.3">
      <c r="A87" s="77" t="s">
        <v>101</v>
      </c>
      <c r="B87" s="80" t="s">
        <v>77</v>
      </c>
      <c r="C87" s="43">
        <v>78903.44</v>
      </c>
      <c r="D87" s="43"/>
      <c r="E87" s="43">
        <v>78903.44</v>
      </c>
      <c r="F87" s="80" t="s">
        <v>75</v>
      </c>
      <c r="G87" s="83">
        <v>46053</v>
      </c>
      <c r="H87" s="83">
        <v>46067</v>
      </c>
      <c r="I87" s="4">
        <v>14</v>
      </c>
      <c r="J87" s="80" t="str">
        <f>TEXT(tblPayments[[#This Row],[Arrival]],"mmm")</f>
        <v>Jan</v>
      </c>
      <c r="K87" s="80">
        <f>MONTH(tblPayments[[#This Row],[Arrival]])</f>
        <v>1</v>
      </c>
      <c r="L87" s="80">
        <f>YEAR(tblPayments[[#This Row],[Arrival]])</f>
        <v>2026</v>
      </c>
      <c r="M87" s="80" t="str">
        <f>IF(tblPayments[[#This Row],[Balance]]=0,"Full Payment","Deposit")</f>
        <v>Deposit</v>
      </c>
      <c r="N87" s="43">
        <v>54363.82</v>
      </c>
      <c r="O87" s="83">
        <v>45735</v>
      </c>
      <c r="P87" s="87" t="s">
        <v>24</v>
      </c>
    </row>
    <row r="88" spans="1:16" x14ac:dyDescent="0.3">
      <c r="A88" s="77" t="s">
        <v>101</v>
      </c>
      <c r="B88" s="80" t="s">
        <v>77</v>
      </c>
      <c r="C88" s="43">
        <v>33144</v>
      </c>
      <c r="D88" s="43">
        <v>17903.79</v>
      </c>
      <c r="E88" s="43">
        <v>15240.21</v>
      </c>
      <c r="F88" s="80" t="s">
        <v>72</v>
      </c>
      <c r="G88" s="83">
        <v>46053</v>
      </c>
      <c r="H88" s="83">
        <v>46059</v>
      </c>
      <c r="I88" s="4">
        <v>6</v>
      </c>
      <c r="J88" s="80" t="str">
        <f>TEXT(tblPayments[[#This Row],[Arrival]],"mmm")</f>
        <v>Jan</v>
      </c>
      <c r="K88" s="80">
        <f>MONTH(tblPayments[[#This Row],[Arrival]])</f>
        <v>1</v>
      </c>
      <c r="L88" s="80">
        <f>YEAR(tblPayments[[#This Row],[Arrival]])</f>
        <v>2026</v>
      </c>
      <c r="M88" s="80" t="str">
        <f>IF(tblPayments[[#This Row],[Balance]]=0,"Full Payment","Deposit")</f>
        <v>Deposit</v>
      </c>
      <c r="N88" s="43">
        <v>19169.759999999998</v>
      </c>
      <c r="O88" s="83">
        <v>45723</v>
      </c>
      <c r="P88" s="87" t="s">
        <v>12</v>
      </c>
    </row>
    <row r="89" spans="1:16" x14ac:dyDescent="0.3">
      <c r="A89" s="77" t="s">
        <v>101</v>
      </c>
      <c r="B89" s="80" t="s">
        <v>77</v>
      </c>
      <c r="C89" s="43">
        <v>0</v>
      </c>
      <c r="D89" s="43"/>
      <c r="E89" s="43">
        <v>0</v>
      </c>
      <c r="F89" s="80" t="s">
        <v>73</v>
      </c>
      <c r="G89" s="83">
        <v>46054</v>
      </c>
      <c r="H89" s="83">
        <v>46061</v>
      </c>
      <c r="I89" s="4">
        <v>7</v>
      </c>
      <c r="J89" s="80" t="str">
        <f>TEXT(tblPayments[[#This Row],[Arrival]],"mmm")</f>
        <v>Feb</v>
      </c>
      <c r="K89" s="80">
        <f>MONTH(tblPayments[[#This Row],[Arrival]])</f>
        <v>2</v>
      </c>
      <c r="L89" s="80">
        <f>YEAR(tblPayments[[#This Row],[Arrival]])</f>
        <v>2026</v>
      </c>
      <c r="M89" s="80" t="str">
        <f>IF(tblPayments[[#This Row],[Balance]]=0,"Full Payment","Deposit")</f>
        <v>Full Payment</v>
      </c>
      <c r="N89" s="43">
        <v>0</v>
      </c>
      <c r="O89" s="83">
        <v>45821</v>
      </c>
      <c r="P89" s="87" t="s">
        <v>1</v>
      </c>
    </row>
    <row r="90" spans="1:16" x14ac:dyDescent="0.3">
      <c r="A90" s="77" t="s">
        <v>101</v>
      </c>
      <c r="B90" s="80" t="s">
        <v>77</v>
      </c>
      <c r="C90" s="43">
        <v>26072</v>
      </c>
      <c r="D90" s="43">
        <v>6518</v>
      </c>
      <c r="E90" s="43">
        <v>19554</v>
      </c>
      <c r="F90" s="80" t="s">
        <v>72</v>
      </c>
      <c r="G90" s="83">
        <v>46054</v>
      </c>
      <c r="H90" s="83">
        <v>46060</v>
      </c>
      <c r="I90" s="4">
        <v>6</v>
      </c>
      <c r="J90" s="80" t="str">
        <f>TEXT(tblPayments[[#This Row],[Arrival]],"mmm")</f>
        <v>Feb</v>
      </c>
      <c r="K90" s="80">
        <f>MONTH(tblPayments[[#This Row],[Arrival]])</f>
        <v>2</v>
      </c>
      <c r="L90" s="80">
        <f>YEAR(tblPayments[[#This Row],[Arrival]])</f>
        <v>2026</v>
      </c>
      <c r="M90" s="80" t="str">
        <f>IF(tblPayments[[#This Row],[Balance]]=0,"Full Payment","Deposit")</f>
        <v>Deposit</v>
      </c>
      <c r="N90" s="43">
        <v>17206.98</v>
      </c>
      <c r="O90" s="83">
        <v>45984</v>
      </c>
      <c r="P90" s="87" t="s">
        <v>1</v>
      </c>
    </row>
    <row r="91" spans="1:16" x14ac:dyDescent="0.3">
      <c r="A91" s="77" t="s">
        <v>101</v>
      </c>
      <c r="B91" s="80" t="s">
        <v>77</v>
      </c>
      <c r="C91" s="43">
        <v>15118</v>
      </c>
      <c r="D91" s="43"/>
      <c r="E91" s="43">
        <v>15118</v>
      </c>
      <c r="F91" s="80" t="s">
        <v>75</v>
      </c>
      <c r="G91" s="83">
        <v>46054</v>
      </c>
      <c r="H91" s="83">
        <v>46061</v>
      </c>
      <c r="I91" s="4">
        <v>7</v>
      </c>
      <c r="J91" s="80" t="str">
        <f>TEXT(tblPayments[[#This Row],[Arrival]],"mmm")</f>
        <v>Feb</v>
      </c>
      <c r="K91" s="80">
        <f>MONTH(tblPayments[[#This Row],[Arrival]])</f>
        <v>2</v>
      </c>
      <c r="L91" s="80">
        <f>YEAR(tblPayments[[#This Row],[Arrival]])</f>
        <v>2026</v>
      </c>
      <c r="M91" s="80" t="str">
        <f>IF(tblPayments[[#This Row],[Balance]]=0,"Full Payment","Deposit")</f>
        <v>Deposit</v>
      </c>
      <c r="N91" s="43">
        <v>8616.93</v>
      </c>
      <c r="O91" s="83">
        <v>45901</v>
      </c>
      <c r="P91" s="87" t="s">
        <v>2</v>
      </c>
    </row>
    <row r="92" spans="1:16" x14ac:dyDescent="0.3">
      <c r="A92" s="77" t="s">
        <v>101</v>
      </c>
      <c r="B92" s="80" t="s">
        <v>77</v>
      </c>
      <c r="C92" s="43">
        <v>38096</v>
      </c>
      <c r="D92" s="43"/>
      <c r="E92" s="43">
        <v>38096</v>
      </c>
      <c r="F92" s="80" t="s">
        <v>75</v>
      </c>
      <c r="G92" s="83">
        <v>46055</v>
      </c>
      <c r="H92" s="83">
        <v>46064</v>
      </c>
      <c r="I92" s="4">
        <v>9</v>
      </c>
      <c r="J92" s="80" t="str">
        <f>TEXT(tblPayments[[#This Row],[Arrival]],"mmm")</f>
        <v>Feb</v>
      </c>
      <c r="K92" s="80">
        <f>MONTH(tblPayments[[#This Row],[Arrival]])</f>
        <v>2</v>
      </c>
      <c r="L92" s="80">
        <f>YEAR(tblPayments[[#This Row],[Arrival]])</f>
        <v>2026</v>
      </c>
      <c r="M92" s="80" t="str">
        <f>IF(tblPayments[[#This Row],[Balance]]=0,"Full Payment","Deposit")</f>
        <v>Deposit</v>
      </c>
      <c r="N92" s="43">
        <v>26503.47</v>
      </c>
      <c r="O92" s="83">
        <v>45926</v>
      </c>
      <c r="P92" s="87" t="s">
        <v>2</v>
      </c>
    </row>
    <row r="93" spans="1:16" x14ac:dyDescent="0.3">
      <c r="A93" s="77" t="s">
        <v>101</v>
      </c>
      <c r="B93" s="80" t="s">
        <v>77</v>
      </c>
      <c r="C93" s="43">
        <v>73887.5</v>
      </c>
      <c r="D93" s="43">
        <v>73887.5</v>
      </c>
      <c r="E93" s="43"/>
      <c r="F93" s="80" t="s">
        <v>70</v>
      </c>
      <c r="G93" s="83">
        <v>46055</v>
      </c>
      <c r="H93" s="83">
        <v>46058</v>
      </c>
      <c r="I93" s="4">
        <v>3</v>
      </c>
      <c r="J93" s="80" t="str">
        <f>TEXT(tblPayments[[#This Row],[Arrival]],"mmm")</f>
        <v>Feb</v>
      </c>
      <c r="K93" s="80">
        <f>MONTH(tblPayments[[#This Row],[Arrival]])</f>
        <v>2</v>
      </c>
      <c r="L93" s="80">
        <f>YEAR(tblPayments[[#This Row],[Arrival]])</f>
        <v>2026</v>
      </c>
      <c r="M93" s="80" t="str">
        <f>IF(tblPayments[[#This Row],[Balance]]=0,"Full Payment","Deposit")</f>
        <v>Full Payment</v>
      </c>
      <c r="N93" s="43">
        <v>0</v>
      </c>
      <c r="O93" s="83">
        <v>45879</v>
      </c>
      <c r="P93" s="87" t="s">
        <v>2</v>
      </c>
    </row>
    <row r="94" spans="1:16" x14ac:dyDescent="0.3">
      <c r="A94" s="77" t="s">
        <v>101</v>
      </c>
      <c r="B94" s="80" t="s">
        <v>77</v>
      </c>
      <c r="C94" s="43">
        <v>19688.2</v>
      </c>
      <c r="D94" s="43">
        <v>4922.05</v>
      </c>
      <c r="E94" s="43">
        <v>14766.15</v>
      </c>
      <c r="F94" s="80" t="s">
        <v>72</v>
      </c>
      <c r="G94" s="83">
        <v>46055</v>
      </c>
      <c r="H94" s="83">
        <v>46059</v>
      </c>
      <c r="I94" s="4">
        <v>4</v>
      </c>
      <c r="J94" s="80" t="str">
        <f>TEXT(tblPayments[[#This Row],[Arrival]],"mmm")</f>
        <v>Feb</v>
      </c>
      <c r="K94" s="80">
        <f>MONTH(tblPayments[[#This Row],[Arrival]])</f>
        <v>2</v>
      </c>
      <c r="L94" s="80">
        <f>YEAR(tblPayments[[#This Row],[Arrival]])</f>
        <v>2026</v>
      </c>
      <c r="M94" s="80" t="str">
        <f>IF(tblPayments[[#This Row],[Balance]]=0,"Full Payment","Deposit")</f>
        <v>Deposit</v>
      </c>
      <c r="N94" s="43">
        <v>13599.04</v>
      </c>
      <c r="O94" s="83">
        <v>45955</v>
      </c>
      <c r="P94" s="87" t="s">
        <v>2</v>
      </c>
    </row>
    <row r="95" spans="1:16" x14ac:dyDescent="0.3">
      <c r="A95" s="77" t="s">
        <v>101</v>
      </c>
      <c r="B95" s="80" t="s">
        <v>77</v>
      </c>
      <c r="C95" s="43">
        <v>0</v>
      </c>
      <c r="D95" s="43"/>
      <c r="E95" s="43">
        <v>0</v>
      </c>
      <c r="F95" s="80" t="s">
        <v>73</v>
      </c>
      <c r="G95" s="83">
        <v>46055</v>
      </c>
      <c r="H95" s="83">
        <v>46062</v>
      </c>
      <c r="I95" s="4">
        <v>7</v>
      </c>
      <c r="J95" s="80" t="str">
        <f>TEXT(tblPayments[[#This Row],[Arrival]],"mmm")</f>
        <v>Feb</v>
      </c>
      <c r="K95" s="80">
        <f>MONTH(tblPayments[[#This Row],[Arrival]])</f>
        <v>2</v>
      </c>
      <c r="L95" s="80">
        <f>YEAR(tblPayments[[#This Row],[Arrival]])</f>
        <v>2026</v>
      </c>
      <c r="M95" s="80" t="str">
        <f>IF(tblPayments[[#This Row],[Balance]]=0,"Full Payment","Deposit")</f>
        <v>Full Payment</v>
      </c>
      <c r="N95" s="43">
        <v>0</v>
      </c>
      <c r="O95" s="83">
        <v>45987</v>
      </c>
      <c r="P95" s="87" t="s">
        <v>2</v>
      </c>
    </row>
    <row r="96" spans="1:16" x14ac:dyDescent="0.3">
      <c r="A96" s="77" t="s">
        <v>101</v>
      </c>
      <c r="B96" s="80" t="s">
        <v>77</v>
      </c>
      <c r="C96" s="43">
        <v>29644</v>
      </c>
      <c r="D96" s="43"/>
      <c r="E96" s="43">
        <v>29644</v>
      </c>
      <c r="F96" s="80" t="s">
        <v>75</v>
      </c>
      <c r="G96" s="83">
        <v>46056</v>
      </c>
      <c r="H96" s="83">
        <v>46062</v>
      </c>
      <c r="I96" s="4">
        <v>6</v>
      </c>
      <c r="J96" s="80" t="str">
        <f>TEXT(tblPayments[[#This Row],[Arrival]],"mmm")</f>
        <v>Feb</v>
      </c>
      <c r="K96" s="80">
        <f>MONTH(tblPayments[[#This Row],[Arrival]])</f>
        <v>2</v>
      </c>
      <c r="L96" s="80">
        <f>YEAR(tblPayments[[#This Row],[Arrival]])</f>
        <v>2026</v>
      </c>
      <c r="M96" s="80" t="str">
        <f>IF(tblPayments[[#This Row],[Balance]]=0,"Full Payment","Deposit")</f>
        <v>Deposit</v>
      </c>
      <c r="N96" s="43">
        <v>18974.34</v>
      </c>
      <c r="O96" s="83">
        <v>45755</v>
      </c>
      <c r="P96" s="87" t="s">
        <v>2</v>
      </c>
    </row>
    <row r="97" spans="1:16" x14ac:dyDescent="0.3">
      <c r="A97" s="77" t="s">
        <v>101</v>
      </c>
      <c r="B97" s="80" t="s">
        <v>77</v>
      </c>
      <c r="C97" s="43">
        <v>900</v>
      </c>
      <c r="D97" s="43"/>
      <c r="E97" s="43">
        <v>900</v>
      </c>
      <c r="F97" s="80" t="s">
        <v>75</v>
      </c>
      <c r="G97" s="83">
        <v>46057</v>
      </c>
      <c r="H97" s="83">
        <v>46059</v>
      </c>
      <c r="I97" s="4">
        <v>2</v>
      </c>
      <c r="J97" s="80" t="str">
        <f>TEXT(tblPayments[[#This Row],[Arrival]],"mmm")</f>
        <v>Feb</v>
      </c>
      <c r="K97" s="80">
        <f>MONTH(tblPayments[[#This Row],[Arrival]])</f>
        <v>2</v>
      </c>
      <c r="L97" s="80">
        <f>YEAR(tblPayments[[#This Row],[Arrival]])</f>
        <v>2026</v>
      </c>
      <c r="M97" s="80" t="str">
        <f>IF(tblPayments[[#This Row],[Balance]]=0,"Full Payment","Deposit")</f>
        <v>Deposit</v>
      </c>
      <c r="N97" s="43">
        <v>0</v>
      </c>
      <c r="O97" s="83">
        <v>45869</v>
      </c>
      <c r="P97" s="87" t="s">
        <v>1</v>
      </c>
    </row>
    <row r="98" spans="1:16" x14ac:dyDescent="0.3">
      <c r="A98" s="77" t="s">
        <v>101</v>
      </c>
      <c r="B98" s="80" t="s">
        <v>77</v>
      </c>
      <c r="C98" s="43">
        <v>85090</v>
      </c>
      <c r="D98" s="43">
        <v>85090</v>
      </c>
      <c r="E98" s="43"/>
      <c r="F98" s="80" t="s">
        <v>70</v>
      </c>
      <c r="G98" s="83">
        <v>46058</v>
      </c>
      <c r="H98" s="83">
        <v>46073</v>
      </c>
      <c r="I98" s="4">
        <v>15</v>
      </c>
      <c r="J98" s="80" t="str">
        <f>TEXT(tblPayments[[#This Row],[Arrival]],"mmm")</f>
        <v>Feb</v>
      </c>
      <c r="K98" s="80">
        <f>MONTH(tblPayments[[#This Row],[Arrival]])</f>
        <v>2</v>
      </c>
      <c r="L98" s="80">
        <f>YEAR(tblPayments[[#This Row],[Arrival]])</f>
        <v>2026</v>
      </c>
      <c r="M98" s="80" t="str">
        <f>IF(tblPayments[[#This Row],[Balance]]=0,"Full Payment","Deposit")</f>
        <v>Full Payment</v>
      </c>
      <c r="N98" s="43">
        <v>51024.45</v>
      </c>
      <c r="O98" s="83">
        <v>45742</v>
      </c>
      <c r="P98" s="87" t="s">
        <v>33</v>
      </c>
    </row>
    <row r="99" spans="1:16" x14ac:dyDescent="0.3">
      <c r="A99" s="77" t="s">
        <v>101</v>
      </c>
      <c r="B99" s="80" t="s">
        <v>77</v>
      </c>
      <c r="C99" s="43">
        <v>37015</v>
      </c>
      <c r="D99" s="43"/>
      <c r="E99" s="43">
        <v>37015</v>
      </c>
      <c r="F99" s="80" t="s">
        <v>75</v>
      </c>
      <c r="G99" s="83">
        <v>46058</v>
      </c>
      <c r="H99" s="83">
        <v>46068</v>
      </c>
      <c r="I99" s="4">
        <v>10</v>
      </c>
      <c r="J99" s="80" t="str">
        <f>TEXT(tblPayments[[#This Row],[Arrival]],"mmm")</f>
        <v>Feb</v>
      </c>
      <c r="K99" s="80">
        <f>MONTH(tblPayments[[#This Row],[Arrival]])</f>
        <v>2</v>
      </c>
      <c r="L99" s="80">
        <f>YEAR(tblPayments[[#This Row],[Arrival]])</f>
        <v>2026</v>
      </c>
      <c r="M99" s="80" t="str">
        <f>IF(tblPayments[[#This Row],[Balance]]=0,"Full Payment","Deposit")</f>
        <v>Deposit</v>
      </c>
      <c r="N99" s="43">
        <v>13255.6</v>
      </c>
      <c r="O99" s="83">
        <v>45840</v>
      </c>
      <c r="P99" s="87" t="s">
        <v>24</v>
      </c>
    </row>
    <row r="100" spans="1:16" x14ac:dyDescent="0.3">
      <c r="A100" s="77" t="s">
        <v>101</v>
      </c>
      <c r="B100" s="80" t="s">
        <v>77</v>
      </c>
      <c r="C100" s="43">
        <v>1680</v>
      </c>
      <c r="D100" s="43"/>
      <c r="E100" s="43">
        <v>1680</v>
      </c>
      <c r="F100" s="80" t="s">
        <v>75</v>
      </c>
      <c r="G100" s="83">
        <v>46058</v>
      </c>
      <c r="H100" s="83">
        <v>46082</v>
      </c>
      <c r="I100" s="4">
        <v>24</v>
      </c>
      <c r="J100" s="80" t="str">
        <f>TEXT(tblPayments[[#This Row],[Arrival]],"mmm")</f>
        <v>Feb</v>
      </c>
      <c r="K100" s="80">
        <f>MONTH(tblPayments[[#This Row],[Arrival]])</f>
        <v>2</v>
      </c>
      <c r="L100" s="80">
        <f>YEAR(tblPayments[[#This Row],[Arrival]])</f>
        <v>2026</v>
      </c>
      <c r="M100" s="80" t="str">
        <f>IF(tblPayments[[#This Row],[Balance]]=0,"Full Payment","Deposit")</f>
        <v>Deposit</v>
      </c>
      <c r="N100" s="43">
        <v>0</v>
      </c>
      <c r="O100" s="83">
        <v>45804</v>
      </c>
      <c r="P100" s="87" t="s">
        <v>13</v>
      </c>
    </row>
    <row r="101" spans="1:16" x14ac:dyDescent="0.3">
      <c r="A101" s="77" t="s">
        <v>101</v>
      </c>
      <c r="B101" s="80" t="s">
        <v>77</v>
      </c>
      <c r="C101" s="43">
        <v>15607.49</v>
      </c>
      <c r="D101" s="43"/>
      <c r="E101" s="43">
        <v>15607.49</v>
      </c>
      <c r="F101" s="80" t="s">
        <v>75</v>
      </c>
      <c r="G101" s="83">
        <v>46058</v>
      </c>
      <c r="H101" s="83">
        <v>46059</v>
      </c>
      <c r="I101" s="4">
        <v>1</v>
      </c>
      <c r="J101" s="80" t="str">
        <f>TEXT(tblPayments[[#This Row],[Arrival]],"mmm")</f>
        <v>Feb</v>
      </c>
      <c r="K101" s="80">
        <f>MONTH(tblPayments[[#This Row],[Arrival]])</f>
        <v>2</v>
      </c>
      <c r="L101" s="80">
        <f>YEAR(tblPayments[[#This Row],[Arrival]])</f>
        <v>2026</v>
      </c>
      <c r="M101" s="80" t="str">
        <f>IF(tblPayments[[#This Row],[Balance]]=0,"Full Payment","Deposit")</f>
        <v>Deposit</v>
      </c>
      <c r="N101" s="43">
        <v>7217.64</v>
      </c>
      <c r="O101" s="83">
        <v>45946</v>
      </c>
      <c r="P101" s="87" t="s">
        <v>2</v>
      </c>
    </row>
    <row r="102" spans="1:16" x14ac:dyDescent="0.3">
      <c r="A102" s="77" t="s">
        <v>101</v>
      </c>
      <c r="B102" s="80" t="s">
        <v>77</v>
      </c>
      <c r="C102" s="43">
        <v>39663</v>
      </c>
      <c r="D102" s="43"/>
      <c r="E102" s="43">
        <v>39663</v>
      </c>
      <c r="F102" s="80" t="s">
        <v>75</v>
      </c>
      <c r="G102" s="83">
        <v>46058</v>
      </c>
      <c r="H102" s="83">
        <v>46071</v>
      </c>
      <c r="I102" s="4">
        <v>13</v>
      </c>
      <c r="J102" s="80" t="str">
        <f>TEXT(tblPayments[[#This Row],[Arrival]],"mmm")</f>
        <v>Feb</v>
      </c>
      <c r="K102" s="80">
        <f>MONTH(tblPayments[[#This Row],[Arrival]])</f>
        <v>2</v>
      </c>
      <c r="L102" s="80">
        <f>YEAR(tblPayments[[#This Row],[Arrival]])</f>
        <v>2026</v>
      </c>
      <c r="M102" s="80" t="str">
        <f>IF(tblPayments[[#This Row],[Balance]]=0,"Full Payment","Deposit")</f>
        <v>Deposit</v>
      </c>
      <c r="N102" s="43">
        <v>16444.48</v>
      </c>
      <c r="O102" s="83">
        <v>45809</v>
      </c>
      <c r="P102" s="87" t="s">
        <v>24</v>
      </c>
    </row>
    <row r="103" spans="1:16" x14ac:dyDescent="0.3">
      <c r="A103" s="77" t="s">
        <v>101</v>
      </c>
      <c r="B103" s="80" t="s">
        <v>77</v>
      </c>
      <c r="C103" s="43">
        <v>41814</v>
      </c>
      <c r="D103" s="43"/>
      <c r="E103" s="43">
        <v>41814</v>
      </c>
      <c r="F103" s="80" t="s">
        <v>75</v>
      </c>
      <c r="G103" s="83">
        <v>46059</v>
      </c>
      <c r="H103" s="83">
        <v>46073</v>
      </c>
      <c r="I103" s="4">
        <v>14</v>
      </c>
      <c r="J103" s="80" t="str">
        <f>TEXT(tblPayments[[#This Row],[Arrival]],"mmm")</f>
        <v>Feb</v>
      </c>
      <c r="K103" s="80">
        <f>MONTH(tblPayments[[#This Row],[Arrival]])</f>
        <v>2</v>
      </c>
      <c r="L103" s="80">
        <f>YEAR(tblPayments[[#This Row],[Arrival]])</f>
        <v>2026</v>
      </c>
      <c r="M103" s="80" t="str">
        <f>IF(tblPayments[[#This Row],[Balance]]=0,"Full Payment","Deposit")</f>
        <v>Deposit</v>
      </c>
      <c r="N103" s="43">
        <v>23355.08</v>
      </c>
      <c r="O103" s="83">
        <v>45940</v>
      </c>
      <c r="P103" s="87" t="s">
        <v>2</v>
      </c>
    </row>
    <row r="104" spans="1:16" x14ac:dyDescent="0.3">
      <c r="A104" s="77" t="s">
        <v>101</v>
      </c>
      <c r="B104" s="80" t="s">
        <v>77</v>
      </c>
      <c r="C104" s="43">
        <v>29272.47</v>
      </c>
      <c r="D104" s="43"/>
      <c r="E104" s="43">
        <v>29272.47</v>
      </c>
      <c r="F104" s="80" t="s">
        <v>75</v>
      </c>
      <c r="G104" s="83">
        <v>46059</v>
      </c>
      <c r="H104" s="83">
        <v>46062</v>
      </c>
      <c r="I104" s="4">
        <v>3</v>
      </c>
      <c r="J104" s="80" t="str">
        <f>TEXT(tblPayments[[#This Row],[Arrival]],"mmm")</f>
        <v>Feb</v>
      </c>
      <c r="K104" s="80">
        <f>MONTH(tblPayments[[#This Row],[Arrival]])</f>
        <v>2</v>
      </c>
      <c r="L104" s="80">
        <f>YEAR(tblPayments[[#This Row],[Arrival]])</f>
        <v>2026</v>
      </c>
      <c r="M104" s="80" t="str">
        <f>IF(tblPayments[[#This Row],[Balance]]=0,"Full Payment","Deposit")</f>
        <v>Deposit</v>
      </c>
      <c r="N104" s="43">
        <v>21652.92</v>
      </c>
      <c r="O104" s="83">
        <v>45946</v>
      </c>
      <c r="P104" s="87" t="s">
        <v>2</v>
      </c>
    </row>
    <row r="105" spans="1:16" x14ac:dyDescent="0.3">
      <c r="A105" s="77" t="s">
        <v>101</v>
      </c>
      <c r="B105" s="80" t="s">
        <v>77</v>
      </c>
      <c r="C105" s="43">
        <v>39228</v>
      </c>
      <c r="D105" s="43"/>
      <c r="E105" s="43">
        <v>39228</v>
      </c>
      <c r="F105" s="80" t="s">
        <v>75</v>
      </c>
      <c r="G105" s="83">
        <v>46059</v>
      </c>
      <c r="H105" s="83">
        <v>46067</v>
      </c>
      <c r="I105" s="4">
        <v>8</v>
      </c>
      <c r="J105" s="80" t="str">
        <f>TEXT(tblPayments[[#This Row],[Arrival]],"mmm")</f>
        <v>Feb</v>
      </c>
      <c r="K105" s="80">
        <f>MONTH(tblPayments[[#This Row],[Arrival]])</f>
        <v>2</v>
      </c>
      <c r="L105" s="80">
        <f>YEAR(tblPayments[[#This Row],[Arrival]])</f>
        <v>2026</v>
      </c>
      <c r="M105" s="80" t="str">
        <f>IF(tblPayments[[#This Row],[Balance]]=0,"Full Payment","Deposit")</f>
        <v>Deposit</v>
      </c>
      <c r="N105" s="43">
        <v>28080.799999999999</v>
      </c>
      <c r="O105" s="83">
        <v>45998</v>
      </c>
      <c r="P105" s="87" t="s">
        <v>34</v>
      </c>
    </row>
    <row r="106" spans="1:16" x14ac:dyDescent="0.3">
      <c r="A106" s="77" t="s">
        <v>101</v>
      </c>
      <c r="B106" s="80" t="s">
        <v>77</v>
      </c>
      <c r="C106" s="43">
        <v>40978</v>
      </c>
      <c r="D106" s="43"/>
      <c r="E106" s="43">
        <v>40978</v>
      </c>
      <c r="F106" s="80" t="s">
        <v>75</v>
      </c>
      <c r="G106" s="83">
        <v>46059</v>
      </c>
      <c r="H106" s="83">
        <v>46067</v>
      </c>
      <c r="I106" s="4">
        <v>8</v>
      </c>
      <c r="J106" s="80" t="str">
        <f>TEXT(tblPayments[[#This Row],[Arrival]],"mmm")</f>
        <v>Feb</v>
      </c>
      <c r="K106" s="80">
        <f>MONTH(tblPayments[[#This Row],[Arrival]])</f>
        <v>2</v>
      </c>
      <c r="L106" s="80">
        <f>YEAR(tblPayments[[#This Row],[Arrival]])</f>
        <v>2026</v>
      </c>
      <c r="M106" s="80" t="str">
        <f>IF(tblPayments[[#This Row],[Balance]]=0,"Full Payment","Deposit")</f>
        <v>Deposit</v>
      </c>
      <c r="N106" s="43"/>
      <c r="O106" s="83"/>
      <c r="P106" s="87"/>
    </row>
    <row r="107" spans="1:16" x14ac:dyDescent="0.3">
      <c r="A107" s="77" t="s">
        <v>101</v>
      </c>
      <c r="B107" s="80" t="s">
        <v>77</v>
      </c>
      <c r="C107" s="43">
        <v>30290</v>
      </c>
      <c r="D107" s="43">
        <v>32150</v>
      </c>
      <c r="E107" s="43"/>
      <c r="F107" s="80" t="s">
        <v>70</v>
      </c>
      <c r="G107" s="83">
        <v>46060</v>
      </c>
      <c r="H107" s="83">
        <v>46067</v>
      </c>
      <c r="I107" s="4">
        <v>7</v>
      </c>
      <c r="J107" s="80" t="str">
        <f>TEXT(tblPayments[[#This Row],[Arrival]],"mmm")</f>
        <v>Feb</v>
      </c>
      <c r="K107" s="80">
        <f>MONTH(tblPayments[[#This Row],[Arrival]])</f>
        <v>2</v>
      </c>
      <c r="L107" s="80">
        <f>YEAR(tblPayments[[#This Row],[Arrival]])</f>
        <v>2026</v>
      </c>
      <c r="M107" s="80" t="str">
        <f>IF(tblPayments[[#This Row],[Balance]]=0,"Full Payment","Deposit")</f>
        <v>Full Payment</v>
      </c>
      <c r="N107" s="43">
        <v>12681.83</v>
      </c>
      <c r="O107" s="83">
        <v>45587</v>
      </c>
      <c r="P107" s="87" t="s">
        <v>24</v>
      </c>
    </row>
    <row r="108" spans="1:16" x14ac:dyDescent="0.3">
      <c r="A108" s="77" t="s">
        <v>101</v>
      </c>
      <c r="B108" s="80" t="s">
        <v>77</v>
      </c>
      <c r="C108" s="43">
        <v>6025</v>
      </c>
      <c r="D108" s="43"/>
      <c r="E108" s="43">
        <v>6025</v>
      </c>
      <c r="F108" s="80" t="s">
        <v>75</v>
      </c>
      <c r="G108" s="83">
        <v>46060</v>
      </c>
      <c r="H108" s="83">
        <v>46067</v>
      </c>
      <c r="I108" s="4">
        <v>7</v>
      </c>
      <c r="J108" s="80" t="str">
        <f>TEXT(tblPayments[[#This Row],[Arrival]],"mmm")</f>
        <v>Feb</v>
      </c>
      <c r="K108" s="80">
        <f>MONTH(tblPayments[[#This Row],[Arrival]])</f>
        <v>2</v>
      </c>
      <c r="L108" s="80">
        <f>YEAR(tblPayments[[#This Row],[Arrival]])</f>
        <v>2026</v>
      </c>
      <c r="M108" s="80" t="str">
        <f>IF(tblPayments[[#This Row],[Balance]]=0,"Full Payment","Deposit")</f>
        <v>Deposit</v>
      </c>
      <c r="N108" s="43">
        <v>-574.25</v>
      </c>
      <c r="O108" s="83">
        <v>45847</v>
      </c>
      <c r="P108" s="87" t="s">
        <v>2</v>
      </c>
    </row>
    <row r="109" spans="1:16" x14ac:dyDescent="0.3">
      <c r="A109" s="77" t="s">
        <v>101</v>
      </c>
      <c r="B109" s="80" t="s">
        <v>77</v>
      </c>
      <c r="C109" s="43">
        <v>18627.5</v>
      </c>
      <c r="D109" s="43">
        <v>7851.25</v>
      </c>
      <c r="E109" s="43">
        <v>10776.25</v>
      </c>
      <c r="F109" s="80" t="s">
        <v>72</v>
      </c>
      <c r="G109" s="83">
        <v>46060</v>
      </c>
      <c r="H109" s="83">
        <v>46062</v>
      </c>
      <c r="I109" s="4">
        <v>2</v>
      </c>
      <c r="J109" s="80" t="str">
        <f>TEXT(tblPayments[[#This Row],[Arrival]],"mmm")</f>
        <v>Feb</v>
      </c>
      <c r="K109" s="80">
        <f>MONTH(tblPayments[[#This Row],[Arrival]])</f>
        <v>2</v>
      </c>
      <c r="L109" s="80">
        <f>YEAR(tblPayments[[#This Row],[Arrival]])</f>
        <v>2026</v>
      </c>
      <c r="M109" s="80" t="str">
        <f>IF(tblPayments[[#This Row],[Balance]]=0,"Full Payment","Deposit")</f>
        <v>Deposit</v>
      </c>
      <c r="N109" s="43">
        <v>7826.34</v>
      </c>
      <c r="O109" s="83">
        <v>45943</v>
      </c>
      <c r="P109" s="87" t="s">
        <v>31</v>
      </c>
    </row>
    <row r="110" spans="1:16" x14ac:dyDescent="0.3">
      <c r="A110" s="77" t="s">
        <v>101</v>
      </c>
      <c r="B110" s="80" t="s">
        <v>77</v>
      </c>
      <c r="C110" s="43">
        <v>14768</v>
      </c>
      <c r="D110" s="43"/>
      <c r="E110" s="43">
        <v>14768</v>
      </c>
      <c r="F110" s="80" t="s">
        <v>75</v>
      </c>
      <c r="G110" s="83">
        <v>46060</v>
      </c>
      <c r="H110" s="83">
        <v>46067</v>
      </c>
      <c r="I110" s="4">
        <v>7</v>
      </c>
      <c r="J110" s="80" t="str">
        <f>TEXT(tblPayments[[#This Row],[Arrival]],"mmm")</f>
        <v>Feb</v>
      </c>
      <c r="K110" s="80">
        <f>MONTH(tblPayments[[#This Row],[Arrival]])</f>
        <v>2</v>
      </c>
      <c r="L110" s="80">
        <f>YEAR(tblPayments[[#This Row],[Arrival]])</f>
        <v>2026</v>
      </c>
      <c r="M110" s="80" t="str">
        <f>IF(tblPayments[[#This Row],[Balance]]=0,"Full Payment","Deposit")</f>
        <v>Deposit</v>
      </c>
      <c r="N110" s="43">
        <v>5897.43</v>
      </c>
      <c r="O110" s="83">
        <v>45870</v>
      </c>
      <c r="P110" s="87" t="s">
        <v>2</v>
      </c>
    </row>
    <row r="111" spans="1:16" x14ac:dyDescent="0.3">
      <c r="A111" s="77" t="s">
        <v>101</v>
      </c>
      <c r="B111" s="80" t="s">
        <v>77</v>
      </c>
      <c r="C111" s="43">
        <v>23674.65</v>
      </c>
      <c r="D111" s="43"/>
      <c r="E111" s="43">
        <v>23674.65</v>
      </c>
      <c r="F111" s="80" t="s">
        <v>75</v>
      </c>
      <c r="G111" s="83">
        <v>46060</v>
      </c>
      <c r="H111" s="83">
        <v>46067</v>
      </c>
      <c r="I111" s="4">
        <v>7</v>
      </c>
      <c r="J111" s="80" t="str">
        <f>TEXT(tblPayments[[#This Row],[Arrival]],"mmm")</f>
        <v>Feb</v>
      </c>
      <c r="K111" s="80">
        <f>MONTH(tblPayments[[#This Row],[Arrival]])</f>
        <v>2</v>
      </c>
      <c r="L111" s="80">
        <f>YEAR(tblPayments[[#This Row],[Arrival]])</f>
        <v>2026</v>
      </c>
      <c r="M111" s="80" t="str">
        <f>IF(tblPayments[[#This Row],[Balance]]=0,"Full Payment","Deposit")</f>
        <v>Deposit</v>
      </c>
      <c r="N111" s="43">
        <v>4657.1000000000004</v>
      </c>
      <c r="O111" s="83">
        <v>45820</v>
      </c>
      <c r="P111" s="87" t="s">
        <v>24</v>
      </c>
    </row>
    <row r="112" spans="1:16" x14ac:dyDescent="0.3">
      <c r="A112" s="77" t="s">
        <v>101</v>
      </c>
      <c r="B112" s="80" t="s">
        <v>77</v>
      </c>
      <c r="C112" s="43">
        <v>11899.65</v>
      </c>
      <c r="D112" s="43"/>
      <c r="E112" s="43">
        <v>11899.65</v>
      </c>
      <c r="F112" s="80" t="s">
        <v>75</v>
      </c>
      <c r="G112" s="83">
        <v>46060</v>
      </c>
      <c r="H112" s="83">
        <v>46067</v>
      </c>
      <c r="I112" s="4">
        <v>7</v>
      </c>
      <c r="J112" s="80" t="str">
        <f>TEXT(tblPayments[[#This Row],[Arrival]],"mmm")</f>
        <v>Feb</v>
      </c>
      <c r="K112" s="80">
        <f>MONTH(tblPayments[[#This Row],[Arrival]])</f>
        <v>2</v>
      </c>
      <c r="L112" s="80">
        <f>YEAR(tblPayments[[#This Row],[Arrival]])</f>
        <v>2026</v>
      </c>
      <c r="M112" s="80" t="str">
        <f>IF(tblPayments[[#This Row],[Balance]]=0,"Full Payment","Deposit")</f>
        <v>Deposit</v>
      </c>
      <c r="N112" s="43">
        <v>6979.54</v>
      </c>
      <c r="O112" s="83">
        <v>45820</v>
      </c>
      <c r="P112" s="87" t="s">
        <v>24</v>
      </c>
    </row>
    <row r="113" spans="1:16" x14ac:dyDescent="0.3">
      <c r="A113" s="77" t="s">
        <v>101</v>
      </c>
      <c r="B113" s="80" t="s">
        <v>77</v>
      </c>
      <c r="C113" s="43">
        <v>25650</v>
      </c>
      <c r="D113" s="43"/>
      <c r="E113" s="43">
        <v>25650</v>
      </c>
      <c r="F113" s="80" t="s">
        <v>75</v>
      </c>
      <c r="G113" s="83">
        <v>46061</v>
      </c>
      <c r="H113" s="83">
        <v>46068</v>
      </c>
      <c r="I113" s="4">
        <v>7</v>
      </c>
      <c r="J113" s="80" t="str">
        <f>TEXT(tblPayments[[#This Row],[Arrival]],"mmm")</f>
        <v>Feb</v>
      </c>
      <c r="K113" s="80">
        <f>MONTH(tblPayments[[#This Row],[Arrival]])</f>
        <v>2</v>
      </c>
      <c r="L113" s="80">
        <f>YEAR(tblPayments[[#This Row],[Arrival]])</f>
        <v>2026</v>
      </c>
      <c r="M113" s="80" t="str">
        <f>IF(tblPayments[[#This Row],[Balance]]=0,"Full Payment","Deposit")</f>
        <v>Deposit</v>
      </c>
      <c r="N113" s="43">
        <v>13195.77</v>
      </c>
      <c r="O113" s="83">
        <v>45675</v>
      </c>
      <c r="P113" s="87" t="s">
        <v>12</v>
      </c>
    </row>
    <row r="114" spans="1:16" x14ac:dyDescent="0.3">
      <c r="A114" s="77" t="s">
        <v>101</v>
      </c>
      <c r="B114" s="80" t="s">
        <v>77</v>
      </c>
      <c r="C114" s="43">
        <v>1410</v>
      </c>
      <c r="D114" s="43">
        <v>1410</v>
      </c>
      <c r="E114" s="43"/>
      <c r="F114" s="80" t="s">
        <v>70</v>
      </c>
      <c r="G114" s="83">
        <v>46061</v>
      </c>
      <c r="H114" s="83">
        <v>46068</v>
      </c>
      <c r="I114" s="4">
        <v>7</v>
      </c>
      <c r="J114" s="80" t="str">
        <f>TEXT(tblPayments[[#This Row],[Arrival]],"mmm")</f>
        <v>Feb</v>
      </c>
      <c r="K114" s="80">
        <f>MONTH(tblPayments[[#This Row],[Arrival]])</f>
        <v>2</v>
      </c>
      <c r="L114" s="80">
        <f>YEAR(tblPayments[[#This Row],[Arrival]])</f>
        <v>2026</v>
      </c>
      <c r="M114" s="80" t="str">
        <f>IF(tblPayments[[#This Row],[Balance]]=0,"Full Payment","Deposit")</f>
        <v>Full Payment</v>
      </c>
      <c r="N114" s="43">
        <v>0</v>
      </c>
      <c r="O114" s="83">
        <v>45834</v>
      </c>
      <c r="P114" s="87" t="s">
        <v>2</v>
      </c>
    </row>
    <row r="115" spans="1:16" x14ac:dyDescent="0.3">
      <c r="A115" s="77" t="s">
        <v>101</v>
      </c>
      <c r="B115" s="80" t="s">
        <v>77</v>
      </c>
      <c r="C115" s="43">
        <v>71114.759999999995</v>
      </c>
      <c r="D115" s="43"/>
      <c r="E115" s="43">
        <v>71114.759999999995</v>
      </c>
      <c r="F115" s="80" t="s">
        <v>75</v>
      </c>
      <c r="G115" s="83">
        <v>46061</v>
      </c>
      <c r="H115" s="83">
        <v>46068</v>
      </c>
      <c r="I115" s="4">
        <v>7</v>
      </c>
      <c r="J115" s="80" t="str">
        <f>TEXT(tblPayments[[#This Row],[Arrival]],"mmm")</f>
        <v>Feb</v>
      </c>
      <c r="K115" s="80">
        <f>MONTH(tblPayments[[#This Row],[Arrival]])</f>
        <v>2</v>
      </c>
      <c r="L115" s="80">
        <f>YEAR(tblPayments[[#This Row],[Arrival]])</f>
        <v>2026</v>
      </c>
      <c r="M115" s="80" t="str">
        <f>IF(tblPayments[[#This Row],[Balance]]=0,"Full Payment","Deposit")</f>
        <v>Deposit</v>
      </c>
      <c r="N115" s="43">
        <v>39175.64</v>
      </c>
      <c r="O115" s="83">
        <v>45761</v>
      </c>
      <c r="P115" s="87" t="s">
        <v>18</v>
      </c>
    </row>
    <row r="116" spans="1:16" x14ac:dyDescent="0.3">
      <c r="A116" s="77" t="s">
        <v>101</v>
      </c>
      <c r="B116" s="80" t="s">
        <v>77</v>
      </c>
      <c r="C116" s="43"/>
      <c r="D116" s="43"/>
      <c r="E116" s="43"/>
      <c r="F116" s="80" t="s">
        <v>73</v>
      </c>
      <c r="G116" s="83">
        <v>46061</v>
      </c>
      <c r="H116" s="83">
        <v>46064</v>
      </c>
      <c r="I116" s="4">
        <v>3</v>
      </c>
      <c r="J116" s="80" t="str">
        <f>TEXT(tblPayments[[#This Row],[Arrival]],"mmm")</f>
        <v>Feb</v>
      </c>
      <c r="K116" s="80">
        <f>MONTH(tblPayments[[#This Row],[Arrival]])</f>
        <v>2</v>
      </c>
      <c r="L116" s="80">
        <f>YEAR(tblPayments[[#This Row],[Arrival]])</f>
        <v>2026</v>
      </c>
      <c r="M116" s="80" t="str">
        <f>IF(tblPayments[[#This Row],[Balance]]=0,"Full Payment","Deposit")</f>
        <v>Full Payment</v>
      </c>
      <c r="N116" s="43">
        <v>0</v>
      </c>
      <c r="O116" s="83">
        <v>45766</v>
      </c>
      <c r="P116" s="87" t="s">
        <v>26</v>
      </c>
    </row>
    <row r="117" spans="1:16" x14ac:dyDescent="0.3">
      <c r="A117" s="77" t="s">
        <v>101</v>
      </c>
      <c r="B117" s="80" t="s">
        <v>77</v>
      </c>
      <c r="C117" s="43">
        <v>37002</v>
      </c>
      <c r="D117" s="43"/>
      <c r="E117" s="43">
        <v>37002</v>
      </c>
      <c r="F117" s="80" t="s">
        <v>75</v>
      </c>
      <c r="G117" s="83">
        <v>46061</v>
      </c>
      <c r="H117" s="83">
        <v>46068</v>
      </c>
      <c r="I117" s="4">
        <v>7</v>
      </c>
      <c r="J117" s="80" t="str">
        <f>TEXT(tblPayments[[#This Row],[Arrival]],"mmm")</f>
        <v>Feb</v>
      </c>
      <c r="K117" s="80">
        <f>MONTH(tblPayments[[#This Row],[Arrival]])</f>
        <v>2</v>
      </c>
      <c r="L117" s="80">
        <f>YEAR(tblPayments[[#This Row],[Arrival]])</f>
        <v>2026</v>
      </c>
      <c r="M117" s="80" t="str">
        <f>IF(tblPayments[[#This Row],[Balance]]=0,"Full Payment","Deposit")</f>
        <v>Deposit</v>
      </c>
      <c r="N117" s="43">
        <v>16169.01</v>
      </c>
      <c r="O117" s="83">
        <v>45916</v>
      </c>
      <c r="P117" s="87" t="s">
        <v>24</v>
      </c>
    </row>
    <row r="118" spans="1:16" x14ac:dyDescent="0.3">
      <c r="A118" s="77" t="s">
        <v>101</v>
      </c>
      <c r="B118" s="80" t="s">
        <v>77</v>
      </c>
      <c r="C118" s="43">
        <v>23522</v>
      </c>
      <c r="D118" s="43">
        <v>5880.5</v>
      </c>
      <c r="E118" s="43">
        <v>17641.5</v>
      </c>
      <c r="F118" s="80" t="s">
        <v>72</v>
      </c>
      <c r="G118" s="83">
        <v>46061</v>
      </c>
      <c r="H118" s="83">
        <v>46065</v>
      </c>
      <c r="I118" s="4">
        <v>4</v>
      </c>
      <c r="J118" s="80" t="str">
        <f>TEXT(tblPayments[[#This Row],[Arrival]],"mmm")</f>
        <v>Feb</v>
      </c>
      <c r="K118" s="80">
        <f>MONTH(tblPayments[[#This Row],[Arrival]])</f>
        <v>2</v>
      </c>
      <c r="L118" s="80">
        <f>YEAR(tblPayments[[#This Row],[Arrival]])</f>
        <v>2026</v>
      </c>
      <c r="M118" s="80" t="str">
        <f>IF(tblPayments[[#This Row],[Balance]]=0,"Full Payment","Deposit")</f>
        <v>Deposit</v>
      </c>
      <c r="N118" s="43">
        <v>14320.11</v>
      </c>
      <c r="O118" s="83">
        <v>45967</v>
      </c>
      <c r="P118" s="87" t="s">
        <v>31</v>
      </c>
    </row>
    <row r="119" spans="1:16" x14ac:dyDescent="0.3">
      <c r="A119" s="77" t="s">
        <v>101</v>
      </c>
      <c r="B119" s="80" t="s">
        <v>77</v>
      </c>
      <c r="C119" s="43">
        <v>12777.5</v>
      </c>
      <c r="D119" s="43"/>
      <c r="E119" s="43">
        <v>12777.5</v>
      </c>
      <c r="F119" s="80" t="s">
        <v>75</v>
      </c>
      <c r="G119" s="83">
        <v>46062</v>
      </c>
      <c r="H119" s="83">
        <v>46064</v>
      </c>
      <c r="I119" s="4">
        <v>2</v>
      </c>
      <c r="J119" s="80" t="str">
        <f>TEXT(tblPayments[[#This Row],[Arrival]],"mmm")</f>
        <v>Feb</v>
      </c>
      <c r="K119" s="80">
        <f>MONTH(tblPayments[[#This Row],[Arrival]])</f>
        <v>2</v>
      </c>
      <c r="L119" s="80">
        <f>YEAR(tblPayments[[#This Row],[Arrival]])</f>
        <v>2026</v>
      </c>
      <c r="M119" s="80" t="str">
        <f>IF(tblPayments[[#This Row],[Balance]]=0,"Full Payment","Deposit")</f>
        <v>Deposit</v>
      </c>
      <c r="N119" s="43">
        <v>7826.34</v>
      </c>
      <c r="O119" s="83">
        <v>45943</v>
      </c>
      <c r="P119" s="87" t="s">
        <v>31</v>
      </c>
    </row>
    <row r="120" spans="1:16" x14ac:dyDescent="0.3">
      <c r="A120" s="77" t="s">
        <v>101</v>
      </c>
      <c r="B120" s="80" t="s">
        <v>77</v>
      </c>
      <c r="C120" s="43">
        <v>25200</v>
      </c>
      <c r="D120" s="43"/>
      <c r="E120" s="43">
        <v>25200</v>
      </c>
      <c r="F120" s="80" t="s">
        <v>75</v>
      </c>
      <c r="G120" s="83">
        <v>46062</v>
      </c>
      <c r="H120" s="83">
        <v>46072</v>
      </c>
      <c r="I120" s="4">
        <v>10</v>
      </c>
      <c r="J120" s="80" t="str">
        <f>TEXT(tblPayments[[#This Row],[Arrival]],"mmm")</f>
        <v>Feb</v>
      </c>
      <c r="K120" s="80">
        <f>MONTH(tblPayments[[#This Row],[Arrival]])</f>
        <v>2</v>
      </c>
      <c r="L120" s="80">
        <f>YEAR(tblPayments[[#This Row],[Arrival]])</f>
        <v>2026</v>
      </c>
      <c r="M120" s="80" t="str">
        <f>IF(tblPayments[[#This Row],[Balance]]=0,"Full Payment","Deposit")</f>
        <v>Deposit</v>
      </c>
      <c r="N120" s="43">
        <v>10536.1</v>
      </c>
      <c r="O120" s="83">
        <v>45975</v>
      </c>
      <c r="P120" s="87" t="s">
        <v>24</v>
      </c>
    </row>
    <row r="121" spans="1:16" x14ac:dyDescent="0.3">
      <c r="A121" s="77" t="s">
        <v>101</v>
      </c>
      <c r="B121" s="80" t="s">
        <v>77</v>
      </c>
      <c r="C121" s="43">
        <v>37000</v>
      </c>
      <c r="D121" s="43"/>
      <c r="E121" s="43">
        <v>37000</v>
      </c>
      <c r="F121" s="80" t="s">
        <v>75</v>
      </c>
      <c r="G121" s="83">
        <v>46062</v>
      </c>
      <c r="H121" s="83">
        <v>46069</v>
      </c>
      <c r="I121" s="4">
        <v>7</v>
      </c>
      <c r="J121" s="80" t="str">
        <f>TEXT(tblPayments[[#This Row],[Arrival]],"mmm")</f>
        <v>Feb</v>
      </c>
      <c r="K121" s="80">
        <f>MONTH(tblPayments[[#This Row],[Arrival]])</f>
        <v>2</v>
      </c>
      <c r="L121" s="80">
        <f>YEAR(tblPayments[[#This Row],[Arrival]])</f>
        <v>2026</v>
      </c>
      <c r="M121" s="80" t="str">
        <f>IF(tblPayments[[#This Row],[Balance]]=0,"Full Payment","Deposit")</f>
        <v>Deposit</v>
      </c>
      <c r="N121" s="43">
        <v>17342.62</v>
      </c>
      <c r="O121" s="83">
        <v>45765</v>
      </c>
      <c r="P121" s="87" t="s">
        <v>24</v>
      </c>
    </row>
    <row r="122" spans="1:16" x14ac:dyDescent="0.3">
      <c r="A122" s="77" t="s">
        <v>101</v>
      </c>
      <c r="B122" s="80" t="s">
        <v>77</v>
      </c>
      <c r="C122" s="43">
        <v>103328.1</v>
      </c>
      <c r="D122" s="43"/>
      <c r="E122" s="43">
        <v>103328.1</v>
      </c>
      <c r="F122" s="80" t="s">
        <v>75</v>
      </c>
      <c r="G122" s="83">
        <v>46063</v>
      </c>
      <c r="H122" s="83">
        <v>46071</v>
      </c>
      <c r="I122" s="4">
        <v>8</v>
      </c>
      <c r="J122" s="80" t="str">
        <f>TEXT(tblPayments[[#This Row],[Arrival]],"mmm")</f>
        <v>Feb</v>
      </c>
      <c r="K122" s="80">
        <f>MONTH(tblPayments[[#This Row],[Arrival]])</f>
        <v>2</v>
      </c>
      <c r="L122" s="80">
        <f>YEAR(tblPayments[[#This Row],[Arrival]])</f>
        <v>2026</v>
      </c>
      <c r="M122" s="80" t="str">
        <f>IF(tblPayments[[#This Row],[Balance]]=0,"Full Payment","Deposit")</f>
        <v>Deposit</v>
      </c>
      <c r="N122" s="43">
        <v>0</v>
      </c>
      <c r="O122" s="83">
        <v>45773</v>
      </c>
      <c r="P122" s="87" t="s">
        <v>16</v>
      </c>
    </row>
    <row r="123" spans="1:16" x14ac:dyDescent="0.3">
      <c r="A123" s="77" t="s">
        <v>101</v>
      </c>
      <c r="B123" s="80" t="s">
        <v>77</v>
      </c>
      <c r="C123" s="43">
        <v>24392.63</v>
      </c>
      <c r="D123" s="43">
        <v>17154</v>
      </c>
      <c r="E123" s="43">
        <v>7238.63</v>
      </c>
      <c r="F123" s="80" t="s">
        <v>72</v>
      </c>
      <c r="G123" s="83">
        <v>46064</v>
      </c>
      <c r="H123" s="83">
        <v>46068</v>
      </c>
      <c r="I123" s="4">
        <v>4</v>
      </c>
      <c r="J123" s="80" t="str">
        <f>TEXT(tblPayments[[#This Row],[Arrival]],"mmm")</f>
        <v>Feb</v>
      </c>
      <c r="K123" s="80">
        <f>MONTH(tblPayments[[#This Row],[Arrival]])</f>
        <v>2</v>
      </c>
      <c r="L123" s="80">
        <f>YEAR(tblPayments[[#This Row],[Arrival]])</f>
        <v>2026</v>
      </c>
      <c r="M123" s="80" t="str">
        <f>IF(tblPayments[[#This Row],[Balance]]=0,"Full Payment","Deposit")</f>
        <v>Deposit</v>
      </c>
      <c r="N123" s="43">
        <v>15690.32</v>
      </c>
      <c r="O123" s="83">
        <v>45954</v>
      </c>
      <c r="P123" s="87" t="s">
        <v>13</v>
      </c>
    </row>
    <row r="124" spans="1:16" x14ac:dyDescent="0.3">
      <c r="A124" s="77" t="s">
        <v>101</v>
      </c>
      <c r="B124" s="80" t="s">
        <v>77</v>
      </c>
      <c r="C124" s="43">
        <v>623</v>
      </c>
      <c r="D124" s="43">
        <v>623</v>
      </c>
      <c r="E124" s="43"/>
      <c r="F124" s="80" t="s">
        <v>70</v>
      </c>
      <c r="G124" s="83">
        <v>46064</v>
      </c>
      <c r="H124" s="83">
        <v>46066</v>
      </c>
      <c r="I124" s="4">
        <v>2</v>
      </c>
      <c r="J124" s="80" t="str">
        <f>TEXT(tblPayments[[#This Row],[Arrival]],"mmm")</f>
        <v>Feb</v>
      </c>
      <c r="K124" s="80">
        <f>MONTH(tblPayments[[#This Row],[Arrival]])</f>
        <v>2</v>
      </c>
      <c r="L124" s="80">
        <f>YEAR(tblPayments[[#This Row],[Arrival]])</f>
        <v>2026</v>
      </c>
      <c r="M124" s="80" t="str">
        <f>IF(tblPayments[[#This Row],[Balance]]=0,"Full Payment","Deposit")</f>
        <v>Full Payment</v>
      </c>
      <c r="N124" s="43">
        <v>0</v>
      </c>
      <c r="O124" s="83">
        <v>45925</v>
      </c>
      <c r="P124" s="87" t="s">
        <v>2</v>
      </c>
    </row>
    <row r="125" spans="1:16" x14ac:dyDescent="0.3">
      <c r="A125" s="77" t="s">
        <v>101</v>
      </c>
      <c r="B125" s="80" t="s">
        <v>77</v>
      </c>
      <c r="C125" s="43">
        <v>19530</v>
      </c>
      <c r="D125" s="43">
        <v>19530</v>
      </c>
      <c r="E125" s="43"/>
      <c r="F125" s="80" t="s">
        <v>70</v>
      </c>
      <c r="G125" s="83">
        <v>46064</v>
      </c>
      <c r="H125" s="83">
        <v>46072</v>
      </c>
      <c r="I125" s="4">
        <v>8</v>
      </c>
      <c r="J125" s="80" t="str">
        <f>TEXT(tblPayments[[#This Row],[Arrival]],"mmm")</f>
        <v>Feb</v>
      </c>
      <c r="K125" s="80">
        <f>MONTH(tblPayments[[#This Row],[Arrival]])</f>
        <v>2</v>
      </c>
      <c r="L125" s="80">
        <f>YEAR(tblPayments[[#This Row],[Arrival]])</f>
        <v>2026</v>
      </c>
      <c r="M125" s="80" t="str">
        <f>IF(tblPayments[[#This Row],[Balance]]=0,"Full Payment","Deposit")</f>
        <v>Full Payment</v>
      </c>
      <c r="N125" s="43">
        <v>2428.9</v>
      </c>
      <c r="O125" s="83">
        <v>45926</v>
      </c>
      <c r="P125" s="87" t="s">
        <v>24</v>
      </c>
    </row>
    <row r="126" spans="1:16" x14ac:dyDescent="0.3">
      <c r="A126" s="77" t="s">
        <v>101</v>
      </c>
      <c r="B126" s="80" t="s">
        <v>77</v>
      </c>
      <c r="C126" s="43">
        <v>5050</v>
      </c>
      <c r="D126" s="43">
        <v>5050</v>
      </c>
      <c r="E126" s="43"/>
      <c r="F126" s="80" t="s">
        <v>70</v>
      </c>
      <c r="G126" s="83">
        <v>46064</v>
      </c>
      <c r="H126" s="83">
        <v>46065</v>
      </c>
      <c r="I126" s="4">
        <v>1</v>
      </c>
      <c r="J126" s="80" t="str">
        <f>TEXT(tblPayments[[#This Row],[Arrival]],"mmm")</f>
        <v>Feb</v>
      </c>
      <c r="K126" s="80">
        <f>MONTH(tblPayments[[#This Row],[Arrival]])</f>
        <v>2</v>
      </c>
      <c r="L126" s="80">
        <f>YEAR(tblPayments[[#This Row],[Arrival]])</f>
        <v>2026</v>
      </c>
      <c r="M126" s="80" t="str">
        <f>IF(tblPayments[[#This Row],[Balance]]=0,"Full Payment","Deposit")</f>
        <v>Full Payment</v>
      </c>
      <c r="N126" s="43">
        <v>0</v>
      </c>
      <c r="O126" s="83">
        <v>45982</v>
      </c>
      <c r="P126" s="87" t="s">
        <v>2</v>
      </c>
    </row>
    <row r="127" spans="1:16" x14ac:dyDescent="0.3">
      <c r="A127" s="77" t="s">
        <v>101</v>
      </c>
      <c r="B127" s="80" t="s">
        <v>77</v>
      </c>
      <c r="C127" s="43">
        <v>308673.68</v>
      </c>
      <c r="D127" s="43">
        <v>308673.68</v>
      </c>
      <c r="E127" s="43"/>
      <c r="F127" s="80" t="s">
        <v>70</v>
      </c>
      <c r="G127" s="83">
        <v>46065</v>
      </c>
      <c r="H127" s="83">
        <v>46075</v>
      </c>
      <c r="I127" s="4">
        <v>10</v>
      </c>
      <c r="J127" s="80" t="str">
        <f>TEXT(tblPayments[[#This Row],[Arrival]],"mmm")</f>
        <v>Feb</v>
      </c>
      <c r="K127" s="80">
        <f>MONTH(tblPayments[[#This Row],[Arrival]])</f>
        <v>2</v>
      </c>
      <c r="L127" s="80">
        <f>YEAR(tblPayments[[#This Row],[Arrival]])</f>
        <v>2026</v>
      </c>
      <c r="M127" s="80" t="str">
        <f>IF(tblPayments[[#This Row],[Balance]]=0,"Full Payment","Deposit")</f>
        <v>Full Payment</v>
      </c>
      <c r="N127" s="43">
        <v>186316.11</v>
      </c>
      <c r="O127" s="83">
        <v>45936</v>
      </c>
      <c r="P127" s="87" t="s">
        <v>2</v>
      </c>
    </row>
    <row r="128" spans="1:16" x14ac:dyDescent="0.3">
      <c r="A128" s="77" t="s">
        <v>101</v>
      </c>
      <c r="B128" s="80" t="s">
        <v>77</v>
      </c>
      <c r="C128" s="43">
        <v>36044.480000000003</v>
      </c>
      <c r="D128" s="43">
        <v>36044.480000000003</v>
      </c>
      <c r="E128" s="43"/>
      <c r="F128" s="80" t="s">
        <v>70</v>
      </c>
      <c r="G128" s="83">
        <v>46065</v>
      </c>
      <c r="H128" s="83">
        <v>46073</v>
      </c>
      <c r="I128" s="4">
        <v>8</v>
      </c>
      <c r="J128" s="80" t="str">
        <f>TEXT(tblPayments[[#This Row],[Arrival]],"mmm")</f>
        <v>Feb</v>
      </c>
      <c r="K128" s="80">
        <f>MONTH(tblPayments[[#This Row],[Arrival]])</f>
        <v>2</v>
      </c>
      <c r="L128" s="80">
        <f>YEAR(tblPayments[[#This Row],[Arrival]])</f>
        <v>2026</v>
      </c>
      <c r="M128" s="80" t="str">
        <f>IF(tblPayments[[#This Row],[Balance]]=0,"Full Payment","Deposit")</f>
        <v>Full Payment</v>
      </c>
      <c r="N128" s="43">
        <v>20995.46</v>
      </c>
      <c r="O128" s="83">
        <v>45936</v>
      </c>
      <c r="P128" s="87" t="s">
        <v>35</v>
      </c>
    </row>
    <row r="129" spans="1:16" x14ac:dyDescent="0.3">
      <c r="A129" s="77" t="s">
        <v>101</v>
      </c>
      <c r="B129" s="80" t="s">
        <v>77</v>
      </c>
      <c r="C129" s="43">
        <v>31985</v>
      </c>
      <c r="D129" s="43">
        <v>31985</v>
      </c>
      <c r="E129" s="43"/>
      <c r="F129" s="80" t="s">
        <v>70</v>
      </c>
      <c r="G129" s="83">
        <v>46066</v>
      </c>
      <c r="H129" s="83">
        <v>46071</v>
      </c>
      <c r="I129" s="4">
        <v>5</v>
      </c>
      <c r="J129" s="80" t="str">
        <f>TEXT(tblPayments[[#This Row],[Arrival]],"mmm")</f>
        <v>Feb</v>
      </c>
      <c r="K129" s="80">
        <f>MONTH(tblPayments[[#This Row],[Arrival]])</f>
        <v>2</v>
      </c>
      <c r="L129" s="80">
        <f>YEAR(tblPayments[[#This Row],[Arrival]])</f>
        <v>2026</v>
      </c>
      <c r="M129" s="80" t="str">
        <f>IF(tblPayments[[#This Row],[Balance]]=0,"Full Payment","Deposit")</f>
        <v>Full Payment</v>
      </c>
      <c r="N129" s="43">
        <v>15888.3</v>
      </c>
      <c r="O129" s="83">
        <v>45837</v>
      </c>
      <c r="P129" s="87" t="s">
        <v>13</v>
      </c>
    </row>
    <row r="130" spans="1:16" x14ac:dyDescent="0.3">
      <c r="A130" s="77" t="s">
        <v>101</v>
      </c>
      <c r="B130" s="80" t="s">
        <v>77</v>
      </c>
      <c r="C130" s="43">
        <v>26300</v>
      </c>
      <c r="D130" s="43"/>
      <c r="E130" s="43">
        <v>26300</v>
      </c>
      <c r="F130" s="80" t="s">
        <v>75</v>
      </c>
      <c r="G130" s="83">
        <v>46066</v>
      </c>
      <c r="H130" s="83">
        <v>46076</v>
      </c>
      <c r="I130" s="4">
        <v>10</v>
      </c>
      <c r="J130" s="80" t="str">
        <f>TEXT(tblPayments[[#This Row],[Arrival]],"mmm")</f>
        <v>Feb</v>
      </c>
      <c r="K130" s="80">
        <f>MONTH(tblPayments[[#This Row],[Arrival]])</f>
        <v>2</v>
      </c>
      <c r="L130" s="80">
        <f>YEAR(tblPayments[[#This Row],[Arrival]])</f>
        <v>2026</v>
      </c>
      <c r="M130" s="80" t="str">
        <f>IF(tblPayments[[#This Row],[Balance]]=0,"Full Payment","Deposit")</f>
        <v>Deposit</v>
      </c>
      <c r="N130" s="43">
        <v>11724.9</v>
      </c>
      <c r="O130" s="83">
        <v>45815</v>
      </c>
      <c r="P130" s="87" t="s">
        <v>2</v>
      </c>
    </row>
    <row r="131" spans="1:16" x14ac:dyDescent="0.3">
      <c r="A131" s="77" t="s">
        <v>101</v>
      </c>
      <c r="B131" s="80" t="s">
        <v>77</v>
      </c>
      <c r="C131" s="43">
        <v>20244</v>
      </c>
      <c r="D131" s="43"/>
      <c r="E131" s="43">
        <v>20244</v>
      </c>
      <c r="F131" s="80" t="s">
        <v>75</v>
      </c>
      <c r="G131" s="83">
        <v>46066</v>
      </c>
      <c r="H131" s="83">
        <v>46070</v>
      </c>
      <c r="I131" s="4">
        <v>4</v>
      </c>
      <c r="J131" s="80" t="str">
        <f>TEXT(tblPayments[[#This Row],[Arrival]],"mmm")</f>
        <v>Feb</v>
      </c>
      <c r="K131" s="80">
        <f>MONTH(tblPayments[[#This Row],[Arrival]])</f>
        <v>2</v>
      </c>
      <c r="L131" s="80">
        <f>YEAR(tblPayments[[#This Row],[Arrival]])</f>
        <v>2026</v>
      </c>
      <c r="M131" s="80" t="str">
        <f>IF(tblPayments[[#This Row],[Balance]]=0,"Full Payment","Deposit")</f>
        <v>Deposit</v>
      </c>
      <c r="N131" s="43">
        <v>10512.84</v>
      </c>
      <c r="O131" s="83">
        <v>45815</v>
      </c>
      <c r="P131" s="87" t="s">
        <v>2</v>
      </c>
    </row>
    <row r="132" spans="1:16" x14ac:dyDescent="0.3">
      <c r="A132" s="77" t="s">
        <v>101</v>
      </c>
      <c r="B132" s="80" t="s">
        <v>77</v>
      </c>
      <c r="C132" s="43">
        <v>51236</v>
      </c>
      <c r="D132" s="43">
        <v>51236</v>
      </c>
      <c r="E132" s="43"/>
      <c r="F132" s="80" t="s">
        <v>70</v>
      </c>
      <c r="G132" s="83">
        <v>46066</v>
      </c>
      <c r="H132" s="83">
        <v>46073</v>
      </c>
      <c r="I132" s="4">
        <v>7</v>
      </c>
      <c r="J132" s="80" t="str">
        <f>TEXT(tblPayments[[#This Row],[Arrival]],"mmm")</f>
        <v>Feb</v>
      </c>
      <c r="K132" s="80">
        <f>MONTH(tblPayments[[#This Row],[Arrival]])</f>
        <v>2</v>
      </c>
      <c r="L132" s="80">
        <f>YEAR(tblPayments[[#This Row],[Arrival]])</f>
        <v>2026</v>
      </c>
      <c r="M132" s="80" t="str">
        <f>IF(tblPayments[[#This Row],[Balance]]=0,"Full Payment","Deposit")</f>
        <v>Full Payment</v>
      </c>
      <c r="N132" s="43">
        <v>35458.43</v>
      </c>
      <c r="O132" s="83">
        <v>45891</v>
      </c>
      <c r="P132" s="87" t="s">
        <v>36</v>
      </c>
    </row>
    <row r="133" spans="1:16" x14ac:dyDescent="0.3">
      <c r="A133" s="77" t="s">
        <v>101</v>
      </c>
      <c r="B133" s="80" t="s">
        <v>77</v>
      </c>
      <c r="C133" s="43">
        <v>0</v>
      </c>
      <c r="D133" s="43"/>
      <c r="E133" s="43">
        <v>0</v>
      </c>
      <c r="F133" s="80" t="s">
        <v>73</v>
      </c>
      <c r="G133" s="83">
        <v>46067</v>
      </c>
      <c r="H133" s="83">
        <v>46074</v>
      </c>
      <c r="I133" s="4">
        <v>7</v>
      </c>
      <c r="J133" s="80" t="str">
        <f>TEXT(tblPayments[[#This Row],[Arrival]],"mmm")</f>
        <v>Feb</v>
      </c>
      <c r="K133" s="80">
        <f>MONTH(tblPayments[[#This Row],[Arrival]])</f>
        <v>2</v>
      </c>
      <c r="L133" s="80">
        <f>YEAR(tblPayments[[#This Row],[Arrival]])</f>
        <v>2026</v>
      </c>
      <c r="M133" s="80" t="str">
        <f>IF(tblPayments[[#This Row],[Balance]]=0,"Full Payment","Deposit")</f>
        <v>Full Payment</v>
      </c>
      <c r="N133" s="43">
        <v>0</v>
      </c>
      <c r="O133" s="83">
        <v>45916</v>
      </c>
      <c r="P133" s="87" t="s">
        <v>2</v>
      </c>
    </row>
    <row r="134" spans="1:16" x14ac:dyDescent="0.3">
      <c r="A134" s="77" t="s">
        <v>101</v>
      </c>
      <c r="B134" s="80" t="s">
        <v>77</v>
      </c>
      <c r="C134" s="43">
        <v>18800</v>
      </c>
      <c r="D134" s="43"/>
      <c r="E134" s="43">
        <v>18800</v>
      </c>
      <c r="F134" s="80" t="s">
        <v>75</v>
      </c>
      <c r="G134" s="83">
        <v>46067</v>
      </c>
      <c r="H134" s="83">
        <v>46074</v>
      </c>
      <c r="I134" s="4">
        <v>7</v>
      </c>
      <c r="J134" s="80" t="str">
        <f>TEXT(tblPayments[[#This Row],[Arrival]],"mmm")</f>
        <v>Feb</v>
      </c>
      <c r="K134" s="80">
        <f>MONTH(tblPayments[[#This Row],[Arrival]])</f>
        <v>2</v>
      </c>
      <c r="L134" s="80">
        <f>YEAR(tblPayments[[#This Row],[Arrival]])</f>
        <v>2026</v>
      </c>
      <c r="M134" s="80" t="str">
        <f>IF(tblPayments[[#This Row],[Balance]]=0,"Full Payment","Deposit")</f>
        <v>Deposit</v>
      </c>
      <c r="N134" s="43">
        <v>0</v>
      </c>
      <c r="O134" s="83">
        <v>45820</v>
      </c>
      <c r="P134" s="87" t="s">
        <v>2</v>
      </c>
    </row>
    <row r="135" spans="1:16" x14ac:dyDescent="0.3">
      <c r="A135" s="77" t="s">
        <v>101</v>
      </c>
      <c r="B135" s="80" t="s">
        <v>77</v>
      </c>
      <c r="C135" s="43">
        <v>74999.990000000005</v>
      </c>
      <c r="D135" s="43">
        <v>12389.83</v>
      </c>
      <c r="E135" s="43">
        <v>62610.16</v>
      </c>
      <c r="F135" s="80" t="s">
        <v>72</v>
      </c>
      <c r="G135" s="83">
        <v>46067</v>
      </c>
      <c r="H135" s="83">
        <v>46074</v>
      </c>
      <c r="I135" s="4">
        <v>7</v>
      </c>
      <c r="J135" s="80" t="str">
        <f>TEXT(tblPayments[[#This Row],[Arrival]],"mmm")</f>
        <v>Feb</v>
      </c>
      <c r="K135" s="80">
        <f>MONTH(tblPayments[[#This Row],[Arrival]])</f>
        <v>2</v>
      </c>
      <c r="L135" s="80">
        <f>YEAR(tblPayments[[#This Row],[Arrival]])</f>
        <v>2026</v>
      </c>
      <c r="M135" s="80" t="str">
        <f>IF(tblPayments[[#This Row],[Balance]]=0,"Full Payment","Deposit")</f>
        <v>Deposit</v>
      </c>
      <c r="N135" s="43">
        <v>50823.01</v>
      </c>
      <c r="O135" s="83">
        <v>45953</v>
      </c>
      <c r="P135" s="87" t="s">
        <v>9</v>
      </c>
    </row>
    <row r="136" spans="1:16" x14ac:dyDescent="0.3">
      <c r="A136" s="77" t="s">
        <v>101</v>
      </c>
      <c r="B136" s="80" t="s">
        <v>77</v>
      </c>
      <c r="C136" s="43">
        <v>46800</v>
      </c>
      <c r="D136" s="43"/>
      <c r="E136" s="43">
        <v>46800</v>
      </c>
      <c r="F136" s="80" t="s">
        <v>79</v>
      </c>
      <c r="G136" s="83">
        <v>46067</v>
      </c>
      <c r="H136" s="83">
        <v>46076</v>
      </c>
      <c r="I136" s="4">
        <v>9</v>
      </c>
      <c r="J136" s="80" t="str">
        <f>TEXT(tblPayments[[#This Row],[Arrival]],"mmm")</f>
        <v>Feb</v>
      </c>
      <c r="K136" s="80">
        <f>MONTH(tblPayments[[#This Row],[Arrival]])</f>
        <v>2</v>
      </c>
      <c r="L136" s="80">
        <f>YEAR(tblPayments[[#This Row],[Arrival]])</f>
        <v>2026</v>
      </c>
      <c r="M136" s="80" t="str">
        <f>IF(tblPayments[[#This Row],[Balance]]=0,"Full Payment","Deposit")</f>
        <v>Deposit</v>
      </c>
      <c r="N136" s="43">
        <v>26783.19</v>
      </c>
      <c r="O136" s="83">
        <v>45761</v>
      </c>
      <c r="P136" s="87" t="s">
        <v>2</v>
      </c>
    </row>
    <row r="137" spans="1:16" x14ac:dyDescent="0.3">
      <c r="A137" s="77" t="s">
        <v>101</v>
      </c>
      <c r="B137" s="80" t="s">
        <v>77</v>
      </c>
      <c r="C137" s="43">
        <v>22105.8</v>
      </c>
      <c r="D137" s="43">
        <v>22105.8</v>
      </c>
      <c r="E137" s="43"/>
      <c r="F137" s="80" t="s">
        <v>70</v>
      </c>
      <c r="G137" s="83">
        <v>46067</v>
      </c>
      <c r="H137" s="83">
        <v>46073</v>
      </c>
      <c r="I137" s="4">
        <v>6</v>
      </c>
      <c r="J137" s="80" t="str">
        <f>TEXT(tblPayments[[#This Row],[Arrival]],"mmm")</f>
        <v>Feb</v>
      </c>
      <c r="K137" s="80">
        <f>MONTH(tblPayments[[#This Row],[Arrival]])</f>
        <v>2</v>
      </c>
      <c r="L137" s="80">
        <f>YEAR(tblPayments[[#This Row],[Arrival]])</f>
        <v>2026</v>
      </c>
      <c r="M137" s="80" t="str">
        <f>IF(tblPayments[[#This Row],[Balance]]=0,"Full Payment","Deposit")</f>
        <v>Full Payment</v>
      </c>
      <c r="N137" s="43">
        <v>15524.88</v>
      </c>
      <c r="O137" s="83">
        <v>45978</v>
      </c>
      <c r="P137" s="87" t="s">
        <v>33</v>
      </c>
    </row>
    <row r="138" spans="1:16" x14ac:dyDescent="0.3">
      <c r="A138" s="77" t="s">
        <v>101</v>
      </c>
      <c r="B138" s="80" t="s">
        <v>77</v>
      </c>
      <c r="C138" s="43">
        <v>137800</v>
      </c>
      <c r="D138" s="43"/>
      <c r="E138" s="43">
        <v>137800</v>
      </c>
      <c r="F138" s="80" t="s">
        <v>79</v>
      </c>
      <c r="G138" s="83">
        <v>46067</v>
      </c>
      <c r="H138" s="83">
        <v>46076</v>
      </c>
      <c r="I138" s="4">
        <v>9</v>
      </c>
      <c r="J138" s="80" t="str">
        <f>TEXT(tblPayments[[#This Row],[Arrival]],"mmm")</f>
        <v>Feb</v>
      </c>
      <c r="K138" s="80">
        <f>MONTH(tblPayments[[#This Row],[Arrival]])</f>
        <v>2</v>
      </c>
      <c r="L138" s="80">
        <f>YEAR(tblPayments[[#This Row],[Arrival]])</f>
        <v>2026</v>
      </c>
      <c r="M138" s="80" t="str">
        <f>IF(tblPayments[[#This Row],[Balance]]=0,"Full Payment","Deposit")</f>
        <v>Deposit</v>
      </c>
      <c r="N138" s="43">
        <v>72076.95</v>
      </c>
      <c r="O138" s="83">
        <v>45761</v>
      </c>
      <c r="P138" s="87" t="s">
        <v>2</v>
      </c>
    </row>
    <row r="139" spans="1:16" x14ac:dyDescent="0.3">
      <c r="A139" s="77" t="s">
        <v>101</v>
      </c>
      <c r="B139" s="80" t="s">
        <v>77</v>
      </c>
      <c r="C139" s="43">
        <v>31160</v>
      </c>
      <c r="D139" s="43">
        <v>31160</v>
      </c>
      <c r="E139" s="43"/>
      <c r="F139" s="80" t="s">
        <v>70</v>
      </c>
      <c r="G139" s="83">
        <v>46067</v>
      </c>
      <c r="H139" s="83">
        <v>46073</v>
      </c>
      <c r="I139" s="4">
        <v>6</v>
      </c>
      <c r="J139" s="80" t="str">
        <f>TEXT(tblPayments[[#This Row],[Arrival]],"mmm")</f>
        <v>Feb</v>
      </c>
      <c r="K139" s="80">
        <f>MONTH(tblPayments[[#This Row],[Arrival]])</f>
        <v>2</v>
      </c>
      <c r="L139" s="80">
        <f>YEAR(tblPayments[[#This Row],[Arrival]])</f>
        <v>2026</v>
      </c>
      <c r="M139" s="80" t="str">
        <f>IF(tblPayments[[#This Row],[Balance]]=0,"Full Payment","Deposit")</f>
        <v>Full Payment</v>
      </c>
      <c r="N139" s="43">
        <v>17202.78</v>
      </c>
      <c r="O139" s="83">
        <v>45876</v>
      </c>
      <c r="P139" s="87" t="s">
        <v>2</v>
      </c>
    </row>
    <row r="140" spans="1:16" x14ac:dyDescent="0.3">
      <c r="A140" s="77" t="s">
        <v>101</v>
      </c>
      <c r="B140" s="80" t="s">
        <v>77</v>
      </c>
      <c r="C140" s="43">
        <v>30565</v>
      </c>
      <c r="D140" s="43"/>
      <c r="E140" s="43">
        <v>30565</v>
      </c>
      <c r="F140" s="80" t="s">
        <v>75</v>
      </c>
      <c r="G140" s="83">
        <v>46067</v>
      </c>
      <c r="H140" s="83">
        <v>46075</v>
      </c>
      <c r="I140" s="4">
        <v>8</v>
      </c>
      <c r="J140" s="80" t="str">
        <f>TEXT(tblPayments[[#This Row],[Arrival]],"mmm")</f>
        <v>Feb</v>
      </c>
      <c r="K140" s="80">
        <f>MONTH(tblPayments[[#This Row],[Arrival]])</f>
        <v>2</v>
      </c>
      <c r="L140" s="80">
        <f>YEAR(tblPayments[[#This Row],[Arrival]])</f>
        <v>2026</v>
      </c>
      <c r="M140" s="80" t="str">
        <f>IF(tblPayments[[#This Row],[Balance]]=0,"Full Payment","Deposit")</f>
        <v>Deposit</v>
      </c>
      <c r="N140" s="43">
        <v>0</v>
      </c>
      <c r="O140" s="83">
        <v>45984</v>
      </c>
      <c r="P140" s="87" t="s">
        <v>13</v>
      </c>
    </row>
    <row r="141" spans="1:16" x14ac:dyDescent="0.3">
      <c r="A141" s="77" t="s">
        <v>101</v>
      </c>
      <c r="B141" s="80" t="s">
        <v>76</v>
      </c>
      <c r="C141" s="43">
        <v>2000</v>
      </c>
      <c r="D141" s="43"/>
      <c r="E141" s="43">
        <v>2000</v>
      </c>
      <c r="F141" s="80" t="s">
        <v>75</v>
      </c>
      <c r="G141" s="83">
        <v>46067</v>
      </c>
      <c r="H141" s="83">
        <v>46072</v>
      </c>
      <c r="I141" s="4">
        <v>5</v>
      </c>
      <c r="J141" s="80" t="str">
        <f>TEXT(tblPayments[[#This Row],[Arrival]],"mmm")</f>
        <v>Feb</v>
      </c>
      <c r="K141" s="80">
        <f>MONTH(tblPayments[[#This Row],[Arrival]])</f>
        <v>2</v>
      </c>
      <c r="L141" s="80">
        <f>YEAR(tblPayments[[#This Row],[Arrival]])</f>
        <v>2026</v>
      </c>
      <c r="M141" s="80" t="str">
        <f>IF(tblPayments[[#This Row],[Balance]]=0,"Full Payment","Deposit")</f>
        <v>Deposit</v>
      </c>
      <c r="N141" s="43">
        <v>1232.45</v>
      </c>
      <c r="O141" s="83">
        <v>45908</v>
      </c>
      <c r="P141" s="87" t="s">
        <v>2</v>
      </c>
    </row>
    <row r="142" spans="1:16" x14ac:dyDescent="0.3">
      <c r="A142" s="77" t="s">
        <v>101</v>
      </c>
      <c r="B142" s="80" t="s">
        <v>76</v>
      </c>
      <c r="C142" s="43">
        <v>46613.36</v>
      </c>
      <c r="D142" s="43"/>
      <c r="E142" s="43">
        <v>46613.36</v>
      </c>
      <c r="F142" s="80" t="s">
        <v>80</v>
      </c>
      <c r="G142" s="83">
        <v>46068</v>
      </c>
      <c r="H142" s="83">
        <v>46076</v>
      </c>
      <c r="I142" s="4">
        <v>8</v>
      </c>
      <c r="J142" s="80" t="str">
        <f>TEXT(tblPayments[[#This Row],[Arrival]],"mmm")</f>
        <v>Feb</v>
      </c>
      <c r="K142" s="80">
        <f>MONTH(tblPayments[[#This Row],[Arrival]])</f>
        <v>2</v>
      </c>
      <c r="L142" s="80">
        <f>YEAR(tblPayments[[#This Row],[Arrival]])</f>
        <v>2026</v>
      </c>
      <c r="M142" s="80" t="str">
        <f>IF(tblPayments[[#This Row],[Balance]]=0,"Full Payment","Deposit")</f>
        <v>Deposit</v>
      </c>
      <c r="N142" s="43">
        <v>31164.080000000002</v>
      </c>
      <c r="O142" s="83">
        <v>45990</v>
      </c>
      <c r="P142" s="87" t="s">
        <v>2</v>
      </c>
    </row>
    <row r="143" spans="1:16" x14ac:dyDescent="0.3">
      <c r="A143" s="77" t="s">
        <v>101</v>
      </c>
      <c r="B143" s="80" t="s">
        <v>76</v>
      </c>
      <c r="C143" s="43"/>
      <c r="D143" s="43"/>
      <c r="E143" s="43"/>
      <c r="F143" s="80" t="s">
        <v>73</v>
      </c>
      <c r="G143" s="83">
        <v>46068</v>
      </c>
      <c r="H143" s="83">
        <v>46070</v>
      </c>
      <c r="I143" s="4">
        <v>2</v>
      </c>
      <c r="J143" s="80" t="str">
        <f>TEXT(tblPayments[[#This Row],[Arrival]],"mmm")</f>
        <v>Feb</v>
      </c>
      <c r="K143" s="80">
        <f>MONTH(tblPayments[[#This Row],[Arrival]])</f>
        <v>2</v>
      </c>
      <c r="L143" s="80">
        <f>YEAR(tblPayments[[#This Row],[Arrival]])</f>
        <v>2026</v>
      </c>
      <c r="M143" s="80" t="str">
        <f>IF(tblPayments[[#This Row],[Balance]]=0,"Full Payment","Deposit")</f>
        <v>Full Payment</v>
      </c>
      <c r="N143" s="43">
        <v>0</v>
      </c>
      <c r="O143" s="83">
        <v>45841</v>
      </c>
      <c r="P143" s="87" t="s">
        <v>15</v>
      </c>
    </row>
    <row r="144" spans="1:16" x14ac:dyDescent="0.3">
      <c r="A144" s="77" t="s">
        <v>101</v>
      </c>
      <c r="B144" s="80" t="s">
        <v>76</v>
      </c>
      <c r="C144" s="43">
        <v>20576.5</v>
      </c>
      <c r="D144" s="43"/>
      <c r="E144" s="43">
        <v>20576.5</v>
      </c>
      <c r="F144" s="80" t="s">
        <v>75</v>
      </c>
      <c r="G144" s="83">
        <v>46068</v>
      </c>
      <c r="H144" s="83">
        <v>46078</v>
      </c>
      <c r="I144" s="4">
        <v>10</v>
      </c>
      <c r="J144" s="80" t="str">
        <f>TEXT(tblPayments[[#This Row],[Arrival]],"mmm")</f>
        <v>Feb</v>
      </c>
      <c r="K144" s="80">
        <f>MONTH(tblPayments[[#This Row],[Arrival]])</f>
        <v>2</v>
      </c>
      <c r="L144" s="80">
        <f>YEAR(tblPayments[[#This Row],[Arrival]])</f>
        <v>2026</v>
      </c>
      <c r="M144" s="80" t="str">
        <f>IF(tblPayments[[#This Row],[Balance]]=0,"Full Payment","Deposit")</f>
        <v>Deposit</v>
      </c>
      <c r="N144" s="43">
        <v>3645.1</v>
      </c>
      <c r="O144" s="83">
        <v>45736</v>
      </c>
      <c r="P144" s="87" t="s">
        <v>2</v>
      </c>
    </row>
    <row r="145" spans="1:16" x14ac:dyDescent="0.3">
      <c r="A145" s="77" t="s">
        <v>101</v>
      </c>
      <c r="B145" s="80" t="s">
        <v>76</v>
      </c>
      <c r="C145" s="43">
        <v>29844</v>
      </c>
      <c r="D145" s="43"/>
      <c r="E145" s="43">
        <v>29844</v>
      </c>
      <c r="F145" s="80" t="s">
        <v>75</v>
      </c>
      <c r="G145" s="83">
        <v>46068</v>
      </c>
      <c r="H145" s="83">
        <v>46072</v>
      </c>
      <c r="I145" s="4">
        <v>4</v>
      </c>
      <c r="J145" s="80" t="str">
        <f>TEXT(tblPayments[[#This Row],[Arrival]],"mmm")</f>
        <v>Feb</v>
      </c>
      <c r="K145" s="80">
        <f>MONTH(tblPayments[[#This Row],[Arrival]])</f>
        <v>2</v>
      </c>
      <c r="L145" s="80">
        <f>YEAR(tblPayments[[#This Row],[Arrival]])</f>
        <v>2026</v>
      </c>
      <c r="M145" s="80" t="str">
        <f>IF(tblPayments[[#This Row],[Balance]]=0,"Full Payment","Deposit")</f>
        <v>Deposit</v>
      </c>
      <c r="N145" s="43">
        <v>0</v>
      </c>
      <c r="O145" s="83">
        <v>45996</v>
      </c>
      <c r="P145" s="87" t="s">
        <v>31</v>
      </c>
    </row>
    <row r="146" spans="1:16" x14ac:dyDescent="0.3">
      <c r="A146" s="77" t="s">
        <v>101</v>
      </c>
      <c r="B146" s="80" t="s">
        <v>76</v>
      </c>
      <c r="C146" s="43">
        <v>18739</v>
      </c>
      <c r="D146" s="43">
        <v>18739</v>
      </c>
      <c r="E146" s="43"/>
      <c r="F146" s="80" t="s">
        <v>70</v>
      </c>
      <c r="G146" s="83">
        <v>46068</v>
      </c>
      <c r="H146" s="83">
        <v>46075</v>
      </c>
      <c r="I146" s="4">
        <v>7</v>
      </c>
      <c r="J146" s="80" t="str">
        <f>TEXT(tblPayments[[#This Row],[Arrival]],"mmm")</f>
        <v>Feb</v>
      </c>
      <c r="K146" s="80">
        <f>MONTH(tblPayments[[#This Row],[Arrival]])</f>
        <v>2</v>
      </c>
      <c r="L146" s="80">
        <f>YEAR(tblPayments[[#This Row],[Arrival]])</f>
        <v>2026</v>
      </c>
      <c r="M146" s="80" t="str">
        <f>IF(tblPayments[[#This Row],[Balance]]=0,"Full Payment","Deposit")</f>
        <v>Full Payment</v>
      </c>
      <c r="N146" s="43">
        <v>6088.99</v>
      </c>
      <c r="O146" s="83">
        <v>45737</v>
      </c>
      <c r="P146" s="87" t="s">
        <v>13</v>
      </c>
    </row>
    <row r="147" spans="1:16" x14ac:dyDescent="0.3">
      <c r="A147" s="77" t="s">
        <v>101</v>
      </c>
      <c r="B147" s="80" t="s">
        <v>76</v>
      </c>
      <c r="C147" s="43">
        <v>68298.600000000006</v>
      </c>
      <c r="D147" s="43">
        <v>68298.600000000006</v>
      </c>
      <c r="E147" s="43"/>
      <c r="F147" s="80" t="s">
        <v>70</v>
      </c>
      <c r="G147" s="83">
        <v>46068</v>
      </c>
      <c r="H147" s="83">
        <v>46075</v>
      </c>
      <c r="I147" s="4">
        <v>7</v>
      </c>
      <c r="J147" s="80" t="str">
        <f>TEXT(tblPayments[[#This Row],[Arrival]],"mmm")</f>
        <v>Feb</v>
      </c>
      <c r="K147" s="80">
        <f>MONTH(tblPayments[[#This Row],[Arrival]])</f>
        <v>2</v>
      </c>
      <c r="L147" s="80">
        <f>YEAR(tblPayments[[#This Row],[Arrival]])</f>
        <v>2026</v>
      </c>
      <c r="M147" s="80" t="str">
        <f>IF(tblPayments[[#This Row],[Balance]]=0,"Full Payment","Deposit")</f>
        <v>Full Payment</v>
      </c>
      <c r="N147" s="43">
        <v>29069.46</v>
      </c>
      <c r="O147" s="83">
        <v>45885</v>
      </c>
      <c r="P147" s="87" t="s">
        <v>17</v>
      </c>
    </row>
    <row r="148" spans="1:16" x14ac:dyDescent="0.3">
      <c r="A148" s="77" t="s">
        <v>101</v>
      </c>
      <c r="B148" s="80" t="s">
        <v>76</v>
      </c>
      <c r="C148" s="43">
        <v>37590</v>
      </c>
      <c r="D148" s="43">
        <v>37590</v>
      </c>
      <c r="E148" s="43"/>
      <c r="F148" s="80" t="s">
        <v>70</v>
      </c>
      <c r="G148" s="83">
        <v>46068</v>
      </c>
      <c r="H148" s="83">
        <v>46070</v>
      </c>
      <c r="I148" s="4">
        <v>2</v>
      </c>
      <c r="J148" s="80" t="str">
        <f>TEXT(tblPayments[[#This Row],[Arrival]],"mmm")</f>
        <v>Feb</v>
      </c>
      <c r="K148" s="80">
        <f>MONTH(tblPayments[[#This Row],[Arrival]])</f>
        <v>2</v>
      </c>
      <c r="L148" s="80">
        <f>YEAR(tblPayments[[#This Row],[Arrival]])</f>
        <v>2026</v>
      </c>
      <c r="M148" s="80" t="str">
        <f>IF(tblPayments[[#This Row],[Balance]]=0,"Full Payment","Deposit")</f>
        <v>Full Payment</v>
      </c>
      <c r="N148" s="43">
        <v>0</v>
      </c>
      <c r="O148" s="83">
        <v>45916</v>
      </c>
      <c r="P148" s="87" t="s">
        <v>24</v>
      </c>
    </row>
    <row r="149" spans="1:16" x14ac:dyDescent="0.3">
      <c r="A149" s="77" t="s">
        <v>101</v>
      </c>
      <c r="B149" s="80" t="s">
        <v>76</v>
      </c>
      <c r="C149" s="43"/>
      <c r="D149" s="43"/>
      <c r="E149" s="43"/>
      <c r="F149" s="80" t="s">
        <v>73</v>
      </c>
      <c r="G149" s="83">
        <v>46069</v>
      </c>
      <c r="H149" s="83">
        <v>46102</v>
      </c>
      <c r="I149" s="4">
        <v>33</v>
      </c>
      <c r="J149" s="80" t="str">
        <f>TEXT(tblPayments[[#This Row],[Arrival]],"mmm")</f>
        <v>Feb</v>
      </c>
      <c r="K149" s="80">
        <f>MONTH(tblPayments[[#This Row],[Arrival]])</f>
        <v>2</v>
      </c>
      <c r="L149" s="80">
        <f>YEAR(tblPayments[[#This Row],[Arrival]])</f>
        <v>2026</v>
      </c>
      <c r="M149" s="80" t="str">
        <f>IF(tblPayments[[#This Row],[Balance]]=0,"Full Payment","Deposit")</f>
        <v>Full Payment</v>
      </c>
      <c r="N149" s="43">
        <v>0</v>
      </c>
      <c r="O149" s="83">
        <v>45847</v>
      </c>
      <c r="P149" s="87" t="s">
        <v>24</v>
      </c>
    </row>
    <row r="150" spans="1:16" x14ac:dyDescent="0.3">
      <c r="A150" s="77" t="s">
        <v>101</v>
      </c>
      <c r="B150" s="80" t="s">
        <v>76</v>
      </c>
      <c r="C150" s="43">
        <v>46570</v>
      </c>
      <c r="D150" s="43"/>
      <c r="E150" s="43">
        <v>46570</v>
      </c>
      <c r="F150" s="80" t="s">
        <v>75</v>
      </c>
      <c r="G150" s="83">
        <v>46069</v>
      </c>
      <c r="H150" s="83">
        <v>46076</v>
      </c>
      <c r="I150" s="4">
        <v>7</v>
      </c>
      <c r="J150" s="80" t="str">
        <f>TEXT(tblPayments[[#This Row],[Arrival]],"mmm")</f>
        <v>Feb</v>
      </c>
      <c r="K150" s="80">
        <f>MONTH(tblPayments[[#This Row],[Arrival]])</f>
        <v>2</v>
      </c>
      <c r="L150" s="80">
        <f>YEAR(tblPayments[[#This Row],[Arrival]])</f>
        <v>2026</v>
      </c>
      <c r="M150" s="80" t="str">
        <f>IF(tblPayments[[#This Row],[Balance]]=0,"Full Payment","Deposit")</f>
        <v>Deposit</v>
      </c>
      <c r="N150" s="43">
        <v>0</v>
      </c>
      <c r="O150" s="83">
        <v>45999</v>
      </c>
      <c r="P150" s="87" t="s">
        <v>1</v>
      </c>
    </row>
    <row r="151" spans="1:16" x14ac:dyDescent="0.3">
      <c r="A151" s="77" t="s">
        <v>101</v>
      </c>
      <c r="B151" s="80" t="s">
        <v>76</v>
      </c>
      <c r="C151" s="43">
        <v>335455.34999999998</v>
      </c>
      <c r="D151" s="43">
        <v>335455.34999999998</v>
      </c>
      <c r="E151" s="43"/>
      <c r="F151" s="80" t="s">
        <v>70</v>
      </c>
      <c r="G151" s="83">
        <v>46069</v>
      </c>
      <c r="H151" s="83">
        <v>46077</v>
      </c>
      <c r="I151" s="4">
        <v>8</v>
      </c>
      <c r="J151" s="80" t="str">
        <f>TEXT(tblPayments[[#This Row],[Arrival]],"mmm")</f>
        <v>Feb</v>
      </c>
      <c r="K151" s="80">
        <f>MONTH(tblPayments[[#This Row],[Arrival]])</f>
        <v>2</v>
      </c>
      <c r="L151" s="80">
        <f>YEAR(tblPayments[[#This Row],[Arrival]])</f>
        <v>2026</v>
      </c>
      <c r="M151" s="80" t="str">
        <f>IF(tblPayments[[#This Row],[Balance]]=0,"Full Payment","Deposit")</f>
        <v>Full Payment</v>
      </c>
      <c r="N151" s="43">
        <v>125490.99</v>
      </c>
      <c r="O151" s="83">
        <v>45952</v>
      </c>
      <c r="P151" s="87" t="s">
        <v>2</v>
      </c>
    </row>
    <row r="152" spans="1:16" x14ac:dyDescent="0.3">
      <c r="A152" s="77" t="s">
        <v>101</v>
      </c>
      <c r="B152" s="80" t="s">
        <v>76</v>
      </c>
      <c r="C152" s="43">
        <v>82732</v>
      </c>
      <c r="D152" s="43">
        <v>20683</v>
      </c>
      <c r="E152" s="43">
        <v>62049</v>
      </c>
      <c r="F152" s="80" t="s">
        <v>72</v>
      </c>
      <c r="G152" s="83">
        <v>46070</v>
      </c>
      <c r="H152" s="83">
        <v>46082</v>
      </c>
      <c r="I152" s="4">
        <v>12</v>
      </c>
      <c r="J152" s="80" t="str">
        <f>TEXT(tblPayments[[#This Row],[Arrival]],"mmm")</f>
        <v>Feb</v>
      </c>
      <c r="K152" s="80">
        <f>MONTH(tblPayments[[#This Row],[Arrival]])</f>
        <v>2</v>
      </c>
      <c r="L152" s="80">
        <f>YEAR(tblPayments[[#This Row],[Arrival]])</f>
        <v>2026</v>
      </c>
      <c r="M152" s="80" t="str">
        <f>IF(tblPayments[[#This Row],[Balance]]=0,"Full Payment","Deposit")</f>
        <v>Deposit</v>
      </c>
      <c r="N152" s="43">
        <v>49184.92</v>
      </c>
      <c r="O152" s="83">
        <v>45981</v>
      </c>
      <c r="P152" s="87" t="s">
        <v>13</v>
      </c>
    </row>
    <row r="153" spans="1:16" x14ac:dyDescent="0.3">
      <c r="A153" s="77" t="s">
        <v>101</v>
      </c>
      <c r="B153" s="80" t="s">
        <v>76</v>
      </c>
      <c r="C153" s="43">
        <v>18894</v>
      </c>
      <c r="D153" s="43">
        <v>18894</v>
      </c>
      <c r="E153" s="43"/>
      <c r="F153" s="80" t="s">
        <v>70</v>
      </c>
      <c r="G153" s="83">
        <v>46070</v>
      </c>
      <c r="H153" s="83">
        <v>46074</v>
      </c>
      <c r="I153" s="4">
        <v>4</v>
      </c>
      <c r="J153" s="80" t="str">
        <f>TEXT(tblPayments[[#This Row],[Arrival]],"mmm")</f>
        <v>Feb</v>
      </c>
      <c r="K153" s="80">
        <f>MONTH(tblPayments[[#This Row],[Arrival]])</f>
        <v>2</v>
      </c>
      <c r="L153" s="80">
        <f>YEAR(tblPayments[[#This Row],[Arrival]])</f>
        <v>2026</v>
      </c>
      <c r="M153" s="80" t="str">
        <f>IF(tblPayments[[#This Row],[Balance]]=0,"Full Payment","Deposit")</f>
        <v>Full Payment</v>
      </c>
      <c r="N153" s="43">
        <v>11395</v>
      </c>
      <c r="O153" s="83">
        <v>45989</v>
      </c>
      <c r="P153" s="87" t="s">
        <v>2</v>
      </c>
    </row>
    <row r="154" spans="1:16" x14ac:dyDescent="0.3">
      <c r="A154" s="77" t="s">
        <v>101</v>
      </c>
      <c r="B154" s="80" t="s">
        <v>76</v>
      </c>
      <c r="C154" s="43">
        <v>20135</v>
      </c>
      <c r="D154" s="43">
        <v>25817.05</v>
      </c>
      <c r="E154" s="43"/>
      <c r="F154" s="80" t="s">
        <v>70</v>
      </c>
      <c r="G154" s="83">
        <v>46070</v>
      </c>
      <c r="H154" s="83">
        <v>46074</v>
      </c>
      <c r="I154" s="4">
        <v>4</v>
      </c>
      <c r="J154" s="80" t="str">
        <f>TEXT(tblPayments[[#This Row],[Arrival]],"mmm")</f>
        <v>Feb</v>
      </c>
      <c r="K154" s="80">
        <f>MONTH(tblPayments[[#This Row],[Arrival]])</f>
        <v>2</v>
      </c>
      <c r="L154" s="80">
        <f>YEAR(tblPayments[[#This Row],[Arrival]])</f>
        <v>2026</v>
      </c>
      <c r="M154" s="80" t="str">
        <f>IF(tblPayments[[#This Row],[Balance]]=0,"Full Payment","Deposit")</f>
        <v>Full Payment</v>
      </c>
      <c r="N154" s="43">
        <v>12751.84</v>
      </c>
      <c r="O154" s="83">
        <v>45446</v>
      </c>
      <c r="P154" s="87" t="s">
        <v>2</v>
      </c>
    </row>
    <row r="155" spans="1:16" x14ac:dyDescent="0.3">
      <c r="A155" s="77" t="s">
        <v>101</v>
      </c>
      <c r="B155" s="80" t="s">
        <v>76</v>
      </c>
      <c r="C155" s="43">
        <v>55754.75</v>
      </c>
      <c r="D155" s="43">
        <v>55754.75</v>
      </c>
      <c r="E155" s="43"/>
      <c r="F155" s="80" t="s">
        <v>70</v>
      </c>
      <c r="G155" s="83">
        <v>46071</v>
      </c>
      <c r="H155" s="83">
        <v>46086</v>
      </c>
      <c r="I155" s="4">
        <v>15</v>
      </c>
      <c r="J155" s="80" t="str">
        <f>TEXT(tblPayments[[#This Row],[Arrival]],"mmm")</f>
        <v>Feb</v>
      </c>
      <c r="K155" s="80">
        <f>MONTH(tblPayments[[#This Row],[Arrival]])</f>
        <v>2</v>
      </c>
      <c r="L155" s="80">
        <f>YEAR(tblPayments[[#This Row],[Arrival]])</f>
        <v>2026</v>
      </c>
      <c r="M155" s="80" t="str">
        <f>IF(tblPayments[[#This Row],[Balance]]=0,"Full Payment","Deposit")</f>
        <v>Full Payment</v>
      </c>
      <c r="N155" s="43">
        <v>33535.35</v>
      </c>
      <c r="O155" s="83">
        <v>45737</v>
      </c>
      <c r="P155" s="87" t="s">
        <v>2</v>
      </c>
    </row>
    <row r="156" spans="1:16" x14ac:dyDescent="0.3">
      <c r="A156" s="77" t="s">
        <v>101</v>
      </c>
      <c r="B156" s="80" t="s">
        <v>76</v>
      </c>
      <c r="C156" s="43">
        <v>24943.439999999999</v>
      </c>
      <c r="D156" s="43"/>
      <c r="E156" s="43">
        <v>24943.439999999999</v>
      </c>
      <c r="F156" s="80" t="s">
        <v>80</v>
      </c>
      <c r="G156" s="83">
        <v>46071</v>
      </c>
      <c r="H156" s="83">
        <v>46075</v>
      </c>
      <c r="I156" s="4">
        <v>4</v>
      </c>
      <c r="J156" s="80" t="str">
        <f>TEXT(tblPayments[[#This Row],[Arrival]],"mmm")</f>
        <v>Feb</v>
      </c>
      <c r="K156" s="80">
        <f>MONTH(tblPayments[[#This Row],[Arrival]])</f>
        <v>2</v>
      </c>
      <c r="L156" s="80">
        <f>YEAR(tblPayments[[#This Row],[Arrival]])</f>
        <v>2026</v>
      </c>
      <c r="M156" s="80" t="str">
        <f>IF(tblPayments[[#This Row],[Balance]]=0,"Full Payment","Deposit")</f>
        <v>Deposit</v>
      </c>
      <c r="N156" s="43">
        <v>15784.08</v>
      </c>
      <c r="O156" s="83">
        <v>45949</v>
      </c>
      <c r="P156" s="87" t="s">
        <v>9</v>
      </c>
    </row>
    <row r="157" spans="1:16" x14ac:dyDescent="0.3">
      <c r="A157" s="77" t="s">
        <v>101</v>
      </c>
      <c r="B157" s="80" t="s">
        <v>76</v>
      </c>
      <c r="C157" s="43">
        <v>106924.08</v>
      </c>
      <c r="D157" s="43">
        <v>106924.08</v>
      </c>
      <c r="E157" s="43"/>
      <c r="F157" s="80" t="s">
        <v>70</v>
      </c>
      <c r="G157" s="83">
        <v>46071</v>
      </c>
      <c r="H157" s="83">
        <v>46075</v>
      </c>
      <c r="I157" s="4">
        <v>4</v>
      </c>
      <c r="J157" s="80" t="str">
        <f>TEXT(tblPayments[[#This Row],[Arrival]],"mmm")</f>
        <v>Feb</v>
      </c>
      <c r="K157" s="80">
        <f>MONTH(tblPayments[[#This Row],[Arrival]])</f>
        <v>2</v>
      </c>
      <c r="L157" s="80">
        <f>YEAR(tblPayments[[#This Row],[Arrival]])</f>
        <v>2026</v>
      </c>
      <c r="M157" s="80" t="str">
        <f>IF(tblPayments[[#This Row],[Balance]]=0,"Full Payment","Deposit")</f>
        <v>Full Payment</v>
      </c>
      <c r="N157" s="43">
        <v>80656.36</v>
      </c>
      <c r="O157" s="83">
        <v>45939</v>
      </c>
      <c r="P157" s="87" t="s">
        <v>31</v>
      </c>
    </row>
    <row r="158" spans="1:16" x14ac:dyDescent="0.3">
      <c r="A158" s="77" t="s">
        <v>101</v>
      </c>
      <c r="B158" s="80" t="s">
        <v>76</v>
      </c>
      <c r="C158" s="43">
        <v>720</v>
      </c>
      <c r="D158" s="43"/>
      <c r="E158" s="43">
        <v>720</v>
      </c>
      <c r="F158" s="80" t="s">
        <v>82</v>
      </c>
      <c r="G158" s="83">
        <v>46071</v>
      </c>
      <c r="H158" s="83">
        <v>46101</v>
      </c>
      <c r="I158" s="4">
        <v>30</v>
      </c>
      <c r="J158" s="80" t="str">
        <f>TEXT(tblPayments[[#This Row],[Arrival]],"mmm")</f>
        <v>Feb</v>
      </c>
      <c r="K158" s="80">
        <f>MONTH(tblPayments[[#This Row],[Arrival]])</f>
        <v>2</v>
      </c>
      <c r="L158" s="80">
        <f>YEAR(tblPayments[[#This Row],[Arrival]])</f>
        <v>2026</v>
      </c>
      <c r="M158" s="80" t="str">
        <f>IF(tblPayments[[#This Row],[Balance]]=0,"Full Payment","Deposit")</f>
        <v>Deposit</v>
      </c>
      <c r="N158" s="43">
        <v>0</v>
      </c>
      <c r="O158" s="83">
        <v>45999</v>
      </c>
      <c r="P158" s="87" t="s">
        <v>2</v>
      </c>
    </row>
    <row r="159" spans="1:16" x14ac:dyDescent="0.3">
      <c r="A159" s="77" t="s">
        <v>101</v>
      </c>
      <c r="B159" s="80" t="s">
        <v>76</v>
      </c>
      <c r="C159" s="43">
        <v>38336</v>
      </c>
      <c r="D159" s="43">
        <v>38336</v>
      </c>
      <c r="E159" s="43"/>
      <c r="F159" s="80" t="s">
        <v>70</v>
      </c>
      <c r="G159" s="83">
        <v>46071</v>
      </c>
      <c r="H159" s="83">
        <v>46074</v>
      </c>
      <c r="I159" s="4">
        <v>3</v>
      </c>
      <c r="J159" s="80" t="str">
        <f>TEXT(tblPayments[[#This Row],[Arrival]],"mmm")</f>
        <v>Feb</v>
      </c>
      <c r="K159" s="80">
        <f>MONTH(tblPayments[[#This Row],[Arrival]])</f>
        <v>2</v>
      </c>
      <c r="L159" s="80">
        <f>YEAR(tblPayments[[#This Row],[Arrival]])</f>
        <v>2026</v>
      </c>
      <c r="M159" s="80" t="str">
        <f>IF(tblPayments[[#This Row],[Balance]]=0,"Full Payment","Deposit")</f>
        <v>Full Payment</v>
      </c>
      <c r="N159" s="43">
        <v>27048.959999999999</v>
      </c>
      <c r="O159" s="83">
        <v>45976</v>
      </c>
      <c r="P159" s="87" t="s">
        <v>31</v>
      </c>
    </row>
    <row r="160" spans="1:16" x14ac:dyDescent="0.3">
      <c r="A160" s="77" t="s">
        <v>101</v>
      </c>
      <c r="B160" s="80" t="s">
        <v>76</v>
      </c>
      <c r="C160" s="43">
        <v>63877.440000000002</v>
      </c>
      <c r="D160" s="43">
        <v>63877.440000000002</v>
      </c>
      <c r="E160" s="43"/>
      <c r="F160" s="80" t="s">
        <v>70</v>
      </c>
      <c r="G160" s="83">
        <v>46071</v>
      </c>
      <c r="H160" s="83">
        <v>46075</v>
      </c>
      <c r="I160" s="4">
        <v>4</v>
      </c>
      <c r="J160" s="80" t="str">
        <f>TEXT(tblPayments[[#This Row],[Arrival]],"mmm")</f>
        <v>Feb</v>
      </c>
      <c r="K160" s="80">
        <f>MONTH(tblPayments[[#This Row],[Arrival]])</f>
        <v>2</v>
      </c>
      <c r="L160" s="80">
        <f>YEAR(tblPayments[[#This Row],[Arrival]])</f>
        <v>2026</v>
      </c>
      <c r="M160" s="80" t="str">
        <f>IF(tblPayments[[#This Row],[Balance]]=0,"Full Payment","Deposit")</f>
        <v>Full Payment</v>
      </c>
      <c r="N160" s="43">
        <v>48103.96</v>
      </c>
      <c r="O160" s="83">
        <v>45939</v>
      </c>
      <c r="P160" s="87" t="s">
        <v>31</v>
      </c>
    </row>
    <row r="161" spans="1:16" x14ac:dyDescent="0.3">
      <c r="A161" s="77" t="s">
        <v>101</v>
      </c>
      <c r="B161" s="80" t="s">
        <v>76</v>
      </c>
      <c r="C161" s="43">
        <v>114960</v>
      </c>
      <c r="D161" s="43">
        <v>114960</v>
      </c>
      <c r="E161" s="43"/>
      <c r="F161" s="80" t="s">
        <v>70</v>
      </c>
      <c r="G161" s="83">
        <v>46072</v>
      </c>
      <c r="H161" s="83">
        <v>46082</v>
      </c>
      <c r="I161" s="4">
        <v>10</v>
      </c>
      <c r="J161" s="80" t="str">
        <f>TEXT(tblPayments[[#This Row],[Arrival]],"mmm")</f>
        <v>Feb</v>
      </c>
      <c r="K161" s="80">
        <f>MONTH(tblPayments[[#This Row],[Arrival]])</f>
        <v>2</v>
      </c>
      <c r="L161" s="80">
        <f>YEAR(tblPayments[[#This Row],[Arrival]])</f>
        <v>2026</v>
      </c>
      <c r="M161" s="80" t="str">
        <f>IF(tblPayments[[#This Row],[Balance]]=0,"Full Payment","Deposit")</f>
        <v>Full Payment</v>
      </c>
      <c r="N161" s="43">
        <v>72637.899999999994</v>
      </c>
      <c r="O161" s="83">
        <v>45777</v>
      </c>
      <c r="P161" s="87" t="s">
        <v>22</v>
      </c>
    </row>
    <row r="162" spans="1:16" x14ac:dyDescent="0.3">
      <c r="A162" s="77" t="s">
        <v>101</v>
      </c>
      <c r="B162" s="80" t="s">
        <v>76</v>
      </c>
      <c r="C162" s="43">
        <v>50967.9</v>
      </c>
      <c r="D162" s="43"/>
      <c r="E162" s="43">
        <v>50967.9</v>
      </c>
      <c r="F162" s="80" t="s">
        <v>75</v>
      </c>
      <c r="G162" s="83">
        <v>46072</v>
      </c>
      <c r="H162" s="83">
        <v>46086</v>
      </c>
      <c r="I162" s="4">
        <v>14</v>
      </c>
      <c r="J162" s="80" t="str">
        <f>TEXT(tblPayments[[#This Row],[Arrival]],"mmm")</f>
        <v>Feb</v>
      </c>
      <c r="K162" s="80">
        <f>MONTH(tblPayments[[#This Row],[Arrival]])</f>
        <v>2</v>
      </c>
      <c r="L162" s="80">
        <f>YEAR(tblPayments[[#This Row],[Arrival]])</f>
        <v>2026</v>
      </c>
      <c r="M162" s="80" t="str">
        <f>IF(tblPayments[[#This Row],[Balance]]=0,"Full Payment","Deposit")</f>
        <v>Deposit</v>
      </c>
      <c r="N162" s="43">
        <v>30467.64</v>
      </c>
      <c r="O162" s="83">
        <v>45757</v>
      </c>
      <c r="P162" s="87" t="s">
        <v>18</v>
      </c>
    </row>
    <row r="163" spans="1:16" x14ac:dyDescent="0.3">
      <c r="A163" s="77" t="s">
        <v>101</v>
      </c>
      <c r="B163" s="80" t="s">
        <v>76</v>
      </c>
      <c r="C163" s="43"/>
      <c r="D163" s="43"/>
      <c r="E163" s="43"/>
      <c r="F163" s="80" t="s">
        <v>73</v>
      </c>
      <c r="G163" s="83">
        <v>46100</v>
      </c>
      <c r="H163" s="83">
        <v>46102</v>
      </c>
      <c r="I163" s="4">
        <v>2</v>
      </c>
      <c r="J163" s="80" t="str">
        <f>TEXT(tblPayments[[#This Row],[Arrival]],"mmm")</f>
        <v>Mar</v>
      </c>
      <c r="K163" s="80">
        <f>MONTH(tblPayments[[#This Row],[Arrival]])</f>
        <v>3</v>
      </c>
      <c r="L163" s="80">
        <f>YEAR(tblPayments[[#This Row],[Arrival]])</f>
        <v>2026</v>
      </c>
      <c r="M163" s="80" t="str">
        <f>IF(tblPayments[[#This Row],[Balance]]=0,"Full Payment","Deposit")</f>
        <v>Full Payment</v>
      </c>
      <c r="N163" s="43"/>
      <c r="O163" s="83"/>
      <c r="P163" s="87"/>
    </row>
    <row r="164" spans="1:16" x14ac:dyDescent="0.3">
      <c r="A164" s="77" t="s">
        <v>101</v>
      </c>
      <c r="B164" s="80" t="s">
        <v>76</v>
      </c>
      <c r="C164" s="43">
        <v>18392</v>
      </c>
      <c r="D164" s="43">
        <v>18392</v>
      </c>
      <c r="E164" s="43"/>
      <c r="F164" s="80" t="s">
        <v>70</v>
      </c>
      <c r="G164" s="83">
        <v>46073</v>
      </c>
      <c r="H164" s="83">
        <v>46083</v>
      </c>
      <c r="I164" s="4">
        <v>10</v>
      </c>
      <c r="J164" s="80" t="str">
        <f>TEXT(tblPayments[[#This Row],[Arrival]],"mmm")</f>
        <v>Feb</v>
      </c>
      <c r="K164" s="80">
        <f>MONTH(tblPayments[[#This Row],[Arrival]])</f>
        <v>2</v>
      </c>
      <c r="L164" s="80">
        <f>YEAR(tblPayments[[#This Row],[Arrival]])</f>
        <v>2026</v>
      </c>
      <c r="M164" s="80" t="str">
        <f>IF(tblPayments[[#This Row],[Balance]]=0,"Full Payment","Deposit")</f>
        <v>Full Payment</v>
      </c>
      <c r="N164" s="43">
        <v>11073.8</v>
      </c>
      <c r="O164" s="83">
        <v>45828</v>
      </c>
      <c r="P164" s="87" t="s">
        <v>2</v>
      </c>
    </row>
    <row r="165" spans="1:16" x14ac:dyDescent="0.3">
      <c r="A165" s="77" t="s">
        <v>101</v>
      </c>
      <c r="B165" s="80" t="s">
        <v>76</v>
      </c>
      <c r="C165" s="43">
        <v>18392</v>
      </c>
      <c r="D165" s="43">
        <v>18392</v>
      </c>
      <c r="E165" s="43"/>
      <c r="F165" s="80" t="s">
        <v>70</v>
      </c>
      <c r="G165" s="83">
        <v>46073</v>
      </c>
      <c r="H165" s="83">
        <v>46083</v>
      </c>
      <c r="I165" s="4">
        <v>10</v>
      </c>
      <c r="J165" s="80" t="str">
        <f>TEXT(tblPayments[[#This Row],[Arrival]],"mmm")</f>
        <v>Feb</v>
      </c>
      <c r="K165" s="80">
        <f>MONTH(tblPayments[[#This Row],[Arrival]])</f>
        <v>2</v>
      </c>
      <c r="L165" s="80">
        <f>YEAR(tblPayments[[#This Row],[Arrival]])</f>
        <v>2026</v>
      </c>
      <c r="M165" s="80" t="str">
        <f>IF(tblPayments[[#This Row],[Balance]]=0,"Full Payment","Deposit")</f>
        <v>Full Payment</v>
      </c>
      <c r="N165" s="43">
        <v>11073.8</v>
      </c>
      <c r="O165" s="83">
        <v>45828</v>
      </c>
      <c r="P165" s="87" t="s">
        <v>2</v>
      </c>
    </row>
    <row r="166" spans="1:16" x14ac:dyDescent="0.3">
      <c r="A166" s="77" t="s">
        <v>101</v>
      </c>
      <c r="B166" s="80" t="s">
        <v>76</v>
      </c>
      <c r="C166" s="43">
        <v>70863.92</v>
      </c>
      <c r="D166" s="43">
        <v>17121.98</v>
      </c>
      <c r="E166" s="43">
        <v>53741.94</v>
      </c>
      <c r="F166" s="80" t="s">
        <v>72</v>
      </c>
      <c r="G166" s="83">
        <v>46073</v>
      </c>
      <c r="H166" s="83">
        <v>46081</v>
      </c>
      <c r="I166" s="4">
        <v>8</v>
      </c>
      <c r="J166" s="80" t="str">
        <f>TEXT(tblPayments[[#This Row],[Arrival]],"mmm")</f>
        <v>Feb</v>
      </c>
      <c r="K166" s="80">
        <f>MONTH(tblPayments[[#This Row],[Arrival]])</f>
        <v>2</v>
      </c>
      <c r="L166" s="80">
        <f>YEAR(tblPayments[[#This Row],[Arrival]])</f>
        <v>2026</v>
      </c>
      <c r="M166" s="80" t="str">
        <f>IF(tblPayments[[#This Row],[Balance]]=0,"Full Payment","Deposit")</f>
        <v>Deposit</v>
      </c>
      <c r="N166" s="43">
        <v>45798.16</v>
      </c>
      <c r="O166" s="83">
        <v>45731</v>
      </c>
      <c r="P166" s="87" t="s">
        <v>2</v>
      </c>
    </row>
    <row r="167" spans="1:16" x14ac:dyDescent="0.3">
      <c r="A167" s="77" t="s">
        <v>101</v>
      </c>
      <c r="B167" s="80" t="s">
        <v>76</v>
      </c>
      <c r="C167" s="43">
        <v>9011.1200000000008</v>
      </c>
      <c r="D167" s="43">
        <v>9011.1200000000008</v>
      </c>
      <c r="E167" s="43"/>
      <c r="F167" s="80" t="s">
        <v>70</v>
      </c>
      <c r="G167" s="83">
        <v>46073</v>
      </c>
      <c r="H167" s="83">
        <v>46075</v>
      </c>
      <c r="I167" s="4">
        <v>2</v>
      </c>
      <c r="J167" s="80" t="str">
        <f>TEXT(tblPayments[[#This Row],[Arrival]],"mmm")</f>
        <v>Feb</v>
      </c>
      <c r="K167" s="80">
        <f>MONTH(tblPayments[[#This Row],[Arrival]])</f>
        <v>2</v>
      </c>
      <c r="L167" s="80">
        <f>YEAR(tblPayments[[#This Row],[Arrival]])</f>
        <v>2026</v>
      </c>
      <c r="M167" s="80" t="str">
        <f>IF(tblPayments[[#This Row],[Balance]]=0,"Full Payment","Deposit")</f>
        <v>Full Payment</v>
      </c>
      <c r="N167" s="43">
        <v>4504.82</v>
      </c>
      <c r="O167" s="83">
        <v>45936</v>
      </c>
      <c r="P167" s="87" t="s">
        <v>35</v>
      </c>
    </row>
    <row r="168" spans="1:16" x14ac:dyDescent="0.3">
      <c r="A168" s="77" t="s">
        <v>101</v>
      </c>
      <c r="B168" s="80" t="s">
        <v>76</v>
      </c>
      <c r="C168" s="43">
        <v>35224</v>
      </c>
      <c r="D168" s="43"/>
      <c r="E168" s="43">
        <v>35224</v>
      </c>
      <c r="F168" s="80" t="s">
        <v>75</v>
      </c>
      <c r="G168" s="83">
        <v>46073</v>
      </c>
      <c r="H168" s="83">
        <v>46081</v>
      </c>
      <c r="I168" s="4">
        <v>8</v>
      </c>
      <c r="J168" s="80" t="str">
        <f>TEXT(tblPayments[[#This Row],[Arrival]],"mmm")</f>
        <v>Feb</v>
      </c>
      <c r="K168" s="80">
        <f>MONTH(tblPayments[[#This Row],[Arrival]])</f>
        <v>2</v>
      </c>
      <c r="L168" s="80">
        <f>YEAR(tblPayments[[#This Row],[Arrival]])</f>
        <v>2026</v>
      </c>
      <c r="M168" s="80" t="str">
        <f>IF(tblPayments[[#This Row],[Balance]]=0,"Full Payment","Deposit")</f>
        <v>Deposit</v>
      </c>
      <c r="N168" s="43">
        <v>19294.48</v>
      </c>
      <c r="O168" s="83">
        <v>45793</v>
      </c>
      <c r="P168" s="87" t="s">
        <v>38</v>
      </c>
    </row>
    <row r="169" spans="1:16" x14ac:dyDescent="0.3">
      <c r="A169" s="77" t="s">
        <v>101</v>
      </c>
      <c r="B169" s="80" t="s">
        <v>76</v>
      </c>
      <c r="C169" s="43">
        <v>7360</v>
      </c>
      <c r="D169" s="43"/>
      <c r="E169" s="43">
        <v>7360</v>
      </c>
      <c r="F169" s="80" t="s">
        <v>75</v>
      </c>
      <c r="G169" s="83">
        <v>46073</v>
      </c>
      <c r="H169" s="83">
        <v>46074</v>
      </c>
      <c r="I169" s="4">
        <v>1</v>
      </c>
      <c r="J169" s="80" t="str">
        <f>TEXT(tblPayments[[#This Row],[Arrival]],"mmm")</f>
        <v>Feb</v>
      </c>
      <c r="K169" s="80">
        <f>MONTH(tblPayments[[#This Row],[Arrival]])</f>
        <v>2</v>
      </c>
      <c r="L169" s="80">
        <f>YEAR(tblPayments[[#This Row],[Arrival]])</f>
        <v>2026</v>
      </c>
      <c r="M169" s="80" t="str">
        <f>IF(tblPayments[[#This Row],[Balance]]=0,"Full Payment","Deposit")</f>
        <v>Deposit</v>
      </c>
      <c r="N169" s="43">
        <v>2867.13</v>
      </c>
      <c r="O169" s="83">
        <v>45877</v>
      </c>
      <c r="P169" s="87" t="s">
        <v>2</v>
      </c>
    </row>
    <row r="170" spans="1:16" x14ac:dyDescent="0.3">
      <c r="A170" s="77" t="s">
        <v>101</v>
      </c>
      <c r="B170" s="80" t="s">
        <v>76</v>
      </c>
      <c r="C170" s="43">
        <v>59272</v>
      </c>
      <c r="D170" s="43">
        <v>29424</v>
      </c>
      <c r="E170" s="43">
        <v>29848</v>
      </c>
      <c r="F170" s="80" t="s">
        <v>72</v>
      </c>
      <c r="G170" s="83">
        <v>46073</v>
      </c>
      <c r="H170" s="83">
        <v>46087</v>
      </c>
      <c r="I170" s="4">
        <v>14</v>
      </c>
      <c r="J170" s="80" t="str">
        <f>TEXT(tblPayments[[#This Row],[Arrival]],"mmm")</f>
        <v>Feb</v>
      </c>
      <c r="K170" s="80">
        <f>MONTH(tblPayments[[#This Row],[Arrival]])</f>
        <v>2</v>
      </c>
      <c r="L170" s="80">
        <f>YEAR(tblPayments[[#This Row],[Arrival]])</f>
        <v>2026</v>
      </c>
      <c r="M170" s="80" t="str">
        <f>IF(tblPayments[[#This Row],[Balance]]=0,"Full Payment","Deposit")</f>
        <v>Deposit</v>
      </c>
      <c r="N170" s="43">
        <v>33765.339999999997</v>
      </c>
      <c r="O170" s="83">
        <v>45793</v>
      </c>
      <c r="P170" s="87" t="s">
        <v>2</v>
      </c>
    </row>
    <row r="171" spans="1:16" x14ac:dyDescent="0.3">
      <c r="A171" s="77" t="s">
        <v>101</v>
      </c>
      <c r="B171" s="80" t="s">
        <v>76</v>
      </c>
      <c r="C171" s="43">
        <v>21101</v>
      </c>
      <c r="D171" s="43">
        <v>21101</v>
      </c>
      <c r="E171" s="43"/>
      <c r="F171" s="80" t="s">
        <v>70</v>
      </c>
      <c r="G171" s="83">
        <v>46074</v>
      </c>
      <c r="H171" s="83">
        <v>46082</v>
      </c>
      <c r="I171" s="4">
        <v>8</v>
      </c>
      <c r="J171" s="80" t="str">
        <f>TEXT(tblPayments[[#This Row],[Arrival]],"mmm")</f>
        <v>Feb</v>
      </c>
      <c r="K171" s="80">
        <f>MONTH(tblPayments[[#This Row],[Arrival]])</f>
        <v>2</v>
      </c>
      <c r="L171" s="80">
        <f>YEAR(tblPayments[[#This Row],[Arrival]])</f>
        <v>2026</v>
      </c>
      <c r="M171" s="80" t="str">
        <f>IF(tblPayments[[#This Row],[Balance]]=0,"Full Payment","Deposit")</f>
        <v>Full Payment</v>
      </c>
      <c r="N171" s="43">
        <v>9730.34</v>
      </c>
      <c r="O171" s="83">
        <v>45764</v>
      </c>
      <c r="P171" s="87" t="s">
        <v>22</v>
      </c>
    </row>
    <row r="172" spans="1:16" x14ac:dyDescent="0.3">
      <c r="A172" s="77" t="s">
        <v>101</v>
      </c>
      <c r="B172" s="80" t="s">
        <v>76</v>
      </c>
      <c r="C172" s="43">
        <v>81730.45</v>
      </c>
      <c r="D172" s="43">
        <v>72974.62</v>
      </c>
      <c r="E172" s="43">
        <v>8755.83</v>
      </c>
      <c r="F172" s="80" t="s">
        <v>72</v>
      </c>
      <c r="G172" s="83">
        <v>46074</v>
      </c>
      <c r="H172" s="83">
        <v>46081</v>
      </c>
      <c r="I172" s="4">
        <v>7</v>
      </c>
      <c r="J172" s="80" t="str">
        <f>TEXT(tblPayments[[#This Row],[Arrival]],"mmm")</f>
        <v>Feb</v>
      </c>
      <c r="K172" s="80">
        <f>MONTH(tblPayments[[#This Row],[Arrival]])</f>
        <v>2</v>
      </c>
      <c r="L172" s="80">
        <f>YEAR(tblPayments[[#This Row],[Arrival]])</f>
        <v>2026</v>
      </c>
      <c r="M172" s="80" t="str">
        <f>IF(tblPayments[[#This Row],[Balance]]=0,"Full Payment","Deposit")</f>
        <v>Deposit</v>
      </c>
      <c r="N172" s="43">
        <v>54619.95</v>
      </c>
      <c r="O172" s="83">
        <v>45876</v>
      </c>
      <c r="P172" s="87" t="s">
        <v>18</v>
      </c>
    </row>
    <row r="173" spans="1:16" x14ac:dyDescent="0.3">
      <c r="A173" s="77" t="s">
        <v>101</v>
      </c>
      <c r="B173" s="80" t="s">
        <v>76</v>
      </c>
      <c r="C173" s="43">
        <v>25101</v>
      </c>
      <c r="D173" s="43">
        <v>25101</v>
      </c>
      <c r="E173" s="43"/>
      <c r="F173" s="80" t="s">
        <v>70</v>
      </c>
      <c r="G173" s="83">
        <v>46074</v>
      </c>
      <c r="H173" s="83">
        <v>46082</v>
      </c>
      <c r="I173" s="4">
        <v>8</v>
      </c>
      <c r="J173" s="80" t="str">
        <f>TEXT(tblPayments[[#This Row],[Arrival]],"mmm")</f>
        <v>Feb</v>
      </c>
      <c r="K173" s="80">
        <f>MONTH(tblPayments[[#This Row],[Arrival]])</f>
        <v>2</v>
      </c>
      <c r="L173" s="80">
        <f>YEAR(tblPayments[[#This Row],[Arrival]])</f>
        <v>2026</v>
      </c>
      <c r="M173" s="80" t="str">
        <f>IF(tblPayments[[#This Row],[Balance]]=0,"Full Payment","Deposit")</f>
        <v>Full Payment</v>
      </c>
      <c r="N173" s="43">
        <v>12838.34</v>
      </c>
      <c r="O173" s="83">
        <v>45764</v>
      </c>
      <c r="P173" s="87" t="s">
        <v>22</v>
      </c>
    </row>
    <row r="174" spans="1:16" x14ac:dyDescent="0.3">
      <c r="A174" s="77" t="s">
        <v>101</v>
      </c>
      <c r="B174" s="80" t="s">
        <v>76</v>
      </c>
      <c r="C174" s="43"/>
      <c r="D174" s="43"/>
      <c r="E174" s="43"/>
      <c r="F174" s="80" t="s">
        <v>73</v>
      </c>
      <c r="G174" s="83">
        <v>46074</v>
      </c>
      <c r="H174" s="83">
        <v>46077</v>
      </c>
      <c r="I174" s="4">
        <v>3</v>
      </c>
      <c r="J174" s="80" t="str">
        <f>TEXT(tblPayments[[#This Row],[Arrival]],"mmm")</f>
        <v>Feb</v>
      </c>
      <c r="K174" s="80">
        <f>MONTH(tblPayments[[#This Row],[Arrival]])</f>
        <v>2</v>
      </c>
      <c r="L174" s="80">
        <f>YEAR(tblPayments[[#This Row],[Arrival]])</f>
        <v>2026</v>
      </c>
      <c r="M174" s="80" t="str">
        <f>IF(tblPayments[[#This Row],[Balance]]=0,"Full Payment","Deposit")</f>
        <v>Full Payment</v>
      </c>
      <c r="N174" s="43">
        <v>0</v>
      </c>
      <c r="O174" s="83">
        <v>45943</v>
      </c>
      <c r="P174" s="87" t="s">
        <v>14</v>
      </c>
    </row>
    <row r="175" spans="1:16" x14ac:dyDescent="0.3">
      <c r="A175" s="77" t="s">
        <v>101</v>
      </c>
      <c r="B175" s="80" t="s">
        <v>76</v>
      </c>
      <c r="C175" s="43">
        <v>34844</v>
      </c>
      <c r="D175" s="43"/>
      <c r="E175" s="43">
        <v>34844</v>
      </c>
      <c r="F175" s="80" t="s">
        <v>75</v>
      </c>
      <c r="G175" s="83">
        <v>46074</v>
      </c>
      <c r="H175" s="83">
        <v>46082</v>
      </c>
      <c r="I175" s="4">
        <v>8</v>
      </c>
      <c r="J175" s="80" t="str">
        <f>TEXT(tblPayments[[#This Row],[Arrival]],"mmm")</f>
        <v>Feb</v>
      </c>
      <c r="K175" s="80">
        <f>MONTH(tblPayments[[#This Row],[Arrival]])</f>
        <v>2</v>
      </c>
      <c r="L175" s="80">
        <f>YEAR(tblPayments[[#This Row],[Arrival]])</f>
        <v>2026</v>
      </c>
      <c r="M175" s="80" t="str">
        <f>IF(tblPayments[[#This Row],[Balance]]=0,"Full Payment","Deposit")</f>
        <v>Deposit</v>
      </c>
      <c r="N175" s="43">
        <v>18882.8</v>
      </c>
      <c r="O175" s="83">
        <v>45988</v>
      </c>
      <c r="P175" s="87" t="s">
        <v>22</v>
      </c>
    </row>
    <row r="176" spans="1:16" x14ac:dyDescent="0.3">
      <c r="A176" s="77" t="s">
        <v>101</v>
      </c>
      <c r="B176" s="80" t="s">
        <v>76</v>
      </c>
      <c r="C176" s="43">
        <v>6085.49</v>
      </c>
      <c r="D176" s="43"/>
      <c r="E176" s="43">
        <v>6085.49</v>
      </c>
      <c r="F176" s="80" t="s">
        <v>79</v>
      </c>
      <c r="G176" s="83">
        <v>46075</v>
      </c>
      <c r="H176" s="83">
        <v>46076</v>
      </c>
      <c r="I176" s="4">
        <v>1</v>
      </c>
      <c r="J176" s="80" t="str">
        <f>TEXT(tblPayments[[#This Row],[Arrival]],"mmm")</f>
        <v>Feb</v>
      </c>
      <c r="K176" s="80">
        <f>MONTH(tblPayments[[#This Row],[Arrival]])</f>
        <v>2</v>
      </c>
      <c r="L176" s="80">
        <f>YEAR(tblPayments[[#This Row],[Arrival]])</f>
        <v>2026</v>
      </c>
      <c r="M176" s="80" t="str">
        <f>IF(tblPayments[[#This Row],[Balance]]=0,"Full Payment","Deposit")</f>
        <v>Deposit</v>
      </c>
      <c r="N176" s="43">
        <v>1562.93</v>
      </c>
      <c r="O176" s="83">
        <v>45763</v>
      </c>
      <c r="P176" s="87" t="s">
        <v>2</v>
      </c>
    </row>
    <row r="177" spans="1:16" x14ac:dyDescent="0.3">
      <c r="A177" s="77" t="s">
        <v>101</v>
      </c>
      <c r="B177" s="80" t="s">
        <v>76</v>
      </c>
      <c r="C177" s="43">
        <v>33896</v>
      </c>
      <c r="D177" s="43">
        <v>33896</v>
      </c>
      <c r="E177" s="43"/>
      <c r="F177" s="80" t="s">
        <v>70</v>
      </c>
      <c r="G177" s="83">
        <v>46075</v>
      </c>
      <c r="H177" s="83">
        <v>46083</v>
      </c>
      <c r="I177" s="4">
        <v>8</v>
      </c>
      <c r="J177" s="80" t="str">
        <f>TEXT(tblPayments[[#This Row],[Arrival]],"mmm")</f>
        <v>Feb</v>
      </c>
      <c r="K177" s="80">
        <f>MONTH(tblPayments[[#This Row],[Arrival]])</f>
        <v>2</v>
      </c>
      <c r="L177" s="80">
        <f>YEAR(tblPayments[[#This Row],[Arrival]])</f>
        <v>2026</v>
      </c>
      <c r="M177" s="80" t="str">
        <f>IF(tblPayments[[#This Row],[Balance]]=0,"Full Payment","Deposit")</f>
        <v>Full Payment</v>
      </c>
      <c r="N177" s="43">
        <v>22942.639999999999</v>
      </c>
      <c r="O177" s="83">
        <v>45982</v>
      </c>
      <c r="P177" s="87" t="s">
        <v>18</v>
      </c>
    </row>
    <row r="178" spans="1:16" x14ac:dyDescent="0.3">
      <c r="A178" s="77" t="s">
        <v>101</v>
      </c>
      <c r="B178" s="80" t="s">
        <v>76</v>
      </c>
      <c r="C178" s="43">
        <v>46518.58</v>
      </c>
      <c r="D178" s="43">
        <v>46518.58</v>
      </c>
      <c r="E178" s="43"/>
      <c r="F178" s="80" t="s">
        <v>70</v>
      </c>
      <c r="G178" s="83">
        <v>46075</v>
      </c>
      <c r="H178" s="83">
        <v>46080</v>
      </c>
      <c r="I178" s="4">
        <v>5</v>
      </c>
      <c r="J178" s="80" t="str">
        <f>TEXT(tblPayments[[#This Row],[Arrival]],"mmm")</f>
        <v>Feb</v>
      </c>
      <c r="K178" s="80">
        <f>MONTH(tblPayments[[#This Row],[Arrival]])</f>
        <v>2</v>
      </c>
      <c r="L178" s="80">
        <f>YEAR(tblPayments[[#This Row],[Arrival]])</f>
        <v>2026</v>
      </c>
      <c r="M178" s="80" t="str">
        <f>IF(tblPayments[[#This Row],[Balance]]=0,"Full Payment","Deposit")</f>
        <v>Full Payment</v>
      </c>
      <c r="N178" s="43">
        <v>23634.85</v>
      </c>
      <c r="O178" s="83">
        <v>45989</v>
      </c>
      <c r="P178" s="87" t="s">
        <v>39</v>
      </c>
    </row>
    <row r="179" spans="1:16" x14ac:dyDescent="0.3">
      <c r="A179" s="77" t="s">
        <v>101</v>
      </c>
      <c r="B179" s="80" t="s">
        <v>76</v>
      </c>
      <c r="C179" s="43">
        <v>41191.370000000003</v>
      </c>
      <c r="D179" s="43"/>
      <c r="E179" s="43">
        <v>41191.370000000003</v>
      </c>
      <c r="F179" s="80" t="s">
        <v>79</v>
      </c>
      <c r="G179" s="83">
        <v>46076</v>
      </c>
      <c r="H179" s="83">
        <v>46089</v>
      </c>
      <c r="I179" s="4">
        <v>13</v>
      </c>
      <c r="J179" s="80" t="str">
        <f>TEXT(tblPayments[[#This Row],[Arrival]],"mmm")</f>
        <v>Feb</v>
      </c>
      <c r="K179" s="80">
        <f>MONTH(tblPayments[[#This Row],[Arrival]])</f>
        <v>2</v>
      </c>
      <c r="L179" s="80">
        <f>YEAR(tblPayments[[#This Row],[Arrival]])</f>
        <v>2026</v>
      </c>
      <c r="M179" s="80" t="str">
        <f>IF(tblPayments[[#This Row],[Balance]]=0,"Full Payment","Deposit")</f>
        <v>Deposit</v>
      </c>
      <c r="N179" s="43">
        <v>20318.09</v>
      </c>
      <c r="O179" s="83">
        <v>45761</v>
      </c>
      <c r="P179" s="87" t="s">
        <v>2</v>
      </c>
    </row>
    <row r="180" spans="1:16" x14ac:dyDescent="0.3">
      <c r="A180" s="77" t="s">
        <v>101</v>
      </c>
      <c r="B180" s="80" t="s">
        <v>76</v>
      </c>
      <c r="C180" s="43"/>
      <c r="D180" s="43"/>
      <c r="E180" s="43"/>
      <c r="F180" s="80" t="s">
        <v>73</v>
      </c>
      <c r="G180" s="83">
        <v>46076</v>
      </c>
      <c r="H180" s="83">
        <v>46096</v>
      </c>
      <c r="I180" s="4">
        <v>20</v>
      </c>
      <c r="J180" s="80" t="str">
        <f>TEXT(tblPayments[[#This Row],[Arrival]],"mmm")</f>
        <v>Feb</v>
      </c>
      <c r="K180" s="80">
        <f>MONTH(tblPayments[[#This Row],[Arrival]])</f>
        <v>2</v>
      </c>
      <c r="L180" s="80">
        <f>YEAR(tblPayments[[#This Row],[Arrival]])</f>
        <v>2026</v>
      </c>
      <c r="M180" s="80" t="str">
        <f>IF(tblPayments[[#This Row],[Balance]]=0,"Full Payment","Deposit")</f>
        <v>Full Payment</v>
      </c>
      <c r="N180" s="43">
        <v>0</v>
      </c>
      <c r="O180" s="83">
        <v>45961</v>
      </c>
      <c r="P180" s="87" t="s">
        <v>1</v>
      </c>
    </row>
    <row r="181" spans="1:16" x14ac:dyDescent="0.3">
      <c r="A181" s="77" t="s">
        <v>101</v>
      </c>
      <c r="B181" s="80" t="s">
        <v>76</v>
      </c>
      <c r="C181" s="43">
        <v>2100</v>
      </c>
      <c r="D181" s="43"/>
      <c r="E181" s="43">
        <v>2100</v>
      </c>
      <c r="F181" s="80" t="s">
        <v>75</v>
      </c>
      <c r="G181" s="83">
        <v>46077</v>
      </c>
      <c r="H181" s="83">
        <v>46112</v>
      </c>
      <c r="I181" s="4">
        <v>35</v>
      </c>
      <c r="J181" s="80" t="str">
        <f>TEXT(tblPayments[[#This Row],[Arrival]],"mmm")</f>
        <v>Feb</v>
      </c>
      <c r="K181" s="80">
        <f>MONTH(tblPayments[[#This Row],[Arrival]])</f>
        <v>2</v>
      </c>
      <c r="L181" s="80">
        <f>YEAR(tblPayments[[#This Row],[Arrival]])</f>
        <v>2026</v>
      </c>
      <c r="M181" s="80" t="str">
        <f>IF(tblPayments[[#This Row],[Balance]]=0,"Full Payment","Deposit")</f>
        <v>Deposit</v>
      </c>
      <c r="N181" s="43">
        <v>0</v>
      </c>
      <c r="O181" s="83">
        <v>45985</v>
      </c>
      <c r="P181" s="87" t="s">
        <v>33</v>
      </c>
    </row>
    <row r="182" spans="1:16" x14ac:dyDescent="0.3">
      <c r="A182" s="77" t="s">
        <v>101</v>
      </c>
      <c r="B182" s="80" t="s">
        <v>76</v>
      </c>
      <c r="C182" s="43">
        <v>28162</v>
      </c>
      <c r="D182" s="43">
        <v>28162</v>
      </c>
      <c r="E182" s="43"/>
      <c r="F182" s="80" t="s">
        <v>70</v>
      </c>
      <c r="G182" s="83">
        <v>46078</v>
      </c>
      <c r="H182" s="83">
        <v>46085</v>
      </c>
      <c r="I182" s="4">
        <v>7</v>
      </c>
      <c r="J182" s="80" t="str">
        <f>TEXT(tblPayments[[#This Row],[Arrival]],"mmm")</f>
        <v>Feb</v>
      </c>
      <c r="K182" s="80">
        <f>MONTH(tblPayments[[#This Row],[Arrival]])</f>
        <v>2</v>
      </c>
      <c r="L182" s="80">
        <f>YEAR(tblPayments[[#This Row],[Arrival]])</f>
        <v>2026</v>
      </c>
      <c r="M182" s="80" t="str">
        <f>IF(tblPayments[[#This Row],[Balance]]=0,"Full Payment","Deposit")</f>
        <v>Full Payment</v>
      </c>
      <c r="N182" s="43">
        <v>17950.59</v>
      </c>
      <c r="O182" s="83">
        <v>45971</v>
      </c>
      <c r="P182" s="87" t="s">
        <v>1</v>
      </c>
    </row>
    <row r="183" spans="1:16" x14ac:dyDescent="0.3">
      <c r="A183" s="77" t="s">
        <v>101</v>
      </c>
      <c r="B183" s="80" t="s">
        <v>76</v>
      </c>
      <c r="C183" s="43">
        <v>23200</v>
      </c>
      <c r="D183" s="43"/>
      <c r="E183" s="43">
        <v>23200</v>
      </c>
      <c r="F183" s="80" t="s">
        <v>75</v>
      </c>
      <c r="G183" s="83">
        <v>46078</v>
      </c>
      <c r="H183" s="83">
        <v>46083</v>
      </c>
      <c r="I183" s="4">
        <v>5</v>
      </c>
      <c r="J183" s="80" t="str">
        <f>TEXT(tblPayments[[#This Row],[Arrival]],"mmm")</f>
        <v>Feb</v>
      </c>
      <c r="K183" s="80">
        <f>MONTH(tblPayments[[#This Row],[Arrival]])</f>
        <v>2</v>
      </c>
      <c r="L183" s="80">
        <f>YEAR(tblPayments[[#This Row],[Arrival]])</f>
        <v>2026</v>
      </c>
      <c r="M183" s="80" t="str">
        <f>IF(tblPayments[[#This Row],[Balance]]=0,"Full Payment","Deposit")</f>
        <v>Deposit</v>
      </c>
      <c r="N183" s="43">
        <v>12059.05</v>
      </c>
      <c r="O183" s="83">
        <v>45806</v>
      </c>
      <c r="P183" s="87" t="s">
        <v>2</v>
      </c>
    </row>
    <row r="184" spans="1:16" x14ac:dyDescent="0.3">
      <c r="A184" s="77" t="s">
        <v>101</v>
      </c>
      <c r="B184" s="80" t="s">
        <v>76</v>
      </c>
      <c r="C184" s="43">
        <v>34000</v>
      </c>
      <c r="D184" s="43"/>
      <c r="E184" s="43">
        <v>34000</v>
      </c>
      <c r="F184" s="80" t="s">
        <v>75</v>
      </c>
      <c r="G184" s="83">
        <v>46080</v>
      </c>
      <c r="H184" s="83">
        <v>46085</v>
      </c>
      <c r="I184" s="4">
        <v>5</v>
      </c>
      <c r="J184" s="80" t="str">
        <f>TEXT(tblPayments[[#This Row],[Arrival]],"mmm")</f>
        <v>Feb</v>
      </c>
      <c r="K184" s="80">
        <f>MONTH(tblPayments[[#This Row],[Arrival]])</f>
        <v>2</v>
      </c>
      <c r="L184" s="80">
        <f>YEAR(tblPayments[[#This Row],[Arrival]])</f>
        <v>2026</v>
      </c>
      <c r="M184" s="80" t="str">
        <f>IF(tblPayments[[#This Row],[Balance]]=0,"Full Payment","Deposit")</f>
        <v>Deposit</v>
      </c>
      <c r="N184" s="43">
        <v>14388.75</v>
      </c>
      <c r="O184" s="83">
        <v>45669</v>
      </c>
      <c r="P184" s="87" t="s">
        <v>2</v>
      </c>
    </row>
    <row r="185" spans="1:16" x14ac:dyDescent="0.3">
      <c r="A185" s="77" t="s">
        <v>101</v>
      </c>
      <c r="B185" s="80" t="s">
        <v>76</v>
      </c>
      <c r="C185" s="43"/>
      <c r="D185" s="43"/>
      <c r="E185" s="43"/>
      <c r="F185" s="80"/>
      <c r="G185" s="83">
        <v>46081</v>
      </c>
      <c r="H185" s="83">
        <v>46084</v>
      </c>
      <c r="I185" s="4">
        <v>3</v>
      </c>
      <c r="J185" s="80" t="str">
        <f>TEXT(tblPayments[[#This Row],[Arrival]],"mmm")</f>
        <v>Feb</v>
      </c>
      <c r="K185" s="80">
        <f>MONTH(tblPayments[[#This Row],[Arrival]])</f>
        <v>2</v>
      </c>
      <c r="L185" s="80">
        <f>YEAR(tblPayments[[#This Row],[Arrival]])</f>
        <v>2026</v>
      </c>
      <c r="M185" s="80" t="str">
        <f>IF(tblPayments[[#This Row],[Balance]]=0,"Full Payment","Deposit")</f>
        <v>Full Payment</v>
      </c>
      <c r="N185" s="43">
        <v>0</v>
      </c>
      <c r="O185" s="83">
        <v>45897</v>
      </c>
      <c r="P185" s="87" t="s">
        <v>1</v>
      </c>
    </row>
    <row r="186" spans="1:16" x14ac:dyDescent="0.3">
      <c r="A186" s="77" t="s">
        <v>101</v>
      </c>
      <c r="B186" s="80" t="s">
        <v>76</v>
      </c>
      <c r="C186" s="43">
        <v>19511.64</v>
      </c>
      <c r="D186" s="43"/>
      <c r="E186" s="43">
        <v>19511.64</v>
      </c>
      <c r="F186" s="80" t="s">
        <v>75</v>
      </c>
      <c r="G186" s="83">
        <v>46081</v>
      </c>
      <c r="H186" s="83">
        <v>46087</v>
      </c>
      <c r="I186" s="4">
        <v>6</v>
      </c>
      <c r="J186" s="80" t="str">
        <f>TEXT(tblPayments[[#This Row],[Arrival]],"mmm")</f>
        <v>Feb</v>
      </c>
      <c r="K186" s="80">
        <f>MONTH(tblPayments[[#This Row],[Arrival]])</f>
        <v>2</v>
      </c>
      <c r="L186" s="80">
        <f>YEAR(tblPayments[[#This Row],[Arrival]])</f>
        <v>2026</v>
      </c>
      <c r="M186" s="80" t="str">
        <f>IF(tblPayments[[#This Row],[Balance]]=0,"Full Payment","Deposit")</f>
        <v>Deposit</v>
      </c>
      <c r="N186" s="43">
        <v>10091.4</v>
      </c>
      <c r="O186" s="83">
        <v>45814</v>
      </c>
      <c r="P186" s="87" t="s">
        <v>2</v>
      </c>
    </row>
    <row r="187" spans="1:16" x14ac:dyDescent="0.3">
      <c r="A187" s="77" t="s">
        <v>101</v>
      </c>
      <c r="B187" s="80" t="s">
        <v>76</v>
      </c>
      <c r="C187" s="43">
        <v>99292.18</v>
      </c>
      <c r="D187" s="43">
        <v>24823.05</v>
      </c>
      <c r="E187" s="43">
        <v>74469.13</v>
      </c>
      <c r="F187" s="80" t="s">
        <v>72</v>
      </c>
      <c r="G187" s="83">
        <v>46082</v>
      </c>
      <c r="H187" s="83">
        <v>46095</v>
      </c>
      <c r="I187" s="4">
        <v>13</v>
      </c>
      <c r="J187" s="80" t="str">
        <f>TEXT(tblPayments[[#This Row],[Arrival]],"mmm")</f>
        <v>Mar</v>
      </c>
      <c r="K187" s="80">
        <f>MONTH(tblPayments[[#This Row],[Arrival]])</f>
        <v>3</v>
      </c>
      <c r="L187" s="80">
        <f>YEAR(tblPayments[[#This Row],[Arrival]])</f>
        <v>2026</v>
      </c>
      <c r="M187" s="80" t="str">
        <f>IF(tblPayments[[#This Row],[Balance]]=0,"Full Payment","Deposit")</f>
        <v>Deposit</v>
      </c>
      <c r="N187" s="43">
        <v>70707.91</v>
      </c>
      <c r="O187" s="83">
        <v>45994</v>
      </c>
      <c r="P187" s="87" t="s">
        <v>40</v>
      </c>
    </row>
    <row r="188" spans="1:16" x14ac:dyDescent="0.3">
      <c r="A188" s="77" t="s">
        <v>101</v>
      </c>
      <c r="B188" s="80" t="s">
        <v>76</v>
      </c>
      <c r="C188" s="43">
        <v>96807.9</v>
      </c>
      <c r="D188" s="43">
        <v>96807.9</v>
      </c>
      <c r="E188" s="43"/>
      <c r="F188" s="80" t="s">
        <v>70</v>
      </c>
      <c r="G188" s="83">
        <v>46082</v>
      </c>
      <c r="H188" s="83">
        <v>46097</v>
      </c>
      <c r="I188" s="4">
        <v>15</v>
      </c>
      <c r="J188" s="80" t="str">
        <f>TEXT(tblPayments[[#This Row],[Arrival]],"mmm")</f>
        <v>Mar</v>
      </c>
      <c r="K188" s="80">
        <f>MONTH(tblPayments[[#This Row],[Arrival]])</f>
        <v>3</v>
      </c>
      <c r="L188" s="80">
        <f>YEAR(tblPayments[[#This Row],[Arrival]])</f>
        <v>2026</v>
      </c>
      <c r="M188" s="80" t="str">
        <f>IF(tblPayments[[#This Row],[Balance]]=0,"Full Payment","Deposit")</f>
        <v>Full Payment</v>
      </c>
      <c r="N188" s="43">
        <v>49181.85</v>
      </c>
      <c r="O188" s="83">
        <v>45936</v>
      </c>
      <c r="P188" s="87" t="s">
        <v>18</v>
      </c>
    </row>
    <row r="189" spans="1:16" x14ac:dyDescent="0.3">
      <c r="A189" s="77" t="s">
        <v>101</v>
      </c>
      <c r="B189" s="80" t="s">
        <v>76</v>
      </c>
      <c r="C189" s="43">
        <v>11908.34</v>
      </c>
      <c r="D189" s="43"/>
      <c r="E189" s="43">
        <v>11908.34</v>
      </c>
      <c r="F189" s="80" t="s">
        <v>75</v>
      </c>
      <c r="G189" s="83">
        <v>46082</v>
      </c>
      <c r="H189" s="83">
        <v>46084</v>
      </c>
      <c r="I189" s="4">
        <v>2</v>
      </c>
      <c r="J189" s="80" t="str">
        <f>TEXT(tblPayments[[#This Row],[Arrival]],"mmm")</f>
        <v>Mar</v>
      </c>
      <c r="K189" s="80">
        <f>MONTH(tblPayments[[#This Row],[Arrival]])</f>
        <v>3</v>
      </c>
      <c r="L189" s="80">
        <f>YEAR(tblPayments[[#This Row],[Arrival]])</f>
        <v>2026</v>
      </c>
      <c r="M189" s="80" t="str">
        <f>IF(tblPayments[[#This Row],[Balance]]=0,"Full Payment","Deposit")</f>
        <v>Deposit</v>
      </c>
      <c r="N189" s="43">
        <v>7402.58</v>
      </c>
      <c r="O189" s="83">
        <v>45986</v>
      </c>
      <c r="P189" s="87" t="s">
        <v>15</v>
      </c>
    </row>
    <row r="190" spans="1:16" x14ac:dyDescent="0.3">
      <c r="A190" s="77" t="s">
        <v>101</v>
      </c>
      <c r="B190" s="80" t="s">
        <v>76</v>
      </c>
      <c r="C190" s="43">
        <v>57428</v>
      </c>
      <c r="D190" s="43"/>
      <c r="E190" s="43">
        <v>57428</v>
      </c>
      <c r="F190" s="80" t="s">
        <v>75</v>
      </c>
      <c r="G190" s="83">
        <v>46082</v>
      </c>
      <c r="H190" s="83">
        <v>46090</v>
      </c>
      <c r="I190" s="4">
        <v>8</v>
      </c>
      <c r="J190" s="80" t="str">
        <f>TEXT(tblPayments[[#This Row],[Arrival]],"mmm")</f>
        <v>Mar</v>
      </c>
      <c r="K190" s="80">
        <f>MONTH(tblPayments[[#This Row],[Arrival]])</f>
        <v>3</v>
      </c>
      <c r="L190" s="80">
        <f>YEAR(tblPayments[[#This Row],[Arrival]])</f>
        <v>2026</v>
      </c>
      <c r="M190" s="80" t="str">
        <f>IF(tblPayments[[#This Row],[Balance]]=0,"Full Payment","Deposit")</f>
        <v>Deposit</v>
      </c>
      <c r="N190" s="43">
        <v>28266.16</v>
      </c>
      <c r="O190" s="83">
        <v>45884</v>
      </c>
      <c r="P190" s="87" t="s">
        <v>1</v>
      </c>
    </row>
    <row r="191" spans="1:16" x14ac:dyDescent="0.3">
      <c r="A191" s="77" t="s">
        <v>101</v>
      </c>
      <c r="B191" s="80" t="s">
        <v>76</v>
      </c>
      <c r="C191" s="43">
        <v>3900</v>
      </c>
      <c r="D191" s="43"/>
      <c r="E191" s="43">
        <v>3900</v>
      </c>
      <c r="F191" s="80" t="s">
        <v>75</v>
      </c>
      <c r="G191" s="83">
        <v>46082</v>
      </c>
      <c r="H191" s="83">
        <v>46089</v>
      </c>
      <c r="I191" s="4">
        <v>7</v>
      </c>
      <c r="J191" s="80" t="str">
        <f>TEXT(tblPayments[[#This Row],[Arrival]],"mmm")</f>
        <v>Mar</v>
      </c>
      <c r="K191" s="80">
        <f>MONTH(tblPayments[[#This Row],[Arrival]])</f>
        <v>3</v>
      </c>
      <c r="L191" s="80">
        <f>YEAR(tblPayments[[#This Row],[Arrival]])</f>
        <v>2026</v>
      </c>
      <c r="M191" s="80" t="str">
        <f>IF(tblPayments[[#This Row],[Balance]]=0,"Full Payment","Deposit")</f>
        <v>Deposit</v>
      </c>
      <c r="N191" s="43">
        <v>0</v>
      </c>
      <c r="O191" s="83">
        <v>45743</v>
      </c>
      <c r="P191" s="87" t="s">
        <v>8</v>
      </c>
    </row>
    <row r="192" spans="1:16" x14ac:dyDescent="0.3">
      <c r="A192" s="77" t="s">
        <v>101</v>
      </c>
      <c r="B192" s="80" t="s">
        <v>77</v>
      </c>
      <c r="C192" s="43"/>
      <c r="D192" s="43"/>
      <c r="E192" s="43"/>
      <c r="F192" s="80" t="s">
        <v>73</v>
      </c>
      <c r="G192" s="83">
        <v>46083</v>
      </c>
      <c r="H192" s="83">
        <v>46090</v>
      </c>
      <c r="I192" s="4">
        <v>7</v>
      </c>
      <c r="J192" s="80" t="str">
        <f>TEXT(tblPayments[[#This Row],[Arrival]],"mmm")</f>
        <v>Mar</v>
      </c>
      <c r="K192" s="80">
        <f>MONTH(tblPayments[[#This Row],[Arrival]])</f>
        <v>3</v>
      </c>
      <c r="L192" s="80">
        <f>YEAR(tblPayments[[#This Row],[Arrival]])</f>
        <v>2026</v>
      </c>
      <c r="M192" s="80" t="str">
        <f>IF(tblPayments[[#This Row],[Balance]]=0,"Full Payment","Deposit")</f>
        <v>Full Payment</v>
      </c>
      <c r="N192" s="43">
        <v>0</v>
      </c>
      <c r="O192" s="83">
        <v>45952</v>
      </c>
      <c r="P192" s="87" t="s">
        <v>12</v>
      </c>
    </row>
    <row r="193" spans="1:16" x14ac:dyDescent="0.3">
      <c r="A193" s="77" t="s">
        <v>101</v>
      </c>
      <c r="B193" s="80" t="s">
        <v>77</v>
      </c>
      <c r="C193" s="43"/>
      <c r="D193" s="43"/>
      <c r="E193" s="43"/>
      <c r="F193" s="80" t="s">
        <v>73</v>
      </c>
      <c r="G193" s="83">
        <v>46083</v>
      </c>
      <c r="H193" s="83">
        <v>46085</v>
      </c>
      <c r="I193" s="4">
        <v>2</v>
      </c>
      <c r="J193" s="80" t="str">
        <f>TEXT(tblPayments[[#This Row],[Arrival]],"mmm")</f>
        <v>Mar</v>
      </c>
      <c r="K193" s="80">
        <f>MONTH(tblPayments[[#This Row],[Arrival]])</f>
        <v>3</v>
      </c>
      <c r="L193" s="80">
        <f>YEAR(tblPayments[[#This Row],[Arrival]])</f>
        <v>2026</v>
      </c>
      <c r="M193" s="80" t="str">
        <f>IF(tblPayments[[#This Row],[Balance]]=0,"Full Payment","Deposit")</f>
        <v>Full Payment</v>
      </c>
      <c r="N193" s="43">
        <v>0</v>
      </c>
      <c r="O193" s="83">
        <v>45961</v>
      </c>
      <c r="P193" s="87" t="s">
        <v>31</v>
      </c>
    </row>
    <row r="194" spans="1:16" x14ac:dyDescent="0.3">
      <c r="A194" s="77" t="s">
        <v>101</v>
      </c>
      <c r="B194" s="80" t="s">
        <v>77</v>
      </c>
      <c r="C194" s="43"/>
      <c r="D194" s="43"/>
      <c r="E194" s="43"/>
      <c r="F194" s="80" t="s">
        <v>74</v>
      </c>
      <c r="G194" s="83">
        <v>46083</v>
      </c>
      <c r="H194" s="83">
        <v>46103</v>
      </c>
      <c r="I194" s="4">
        <v>20</v>
      </c>
      <c r="J194" s="80" t="str">
        <f>TEXT(tblPayments[[#This Row],[Arrival]],"mmm")</f>
        <v>Mar</v>
      </c>
      <c r="K194" s="80">
        <f>MONTH(tblPayments[[#This Row],[Arrival]])</f>
        <v>3</v>
      </c>
      <c r="L194" s="80">
        <f>YEAR(tblPayments[[#This Row],[Arrival]])</f>
        <v>2026</v>
      </c>
      <c r="M194" s="80" t="str">
        <f>IF(tblPayments[[#This Row],[Balance]]=0,"Full Payment","Deposit")</f>
        <v>Full Payment</v>
      </c>
      <c r="N194" s="43">
        <v>12751.8</v>
      </c>
      <c r="O194" s="83">
        <v>45998</v>
      </c>
      <c r="P194" s="87" t="s">
        <v>42</v>
      </c>
    </row>
    <row r="195" spans="1:16" x14ac:dyDescent="0.3">
      <c r="A195" s="77" t="s">
        <v>101</v>
      </c>
      <c r="B195" s="80" t="s">
        <v>77</v>
      </c>
      <c r="C195" s="43">
        <v>25968</v>
      </c>
      <c r="D195" s="43"/>
      <c r="E195" s="43">
        <v>25968</v>
      </c>
      <c r="F195" s="80" t="s">
        <v>75</v>
      </c>
      <c r="G195" s="83">
        <v>46084</v>
      </c>
      <c r="H195" s="83">
        <v>46086</v>
      </c>
      <c r="I195" s="4">
        <v>2</v>
      </c>
      <c r="J195" s="80" t="str">
        <f>TEXT(tblPayments[[#This Row],[Arrival]],"mmm")</f>
        <v>Mar</v>
      </c>
      <c r="K195" s="80">
        <f>MONTH(tblPayments[[#This Row],[Arrival]])</f>
        <v>3</v>
      </c>
      <c r="L195" s="80">
        <f>YEAR(tblPayments[[#This Row],[Arrival]])</f>
        <v>2026</v>
      </c>
      <c r="M195" s="80" t="str">
        <f>IF(tblPayments[[#This Row],[Balance]]=0,"Full Payment","Deposit")</f>
        <v>Deposit</v>
      </c>
      <c r="N195" s="43">
        <v>10011.66</v>
      </c>
      <c r="O195" s="83">
        <v>45999</v>
      </c>
      <c r="P195" s="87" t="s">
        <v>9</v>
      </c>
    </row>
    <row r="196" spans="1:16" x14ac:dyDescent="0.3">
      <c r="A196" s="77" t="s">
        <v>101</v>
      </c>
      <c r="B196" s="80" t="s">
        <v>77</v>
      </c>
      <c r="C196" s="43">
        <v>18792.36</v>
      </c>
      <c r="D196" s="43"/>
      <c r="E196" s="43">
        <v>18792.36</v>
      </c>
      <c r="F196" s="80" t="s">
        <v>75</v>
      </c>
      <c r="G196" s="83">
        <v>46084</v>
      </c>
      <c r="H196" s="83">
        <v>46087</v>
      </c>
      <c r="I196" s="4">
        <v>3</v>
      </c>
      <c r="J196" s="80" t="str">
        <f>TEXT(tblPayments[[#This Row],[Arrival]],"mmm")</f>
        <v>Mar</v>
      </c>
      <c r="K196" s="80">
        <f>MONTH(tblPayments[[#This Row],[Arrival]])</f>
        <v>3</v>
      </c>
      <c r="L196" s="80">
        <f>YEAR(tblPayments[[#This Row],[Arrival]])</f>
        <v>2026</v>
      </c>
      <c r="M196" s="80" t="str">
        <f>IF(tblPayments[[#This Row],[Balance]]=0,"Full Payment","Deposit")</f>
        <v>Deposit</v>
      </c>
      <c r="N196" s="43">
        <v>13988.37</v>
      </c>
      <c r="O196" s="83">
        <v>45986</v>
      </c>
      <c r="P196" s="87" t="s">
        <v>15</v>
      </c>
    </row>
    <row r="197" spans="1:16" x14ac:dyDescent="0.3">
      <c r="A197" s="77" t="s">
        <v>101</v>
      </c>
      <c r="B197" s="80" t="s">
        <v>77</v>
      </c>
      <c r="C197" s="43"/>
      <c r="D197" s="43"/>
      <c r="E197" s="43"/>
      <c r="F197" s="80" t="s">
        <v>73</v>
      </c>
      <c r="G197" s="83">
        <v>46085</v>
      </c>
      <c r="H197" s="83">
        <v>46107</v>
      </c>
      <c r="I197" s="4">
        <v>22</v>
      </c>
      <c r="J197" s="80" t="str">
        <f>TEXT(tblPayments[[#This Row],[Arrival]],"mmm")</f>
        <v>Mar</v>
      </c>
      <c r="K197" s="80">
        <f>MONTH(tblPayments[[#This Row],[Arrival]])</f>
        <v>3</v>
      </c>
      <c r="L197" s="80">
        <f>YEAR(tblPayments[[#This Row],[Arrival]])</f>
        <v>2026</v>
      </c>
      <c r="M197" s="80" t="str">
        <f>IF(tblPayments[[#This Row],[Balance]]=0,"Full Payment","Deposit")</f>
        <v>Full Payment</v>
      </c>
      <c r="N197" s="43">
        <v>0</v>
      </c>
      <c r="O197" s="83">
        <v>45922</v>
      </c>
      <c r="P197" s="87" t="s">
        <v>18</v>
      </c>
    </row>
    <row r="198" spans="1:16" x14ac:dyDescent="0.3">
      <c r="A198" s="77" t="s">
        <v>101</v>
      </c>
      <c r="B198" s="80" t="s">
        <v>77</v>
      </c>
      <c r="C198" s="43"/>
      <c r="D198" s="43"/>
      <c r="E198" s="43"/>
      <c r="F198" s="80" t="s">
        <v>73</v>
      </c>
      <c r="G198" s="83">
        <v>46085</v>
      </c>
      <c r="H198" s="83">
        <v>46090</v>
      </c>
      <c r="I198" s="4">
        <v>5</v>
      </c>
      <c r="J198" s="80" t="str">
        <f>TEXT(tblPayments[[#This Row],[Arrival]],"mmm")</f>
        <v>Mar</v>
      </c>
      <c r="K198" s="80">
        <f>MONTH(tblPayments[[#This Row],[Arrival]])</f>
        <v>3</v>
      </c>
      <c r="L198" s="80">
        <f>YEAR(tblPayments[[#This Row],[Arrival]])</f>
        <v>2026</v>
      </c>
      <c r="M198" s="80" t="str">
        <f>IF(tblPayments[[#This Row],[Balance]]=0,"Full Payment","Deposit")</f>
        <v>Full Payment</v>
      </c>
      <c r="N198" s="43">
        <v>0</v>
      </c>
      <c r="O198" s="83">
        <v>45968</v>
      </c>
      <c r="P198" s="87" t="s">
        <v>24</v>
      </c>
    </row>
    <row r="199" spans="1:16" x14ac:dyDescent="0.3">
      <c r="A199" s="77" t="s">
        <v>101</v>
      </c>
      <c r="B199" s="80" t="s">
        <v>77</v>
      </c>
      <c r="C199" s="43">
        <v>22568</v>
      </c>
      <c r="D199" s="43"/>
      <c r="E199" s="43">
        <v>22568</v>
      </c>
      <c r="F199" s="80" t="s">
        <v>75</v>
      </c>
      <c r="G199" s="83">
        <v>46087</v>
      </c>
      <c r="H199" s="83">
        <v>46092</v>
      </c>
      <c r="I199" s="4">
        <v>5</v>
      </c>
      <c r="J199" s="80" t="str">
        <f>TEXT(tblPayments[[#This Row],[Arrival]],"mmm")</f>
        <v>Mar</v>
      </c>
      <c r="K199" s="80">
        <f>MONTH(tblPayments[[#This Row],[Arrival]])</f>
        <v>3</v>
      </c>
      <c r="L199" s="80">
        <f>YEAR(tblPayments[[#This Row],[Arrival]])</f>
        <v>2026</v>
      </c>
      <c r="M199" s="80" t="str">
        <f>IF(tblPayments[[#This Row],[Balance]]=0,"Full Payment","Deposit")</f>
        <v>Deposit</v>
      </c>
      <c r="N199" s="43">
        <v>13984.45</v>
      </c>
      <c r="O199" s="83">
        <v>45717</v>
      </c>
      <c r="P199" s="87" t="s">
        <v>2</v>
      </c>
    </row>
    <row r="200" spans="1:16" x14ac:dyDescent="0.3">
      <c r="A200" s="77" t="s">
        <v>101</v>
      </c>
      <c r="B200" s="80" t="s">
        <v>77</v>
      </c>
      <c r="C200" s="43">
        <v>36124</v>
      </c>
      <c r="D200" s="43"/>
      <c r="E200" s="43">
        <v>36124</v>
      </c>
      <c r="F200" s="80" t="s">
        <v>75</v>
      </c>
      <c r="G200" s="83">
        <v>46088</v>
      </c>
      <c r="H200" s="83">
        <v>46090</v>
      </c>
      <c r="I200" s="4">
        <v>2</v>
      </c>
      <c r="J200" s="80" t="str">
        <f>TEXT(tblPayments[[#This Row],[Arrival]],"mmm")</f>
        <v>Mar</v>
      </c>
      <c r="K200" s="80">
        <f>MONTH(tblPayments[[#This Row],[Arrival]])</f>
        <v>3</v>
      </c>
      <c r="L200" s="80">
        <f>YEAR(tblPayments[[#This Row],[Arrival]])</f>
        <v>2026</v>
      </c>
      <c r="M200" s="80" t="str">
        <f>IF(tblPayments[[#This Row],[Balance]]=0,"Full Payment","Deposit")</f>
        <v>Deposit</v>
      </c>
      <c r="N200" s="43">
        <v>0</v>
      </c>
      <c r="O200" s="83">
        <v>45993</v>
      </c>
      <c r="P200" s="87" t="s">
        <v>15</v>
      </c>
    </row>
    <row r="201" spans="1:16" x14ac:dyDescent="0.3">
      <c r="A201" s="77" t="s">
        <v>101</v>
      </c>
      <c r="B201" s="80" t="s">
        <v>77</v>
      </c>
      <c r="C201" s="43"/>
      <c r="D201" s="43"/>
      <c r="E201" s="43"/>
      <c r="F201" s="80" t="s">
        <v>73</v>
      </c>
      <c r="G201" s="83">
        <v>46089</v>
      </c>
      <c r="H201" s="83">
        <v>46096</v>
      </c>
      <c r="I201" s="4">
        <v>7</v>
      </c>
      <c r="J201" s="80" t="str">
        <f>TEXT(tblPayments[[#This Row],[Arrival]],"mmm")</f>
        <v>Mar</v>
      </c>
      <c r="K201" s="80">
        <f>MONTH(tblPayments[[#This Row],[Arrival]])</f>
        <v>3</v>
      </c>
      <c r="L201" s="80">
        <f>YEAR(tblPayments[[#This Row],[Arrival]])</f>
        <v>2026</v>
      </c>
      <c r="M201" s="80" t="str">
        <f>IF(tblPayments[[#This Row],[Balance]]=0,"Full Payment","Deposit")</f>
        <v>Full Payment</v>
      </c>
      <c r="N201" s="43">
        <v>0</v>
      </c>
      <c r="O201" s="83">
        <v>45979</v>
      </c>
      <c r="P201" s="87" t="s">
        <v>9</v>
      </c>
    </row>
    <row r="202" spans="1:16" x14ac:dyDescent="0.3">
      <c r="A202" s="77" t="s">
        <v>101</v>
      </c>
      <c r="B202" s="80" t="s">
        <v>77</v>
      </c>
      <c r="C202" s="43"/>
      <c r="D202" s="43"/>
      <c r="E202" s="43"/>
      <c r="F202" s="80" t="s">
        <v>73</v>
      </c>
      <c r="G202" s="83">
        <v>46091</v>
      </c>
      <c r="H202" s="83">
        <v>46093</v>
      </c>
      <c r="I202" s="4">
        <v>2</v>
      </c>
      <c r="J202" s="80" t="str">
        <f>TEXT(tblPayments[[#This Row],[Arrival]],"mmm")</f>
        <v>Mar</v>
      </c>
      <c r="K202" s="80">
        <f>MONTH(tblPayments[[#This Row],[Arrival]])</f>
        <v>3</v>
      </c>
      <c r="L202" s="80">
        <f>YEAR(tblPayments[[#This Row],[Arrival]])</f>
        <v>2026</v>
      </c>
      <c r="M202" s="80" t="str">
        <f>IF(tblPayments[[#This Row],[Balance]]=0,"Full Payment","Deposit")</f>
        <v>Full Payment</v>
      </c>
      <c r="N202" s="43">
        <v>0</v>
      </c>
      <c r="O202" s="83">
        <v>46001</v>
      </c>
      <c r="P202" s="87" t="s">
        <v>1</v>
      </c>
    </row>
    <row r="203" spans="1:16" x14ac:dyDescent="0.3">
      <c r="A203" s="77" t="s">
        <v>101</v>
      </c>
      <c r="B203" s="80" t="s">
        <v>77</v>
      </c>
      <c r="C203" s="43">
        <v>36124</v>
      </c>
      <c r="D203" s="43"/>
      <c r="E203" s="43">
        <v>36124</v>
      </c>
      <c r="F203" s="80" t="s">
        <v>75</v>
      </c>
      <c r="G203" s="83">
        <v>46092</v>
      </c>
      <c r="H203" s="83">
        <v>46103</v>
      </c>
      <c r="I203" s="4">
        <v>11</v>
      </c>
      <c r="J203" s="80" t="str">
        <f>TEXT(tblPayments[[#This Row],[Arrival]],"mmm")</f>
        <v>Mar</v>
      </c>
      <c r="K203" s="80">
        <f>MONTH(tblPayments[[#This Row],[Arrival]])</f>
        <v>3</v>
      </c>
      <c r="L203" s="80">
        <f>YEAR(tblPayments[[#This Row],[Arrival]])</f>
        <v>2026</v>
      </c>
      <c r="M203" s="80" t="str">
        <f>IF(tblPayments[[#This Row],[Balance]]=0,"Full Payment","Deposit")</f>
        <v>Deposit</v>
      </c>
      <c r="N203" s="43">
        <v>21468.48</v>
      </c>
      <c r="O203" s="83">
        <v>45877</v>
      </c>
      <c r="P203" s="87" t="s">
        <v>13</v>
      </c>
    </row>
    <row r="204" spans="1:16" x14ac:dyDescent="0.3">
      <c r="A204" s="77" t="s">
        <v>101</v>
      </c>
      <c r="B204" s="80" t="s">
        <v>77</v>
      </c>
      <c r="C204" s="43">
        <v>24690</v>
      </c>
      <c r="D204" s="43"/>
      <c r="E204" s="43">
        <v>24690</v>
      </c>
      <c r="F204" s="80" t="s">
        <v>75</v>
      </c>
      <c r="G204" s="83">
        <v>46093</v>
      </c>
      <c r="H204" s="83">
        <v>46103</v>
      </c>
      <c r="I204" s="4">
        <v>10</v>
      </c>
      <c r="J204" s="80" t="str">
        <f>TEXT(tblPayments[[#This Row],[Arrival]],"mmm")</f>
        <v>Mar</v>
      </c>
      <c r="K204" s="80">
        <f>MONTH(tblPayments[[#This Row],[Arrival]])</f>
        <v>3</v>
      </c>
      <c r="L204" s="80">
        <f>YEAR(tblPayments[[#This Row],[Arrival]])</f>
        <v>2026</v>
      </c>
      <c r="M204" s="80" t="str">
        <f>IF(tblPayments[[#This Row],[Balance]]=0,"Full Payment","Deposit")</f>
        <v>Deposit</v>
      </c>
      <c r="N204" s="43">
        <v>12649.6</v>
      </c>
      <c r="O204" s="83">
        <v>45986</v>
      </c>
      <c r="P204" s="87" t="s">
        <v>18</v>
      </c>
    </row>
    <row r="205" spans="1:16" x14ac:dyDescent="0.3">
      <c r="A205" s="77" t="s">
        <v>101</v>
      </c>
      <c r="B205" s="80" t="s">
        <v>77</v>
      </c>
      <c r="C205" s="43">
        <v>20476</v>
      </c>
      <c r="D205" s="43">
        <v>5119</v>
      </c>
      <c r="E205" s="43">
        <v>15357</v>
      </c>
      <c r="F205" s="80" t="s">
        <v>72</v>
      </c>
      <c r="G205" s="83">
        <v>46093</v>
      </c>
      <c r="H205" s="83">
        <v>46099</v>
      </c>
      <c r="I205" s="4">
        <v>6</v>
      </c>
      <c r="J205" s="80" t="str">
        <f>TEXT(tblPayments[[#This Row],[Arrival]],"mmm")</f>
        <v>Mar</v>
      </c>
      <c r="K205" s="80">
        <f>MONTH(tblPayments[[#This Row],[Arrival]])</f>
        <v>3</v>
      </c>
      <c r="L205" s="80">
        <f>YEAR(tblPayments[[#This Row],[Arrival]])</f>
        <v>2026</v>
      </c>
      <c r="M205" s="80" t="str">
        <f>IF(tblPayments[[#This Row],[Balance]]=0,"Full Payment","Deposit")</f>
        <v>Deposit</v>
      </c>
      <c r="N205" s="43">
        <v>12236.7</v>
      </c>
      <c r="O205" s="83">
        <v>45967</v>
      </c>
      <c r="P205" s="87" t="s">
        <v>1</v>
      </c>
    </row>
    <row r="206" spans="1:16" x14ac:dyDescent="0.3">
      <c r="A206" s="77" t="s">
        <v>101</v>
      </c>
      <c r="B206" s="80" t="s">
        <v>77</v>
      </c>
      <c r="C206" s="43"/>
      <c r="D206" s="43"/>
      <c r="E206" s="43"/>
      <c r="F206" s="80" t="s">
        <v>73</v>
      </c>
      <c r="G206" s="83">
        <v>46094</v>
      </c>
      <c r="H206" s="83">
        <v>46096</v>
      </c>
      <c r="I206" s="4">
        <v>2</v>
      </c>
      <c r="J206" s="80" t="str">
        <f>TEXT(tblPayments[[#This Row],[Arrival]],"mmm")</f>
        <v>Mar</v>
      </c>
      <c r="K206" s="80">
        <f>MONTH(tblPayments[[#This Row],[Arrival]])</f>
        <v>3</v>
      </c>
      <c r="L206" s="80">
        <f>YEAR(tblPayments[[#This Row],[Arrival]])</f>
        <v>2026</v>
      </c>
      <c r="M206" s="80" t="str">
        <f>IF(tblPayments[[#This Row],[Balance]]=0,"Full Payment","Deposit")</f>
        <v>Full Payment</v>
      </c>
      <c r="N206" s="43">
        <v>0</v>
      </c>
      <c r="O206" s="83">
        <v>45799</v>
      </c>
      <c r="P206" s="87" t="s">
        <v>15</v>
      </c>
    </row>
    <row r="207" spans="1:16" x14ac:dyDescent="0.3">
      <c r="A207" s="77" t="s">
        <v>101</v>
      </c>
      <c r="B207" s="80" t="s">
        <v>77</v>
      </c>
      <c r="C207" s="43">
        <v>72623.899999999994</v>
      </c>
      <c r="D207" s="43">
        <v>18155.98</v>
      </c>
      <c r="E207" s="43">
        <v>54467.92</v>
      </c>
      <c r="F207" s="80" t="s">
        <v>72</v>
      </c>
      <c r="G207" s="83">
        <v>46094</v>
      </c>
      <c r="H207" s="83">
        <v>46104</v>
      </c>
      <c r="I207" s="4">
        <v>10</v>
      </c>
      <c r="J207" s="80" t="str">
        <f>TEXT(tblPayments[[#This Row],[Arrival]],"mmm")</f>
        <v>Mar</v>
      </c>
      <c r="K207" s="80">
        <f>MONTH(tblPayments[[#This Row],[Arrival]])</f>
        <v>3</v>
      </c>
      <c r="L207" s="80">
        <f>YEAR(tblPayments[[#This Row],[Arrival]])</f>
        <v>2026</v>
      </c>
      <c r="M207" s="80" t="str">
        <f>IF(tblPayments[[#This Row],[Balance]]=0,"Full Payment","Deposit")</f>
        <v>Deposit</v>
      </c>
      <c r="N207" s="43">
        <v>39311.599999999999</v>
      </c>
      <c r="O207" s="83">
        <v>45975</v>
      </c>
      <c r="P207" s="87" t="s">
        <v>15</v>
      </c>
    </row>
    <row r="208" spans="1:16" x14ac:dyDescent="0.3">
      <c r="A208" s="77" t="s">
        <v>101</v>
      </c>
      <c r="B208" s="80" t="s">
        <v>77</v>
      </c>
      <c r="C208" s="43">
        <v>77900.639999999999</v>
      </c>
      <c r="D208" s="43"/>
      <c r="E208" s="43">
        <v>77900.639999999999</v>
      </c>
      <c r="F208" s="80" t="s">
        <v>75</v>
      </c>
      <c r="G208" s="83">
        <v>46095</v>
      </c>
      <c r="H208" s="83">
        <v>46103</v>
      </c>
      <c r="I208" s="4">
        <v>8</v>
      </c>
      <c r="J208" s="80" t="str">
        <f>TEXT(tblPayments[[#This Row],[Arrival]],"mmm")</f>
        <v>Mar</v>
      </c>
      <c r="K208" s="80">
        <f>MONTH(tblPayments[[#This Row],[Arrival]])</f>
        <v>3</v>
      </c>
      <c r="L208" s="80">
        <f>YEAR(tblPayments[[#This Row],[Arrival]])</f>
        <v>2026</v>
      </c>
      <c r="M208" s="80" t="str">
        <f>IF(tblPayments[[#This Row],[Balance]]=0,"Full Payment","Deposit")</f>
        <v>Deposit</v>
      </c>
      <c r="N208" s="43">
        <v>50130.239999999998</v>
      </c>
      <c r="O208" s="83">
        <v>45934</v>
      </c>
      <c r="P208" s="87" t="s">
        <v>1</v>
      </c>
    </row>
    <row r="209" spans="1:16" x14ac:dyDescent="0.3">
      <c r="A209" s="77" t="s">
        <v>101</v>
      </c>
      <c r="B209" s="80" t="s">
        <v>77</v>
      </c>
      <c r="C209" s="43">
        <v>10825</v>
      </c>
      <c r="D209" s="43"/>
      <c r="E209" s="43">
        <v>10825</v>
      </c>
      <c r="F209" s="80" t="s">
        <v>75</v>
      </c>
      <c r="G209" s="83">
        <v>46095</v>
      </c>
      <c r="H209" s="83">
        <v>46102</v>
      </c>
      <c r="I209" s="4">
        <v>7</v>
      </c>
      <c r="J209" s="80" t="str">
        <f>TEXT(tblPayments[[#This Row],[Arrival]],"mmm")</f>
        <v>Mar</v>
      </c>
      <c r="K209" s="80">
        <f>MONTH(tblPayments[[#This Row],[Arrival]])</f>
        <v>3</v>
      </c>
      <c r="L209" s="80">
        <f>YEAR(tblPayments[[#This Row],[Arrival]])</f>
        <v>2026</v>
      </c>
      <c r="M209" s="80" t="str">
        <f>IF(tblPayments[[#This Row],[Balance]]=0,"Full Payment","Deposit")</f>
        <v>Deposit</v>
      </c>
      <c r="N209" s="43">
        <v>3851.47</v>
      </c>
      <c r="O209" s="83">
        <v>45971</v>
      </c>
      <c r="P209" s="87" t="s">
        <v>15</v>
      </c>
    </row>
    <row r="210" spans="1:16" x14ac:dyDescent="0.3">
      <c r="A210" s="77" t="s">
        <v>101</v>
      </c>
      <c r="B210" s="80" t="s">
        <v>77</v>
      </c>
      <c r="C210" s="43"/>
      <c r="D210" s="43"/>
      <c r="E210" s="43"/>
      <c r="F210" s="80" t="s">
        <v>73</v>
      </c>
      <c r="G210" s="83">
        <v>46096</v>
      </c>
      <c r="H210" s="83">
        <v>46157</v>
      </c>
      <c r="I210" s="4">
        <v>61</v>
      </c>
      <c r="J210" s="80" t="str">
        <f>TEXT(tblPayments[[#This Row],[Arrival]],"mmm")</f>
        <v>Mar</v>
      </c>
      <c r="K210" s="80">
        <f>MONTH(tblPayments[[#This Row],[Arrival]])</f>
        <v>3</v>
      </c>
      <c r="L210" s="80">
        <f>YEAR(tblPayments[[#This Row],[Arrival]])</f>
        <v>2026</v>
      </c>
      <c r="M210" s="80" t="str">
        <f>IF(tblPayments[[#This Row],[Balance]]=0,"Full Payment","Deposit")</f>
        <v>Full Payment</v>
      </c>
      <c r="N210" s="43">
        <v>0</v>
      </c>
      <c r="O210" s="83">
        <v>45918</v>
      </c>
      <c r="P210" s="87" t="s">
        <v>1</v>
      </c>
    </row>
    <row r="211" spans="1:16" x14ac:dyDescent="0.3">
      <c r="A211" s="77" t="s">
        <v>101</v>
      </c>
      <c r="B211" s="80" t="s">
        <v>77</v>
      </c>
      <c r="C211" s="43">
        <v>13625</v>
      </c>
      <c r="D211" s="43"/>
      <c r="E211" s="43">
        <v>13625</v>
      </c>
      <c r="F211" s="80" t="s">
        <v>75</v>
      </c>
      <c r="G211" s="83">
        <v>46096</v>
      </c>
      <c r="H211" s="83">
        <v>46099</v>
      </c>
      <c r="I211" s="4">
        <v>3</v>
      </c>
      <c r="J211" s="80" t="str">
        <f>TEXT(tblPayments[[#This Row],[Arrival]],"mmm")</f>
        <v>Mar</v>
      </c>
      <c r="K211" s="80">
        <f>MONTH(tblPayments[[#This Row],[Arrival]])</f>
        <v>3</v>
      </c>
      <c r="L211" s="80">
        <f>YEAR(tblPayments[[#This Row],[Arrival]])</f>
        <v>2026</v>
      </c>
      <c r="M211" s="80" t="str">
        <f>IF(tblPayments[[#This Row],[Balance]]=0,"Full Payment","Deposit")</f>
        <v>Deposit</v>
      </c>
      <c r="N211" s="43">
        <v>7335.93</v>
      </c>
      <c r="O211" s="83">
        <v>45991</v>
      </c>
      <c r="P211" s="87" t="s">
        <v>2</v>
      </c>
    </row>
    <row r="212" spans="1:16" x14ac:dyDescent="0.3">
      <c r="A212" s="77" t="s">
        <v>101</v>
      </c>
      <c r="B212" s="80" t="s">
        <v>77</v>
      </c>
      <c r="C212" s="43">
        <v>15076</v>
      </c>
      <c r="D212" s="43">
        <v>1507.6</v>
      </c>
      <c r="E212" s="43">
        <v>13568.4</v>
      </c>
      <c r="F212" s="80" t="s">
        <v>72</v>
      </c>
      <c r="G212" s="83">
        <v>46096</v>
      </c>
      <c r="H212" s="83">
        <v>46100</v>
      </c>
      <c r="I212" s="4">
        <v>4</v>
      </c>
      <c r="J212" s="80" t="str">
        <f>TEXT(tblPayments[[#This Row],[Arrival]],"mmm")</f>
        <v>Mar</v>
      </c>
      <c r="K212" s="80">
        <f>MONTH(tblPayments[[#This Row],[Arrival]])</f>
        <v>3</v>
      </c>
      <c r="L212" s="80">
        <f>YEAR(tblPayments[[#This Row],[Arrival]])</f>
        <v>2026</v>
      </c>
      <c r="M212" s="80" t="str">
        <f>IF(tblPayments[[#This Row],[Balance]]=0,"Full Payment","Deposit")</f>
        <v>Deposit</v>
      </c>
      <c r="N212" s="43">
        <v>8516.48</v>
      </c>
      <c r="O212" s="83">
        <v>45979</v>
      </c>
      <c r="P212" s="87" t="s">
        <v>38</v>
      </c>
    </row>
    <row r="213" spans="1:16" x14ac:dyDescent="0.3">
      <c r="A213" s="77" t="s">
        <v>101</v>
      </c>
      <c r="B213" s="80" t="s">
        <v>77</v>
      </c>
      <c r="C213" s="43">
        <v>7669</v>
      </c>
      <c r="D213" s="43"/>
      <c r="E213" s="43">
        <v>7669</v>
      </c>
      <c r="F213" s="80" t="s">
        <v>75</v>
      </c>
      <c r="G213" s="83">
        <v>46097</v>
      </c>
      <c r="H213" s="83">
        <v>46103</v>
      </c>
      <c r="I213" s="4">
        <v>6</v>
      </c>
      <c r="J213" s="80" t="str">
        <f>TEXT(tblPayments[[#This Row],[Arrival]],"mmm")</f>
        <v>Mar</v>
      </c>
      <c r="K213" s="80">
        <f>MONTH(tblPayments[[#This Row],[Arrival]])</f>
        <v>3</v>
      </c>
      <c r="L213" s="80">
        <f>YEAR(tblPayments[[#This Row],[Arrival]])</f>
        <v>2026</v>
      </c>
      <c r="M213" s="80" t="str">
        <f>IF(tblPayments[[#This Row],[Balance]]=0,"Full Payment","Deposit")</f>
        <v>Deposit</v>
      </c>
      <c r="N213" s="43">
        <v>4899.24</v>
      </c>
      <c r="O213" s="83">
        <v>45877</v>
      </c>
      <c r="P213" s="87" t="s">
        <v>15</v>
      </c>
    </row>
    <row r="214" spans="1:16" x14ac:dyDescent="0.3">
      <c r="A214" s="77" t="s">
        <v>101</v>
      </c>
      <c r="B214" s="80" t="s">
        <v>77</v>
      </c>
      <c r="C214" s="43">
        <v>38890</v>
      </c>
      <c r="D214" s="43">
        <v>9722.5</v>
      </c>
      <c r="E214" s="43">
        <v>29167.5</v>
      </c>
      <c r="F214" s="80" t="s">
        <v>72</v>
      </c>
      <c r="G214" s="83">
        <v>46097</v>
      </c>
      <c r="H214" s="83">
        <v>46102</v>
      </c>
      <c r="I214" s="4">
        <v>5</v>
      </c>
      <c r="J214" s="80" t="str">
        <f>TEXT(tblPayments[[#This Row],[Arrival]],"mmm")</f>
        <v>Mar</v>
      </c>
      <c r="K214" s="80">
        <f>MONTH(tblPayments[[#This Row],[Arrival]])</f>
        <v>3</v>
      </c>
      <c r="L214" s="80">
        <f>YEAR(tblPayments[[#This Row],[Arrival]])</f>
        <v>2026</v>
      </c>
      <c r="M214" s="80" t="str">
        <f>IF(tblPayments[[#This Row],[Balance]]=0,"Full Payment","Deposit")</f>
        <v>Deposit</v>
      </c>
      <c r="N214" s="43">
        <v>18479.099999999999</v>
      </c>
      <c r="O214" s="83">
        <v>45976</v>
      </c>
      <c r="P214" s="87" t="s">
        <v>15</v>
      </c>
    </row>
    <row r="215" spans="1:16" x14ac:dyDescent="0.3">
      <c r="A215" s="77" t="s">
        <v>101</v>
      </c>
      <c r="B215" s="80" t="s">
        <v>77</v>
      </c>
      <c r="C215" s="43">
        <v>15822</v>
      </c>
      <c r="D215" s="43"/>
      <c r="E215" s="43">
        <v>15822</v>
      </c>
      <c r="F215" s="80" t="s">
        <v>75</v>
      </c>
      <c r="G215" s="83">
        <v>46098</v>
      </c>
      <c r="H215" s="83">
        <v>46102</v>
      </c>
      <c r="I215" s="4">
        <v>4</v>
      </c>
      <c r="J215" s="80" t="str">
        <f>TEXT(tblPayments[[#This Row],[Arrival]],"mmm")</f>
        <v>Mar</v>
      </c>
      <c r="K215" s="80">
        <f>MONTH(tblPayments[[#This Row],[Arrival]])</f>
        <v>3</v>
      </c>
      <c r="L215" s="80">
        <f>YEAR(tblPayments[[#This Row],[Arrival]])</f>
        <v>2026</v>
      </c>
      <c r="M215" s="80" t="str">
        <f>IF(tblPayments[[#This Row],[Balance]]=0,"Full Payment","Deposit")</f>
        <v>Deposit</v>
      </c>
      <c r="N215" s="43">
        <v>9943.52</v>
      </c>
      <c r="O215" s="83">
        <v>45924</v>
      </c>
      <c r="P215" s="87" t="s">
        <v>9</v>
      </c>
    </row>
    <row r="216" spans="1:16" x14ac:dyDescent="0.3">
      <c r="A216" s="77" t="s">
        <v>101</v>
      </c>
      <c r="B216" s="80" t="s">
        <v>77</v>
      </c>
      <c r="C216" s="43">
        <v>12726</v>
      </c>
      <c r="D216" s="43"/>
      <c r="E216" s="43">
        <v>12726</v>
      </c>
      <c r="F216" s="80" t="s">
        <v>75</v>
      </c>
      <c r="G216" s="83">
        <v>46098</v>
      </c>
      <c r="H216" s="83">
        <v>46102</v>
      </c>
      <c r="I216" s="4">
        <v>4</v>
      </c>
      <c r="J216" s="80" t="str">
        <f>TEXT(tblPayments[[#This Row],[Arrival]],"mmm")</f>
        <v>Mar</v>
      </c>
      <c r="K216" s="80">
        <f>MONTH(tblPayments[[#This Row],[Arrival]])</f>
        <v>3</v>
      </c>
      <c r="L216" s="80">
        <f>YEAR(tblPayments[[#This Row],[Arrival]])</f>
        <v>2026</v>
      </c>
      <c r="M216" s="80" t="str">
        <f>IF(tblPayments[[#This Row],[Balance]]=0,"Full Payment","Deposit")</f>
        <v>Deposit</v>
      </c>
      <c r="N216" s="43">
        <v>8122.76</v>
      </c>
      <c r="O216" s="83">
        <v>45773</v>
      </c>
      <c r="P216" s="87" t="s">
        <v>16</v>
      </c>
    </row>
    <row r="217" spans="1:16" x14ac:dyDescent="0.3">
      <c r="A217" s="77" t="s">
        <v>101</v>
      </c>
      <c r="B217" s="80" t="s">
        <v>77</v>
      </c>
      <c r="C217" s="43">
        <v>19008</v>
      </c>
      <c r="D217" s="43"/>
      <c r="E217" s="43">
        <v>19008</v>
      </c>
      <c r="F217" s="80" t="s">
        <v>75</v>
      </c>
      <c r="G217" s="83">
        <v>46099</v>
      </c>
      <c r="H217" s="83">
        <v>46106</v>
      </c>
      <c r="I217" s="4">
        <v>7</v>
      </c>
      <c r="J217" s="80" t="str">
        <f>TEXT(tblPayments[[#This Row],[Arrival]],"mmm")</f>
        <v>Mar</v>
      </c>
      <c r="K217" s="80">
        <f>MONTH(tblPayments[[#This Row],[Arrival]])</f>
        <v>3</v>
      </c>
      <c r="L217" s="80">
        <f>YEAR(tblPayments[[#This Row],[Arrival]])</f>
        <v>2026</v>
      </c>
      <c r="M217" s="80" t="str">
        <f>IF(tblPayments[[#This Row],[Balance]]=0,"Full Payment","Deposit")</f>
        <v>Deposit</v>
      </c>
      <c r="N217" s="43">
        <v>11698.75</v>
      </c>
      <c r="O217" s="83">
        <v>45706</v>
      </c>
      <c r="P217" s="87" t="s">
        <v>2</v>
      </c>
    </row>
    <row r="218" spans="1:16" x14ac:dyDescent="0.3">
      <c r="A218" s="77" t="s">
        <v>101</v>
      </c>
      <c r="B218" s="80" t="s">
        <v>77</v>
      </c>
      <c r="C218" s="43">
        <v>59031.6</v>
      </c>
      <c r="D218" s="43"/>
      <c r="E218" s="43">
        <v>59031.6</v>
      </c>
      <c r="F218" s="80" t="s">
        <v>75</v>
      </c>
      <c r="G218" s="83">
        <v>46099</v>
      </c>
      <c r="H218" s="83">
        <v>46109</v>
      </c>
      <c r="I218" s="4">
        <v>10</v>
      </c>
      <c r="J218" s="80" t="str">
        <f>TEXT(tblPayments[[#This Row],[Arrival]],"mmm")</f>
        <v>Mar</v>
      </c>
      <c r="K218" s="80">
        <f>MONTH(tblPayments[[#This Row],[Arrival]])</f>
        <v>3</v>
      </c>
      <c r="L218" s="80">
        <f>YEAR(tblPayments[[#This Row],[Arrival]])</f>
        <v>2026</v>
      </c>
      <c r="M218" s="80" t="str">
        <f>IF(tblPayments[[#This Row],[Balance]]=0,"Full Payment","Deposit")</f>
        <v>Deposit</v>
      </c>
      <c r="N218" s="43">
        <v>35352.9</v>
      </c>
      <c r="O218" s="83">
        <v>45983</v>
      </c>
      <c r="P218" s="87" t="s">
        <v>34</v>
      </c>
    </row>
    <row r="219" spans="1:16" x14ac:dyDescent="0.3">
      <c r="A219" s="77" t="s">
        <v>101</v>
      </c>
      <c r="B219" s="80" t="s">
        <v>77</v>
      </c>
      <c r="C219" s="43"/>
      <c r="D219" s="43"/>
      <c r="E219" s="43"/>
      <c r="F219" s="80" t="s">
        <v>73</v>
      </c>
      <c r="G219" s="83">
        <v>46100</v>
      </c>
      <c r="H219" s="83">
        <v>46104</v>
      </c>
      <c r="I219" s="4">
        <v>4</v>
      </c>
      <c r="J219" s="80" t="str">
        <f>TEXT(tblPayments[[#This Row],[Arrival]],"mmm")</f>
        <v>Mar</v>
      </c>
      <c r="K219" s="80">
        <f>MONTH(tblPayments[[#This Row],[Arrival]])</f>
        <v>3</v>
      </c>
      <c r="L219" s="80">
        <f>YEAR(tblPayments[[#This Row],[Arrival]])</f>
        <v>2026</v>
      </c>
      <c r="M219" s="80" t="str">
        <f>IF(tblPayments[[#This Row],[Balance]]=0,"Full Payment","Deposit")</f>
        <v>Full Payment</v>
      </c>
      <c r="N219" s="43">
        <v>0</v>
      </c>
      <c r="O219" s="83">
        <v>45981</v>
      </c>
      <c r="P219" s="87" t="s">
        <v>33</v>
      </c>
    </row>
    <row r="220" spans="1:16" x14ac:dyDescent="0.3">
      <c r="A220" s="77" t="s">
        <v>101</v>
      </c>
      <c r="B220" s="80" t="s">
        <v>77</v>
      </c>
      <c r="C220" s="43">
        <v>27408</v>
      </c>
      <c r="D220" s="43"/>
      <c r="E220" s="43">
        <v>27408</v>
      </c>
      <c r="F220" s="80" t="s">
        <v>75</v>
      </c>
      <c r="G220" s="83">
        <v>46101</v>
      </c>
      <c r="H220" s="83">
        <v>46108</v>
      </c>
      <c r="I220" s="4">
        <v>7</v>
      </c>
      <c r="J220" s="80" t="str">
        <f>TEXT(tblPayments[[#This Row],[Arrival]],"mmm")</f>
        <v>Mar</v>
      </c>
      <c r="K220" s="80">
        <f>MONTH(tblPayments[[#This Row],[Arrival]])</f>
        <v>3</v>
      </c>
      <c r="L220" s="80">
        <f>YEAR(tblPayments[[#This Row],[Arrival]])</f>
        <v>2026</v>
      </c>
      <c r="M220" s="80" t="str">
        <f>IF(tblPayments[[#This Row],[Balance]]=0,"Full Payment","Deposit")</f>
        <v>Deposit</v>
      </c>
      <c r="N220" s="43">
        <v>7465.29</v>
      </c>
      <c r="O220" s="83">
        <v>45986</v>
      </c>
      <c r="P220" s="87" t="s">
        <v>24</v>
      </c>
    </row>
    <row r="221" spans="1:16" x14ac:dyDescent="0.3">
      <c r="A221" s="77" t="s">
        <v>101</v>
      </c>
      <c r="B221" s="80" t="s">
        <v>77</v>
      </c>
      <c r="C221" s="43">
        <v>37190</v>
      </c>
      <c r="D221" s="43">
        <v>9297.5</v>
      </c>
      <c r="E221" s="43">
        <v>27892.5</v>
      </c>
      <c r="F221" s="80" t="s">
        <v>72</v>
      </c>
      <c r="G221" s="83">
        <v>46103</v>
      </c>
      <c r="H221" s="83">
        <v>46108</v>
      </c>
      <c r="I221" s="4">
        <v>5</v>
      </c>
      <c r="J221" s="80" t="str">
        <f>TEXT(tblPayments[[#This Row],[Arrival]],"mmm")</f>
        <v>Mar</v>
      </c>
      <c r="K221" s="80">
        <f>MONTH(tblPayments[[#This Row],[Arrival]])</f>
        <v>3</v>
      </c>
      <c r="L221" s="80">
        <f>YEAR(tblPayments[[#This Row],[Arrival]])</f>
        <v>2026</v>
      </c>
      <c r="M221" s="80" t="str">
        <f>IF(tblPayments[[#This Row],[Balance]]=0,"Full Payment","Deposit")</f>
        <v>Deposit</v>
      </c>
      <c r="N221" s="43">
        <v>23389.8</v>
      </c>
      <c r="O221" s="83">
        <v>45986</v>
      </c>
      <c r="P221" s="87" t="s">
        <v>15</v>
      </c>
    </row>
    <row r="222" spans="1:16" x14ac:dyDescent="0.3">
      <c r="A222" s="77" t="s">
        <v>101</v>
      </c>
      <c r="B222" s="80" t="s">
        <v>77</v>
      </c>
      <c r="C222" s="43">
        <v>24670</v>
      </c>
      <c r="D222" s="43">
        <v>6167.5</v>
      </c>
      <c r="E222" s="43">
        <v>18502.5</v>
      </c>
      <c r="F222" s="80" t="s">
        <v>72</v>
      </c>
      <c r="G222" s="83">
        <v>46103</v>
      </c>
      <c r="H222" s="83">
        <v>46108</v>
      </c>
      <c r="I222" s="4">
        <v>5</v>
      </c>
      <c r="J222" s="80" t="str">
        <f>TEXT(tblPayments[[#This Row],[Arrival]],"mmm")</f>
        <v>Mar</v>
      </c>
      <c r="K222" s="80">
        <f>MONTH(tblPayments[[#This Row],[Arrival]])</f>
        <v>3</v>
      </c>
      <c r="L222" s="80">
        <f>YEAR(tblPayments[[#This Row],[Arrival]])</f>
        <v>2026</v>
      </c>
      <c r="M222" s="80" t="str">
        <f>IF(tblPayments[[#This Row],[Balance]]=0,"Full Payment","Deposit")</f>
        <v>Deposit</v>
      </c>
      <c r="N222" s="43">
        <v>16330.9</v>
      </c>
      <c r="O222" s="83">
        <v>45986</v>
      </c>
      <c r="P222" s="87" t="s">
        <v>15</v>
      </c>
    </row>
    <row r="223" spans="1:16" x14ac:dyDescent="0.3">
      <c r="A223" s="77" t="s">
        <v>101</v>
      </c>
      <c r="B223" s="80" t="s">
        <v>77</v>
      </c>
      <c r="C223" s="43">
        <v>34490</v>
      </c>
      <c r="D223" s="43">
        <v>8622.5</v>
      </c>
      <c r="E223" s="43">
        <v>25867.5</v>
      </c>
      <c r="F223" s="80" t="s">
        <v>72</v>
      </c>
      <c r="G223" s="83">
        <v>46103</v>
      </c>
      <c r="H223" s="83">
        <v>46108</v>
      </c>
      <c r="I223" s="4">
        <v>5</v>
      </c>
      <c r="J223" s="80" t="str">
        <f>TEXT(tblPayments[[#This Row],[Arrival]],"mmm")</f>
        <v>Mar</v>
      </c>
      <c r="K223" s="80">
        <f>MONTH(tblPayments[[#This Row],[Arrival]])</f>
        <v>3</v>
      </c>
      <c r="L223" s="80">
        <f>YEAR(tblPayments[[#This Row],[Arrival]])</f>
        <v>2026</v>
      </c>
      <c r="M223" s="80" t="str">
        <f>IF(tblPayments[[#This Row],[Balance]]=0,"Full Payment","Deposit")</f>
        <v>Deposit</v>
      </c>
      <c r="N223" s="43">
        <v>21329.35</v>
      </c>
      <c r="O223" s="83">
        <v>45986</v>
      </c>
      <c r="P223" s="87" t="s">
        <v>15</v>
      </c>
    </row>
    <row r="224" spans="1:16" x14ac:dyDescent="0.3">
      <c r="A224" s="77" t="s">
        <v>101</v>
      </c>
      <c r="B224" s="80" t="s">
        <v>77</v>
      </c>
      <c r="C224" s="43">
        <v>37494</v>
      </c>
      <c r="D224" s="43"/>
      <c r="E224" s="43">
        <v>37494</v>
      </c>
      <c r="F224" s="80" t="s">
        <v>75</v>
      </c>
      <c r="G224" s="83">
        <v>46103</v>
      </c>
      <c r="H224" s="83">
        <v>46106</v>
      </c>
      <c r="I224" s="4">
        <v>3</v>
      </c>
      <c r="J224" s="80" t="str">
        <f>TEXT(tblPayments[[#This Row],[Arrival]],"mmm")</f>
        <v>Mar</v>
      </c>
      <c r="K224" s="80">
        <f>MONTH(tblPayments[[#This Row],[Arrival]])</f>
        <v>3</v>
      </c>
      <c r="L224" s="80">
        <f>YEAR(tblPayments[[#This Row],[Arrival]])</f>
        <v>2026</v>
      </c>
      <c r="M224" s="80" t="str">
        <f>IF(tblPayments[[#This Row],[Balance]]=0,"Full Payment","Deposit")</f>
        <v>Deposit</v>
      </c>
      <c r="N224" s="43">
        <v>26568.21</v>
      </c>
      <c r="O224" s="83">
        <v>45910</v>
      </c>
      <c r="P224" s="87" t="s">
        <v>15</v>
      </c>
    </row>
    <row r="225" spans="1:16" x14ac:dyDescent="0.3">
      <c r="A225" s="77" t="s">
        <v>101</v>
      </c>
      <c r="B225" s="80" t="s">
        <v>77</v>
      </c>
      <c r="C225" s="43">
        <v>53817</v>
      </c>
      <c r="D225" s="43">
        <v>13454.25</v>
      </c>
      <c r="E225" s="43">
        <v>40362.75</v>
      </c>
      <c r="F225" s="80" t="s">
        <v>72</v>
      </c>
      <c r="G225" s="83">
        <v>46103</v>
      </c>
      <c r="H225" s="83">
        <v>46109</v>
      </c>
      <c r="I225" s="4">
        <v>6</v>
      </c>
      <c r="J225" s="80" t="str">
        <f>TEXT(tblPayments[[#This Row],[Arrival]],"mmm")</f>
        <v>Mar</v>
      </c>
      <c r="K225" s="80">
        <f>MONTH(tblPayments[[#This Row],[Arrival]])</f>
        <v>3</v>
      </c>
      <c r="L225" s="80">
        <f>YEAR(tblPayments[[#This Row],[Arrival]])</f>
        <v>2026</v>
      </c>
      <c r="M225" s="80" t="str">
        <f>IF(tblPayments[[#This Row],[Balance]]=0,"Full Payment","Deposit")</f>
        <v>Deposit</v>
      </c>
      <c r="N225" s="43">
        <v>0</v>
      </c>
      <c r="O225" s="83">
        <v>45987</v>
      </c>
      <c r="P225" s="87" t="s">
        <v>1</v>
      </c>
    </row>
    <row r="226" spans="1:16" x14ac:dyDescent="0.3">
      <c r="A226" s="77" t="s">
        <v>101</v>
      </c>
      <c r="B226" s="80" t="s">
        <v>77</v>
      </c>
      <c r="C226" s="43">
        <v>25030</v>
      </c>
      <c r="D226" s="43">
        <v>5445</v>
      </c>
      <c r="E226" s="43">
        <v>19585</v>
      </c>
      <c r="F226" s="80" t="s">
        <v>72</v>
      </c>
      <c r="G226" s="83">
        <v>46105</v>
      </c>
      <c r="H226" s="83">
        <v>46110</v>
      </c>
      <c r="I226" s="4">
        <v>5</v>
      </c>
      <c r="J226" s="80" t="str">
        <f>TEXT(tblPayments[[#This Row],[Arrival]],"mmm")</f>
        <v>Mar</v>
      </c>
      <c r="K226" s="80">
        <f>MONTH(tblPayments[[#This Row],[Arrival]])</f>
        <v>3</v>
      </c>
      <c r="L226" s="80">
        <f>YEAR(tblPayments[[#This Row],[Arrival]])</f>
        <v>2026</v>
      </c>
      <c r="M226" s="80" t="str">
        <f>IF(tblPayments[[#This Row],[Balance]]=0,"Full Payment","Deposit")</f>
        <v>Deposit</v>
      </c>
      <c r="N226" s="43">
        <v>16056.15</v>
      </c>
      <c r="O226" s="83">
        <v>45950</v>
      </c>
      <c r="P226" s="87" t="s">
        <v>18</v>
      </c>
    </row>
    <row r="227" spans="1:16" x14ac:dyDescent="0.3">
      <c r="A227" s="77" t="s">
        <v>101</v>
      </c>
      <c r="B227" s="80" t="s">
        <v>77</v>
      </c>
      <c r="C227" s="43">
        <v>168692.4</v>
      </c>
      <c r="D227" s="43"/>
      <c r="E227" s="43">
        <v>168692.4</v>
      </c>
      <c r="F227" s="80" t="s">
        <v>79</v>
      </c>
      <c r="G227" s="83">
        <v>46106</v>
      </c>
      <c r="H227" s="83">
        <v>46118</v>
      </c>
      <c r="I227" s="4">
        <v>12</v>
      </c>
      <c r="J227" s="80" t="str">
        <f>TEXT(tblPayments[[#This Row],[Arrival]],"mmm")</f>
        <v>Mar</v>
      </c>
      <c r="K227" s="80">
        <f>MONTH(tblPayments[[#This Row],[Arrival]])</f>
        <v>3</v>
      </c>
      <c r="L227" s="80">
        <f>YEAR(tblPayments[[#This Row],[Arrival]])</f>
        <v>2026</v>
      </c>
      <c r="M227" s="80" t="str">
        <f>IF(tblPayments[[#This Row],[Balance]]=0,"Full Payment","Deposit")</f>
        <v>Deposit</v>
      </c>
      <c r="N227" s="43">
        <v>0</v>
      </c>
      <c r="O227" s="83">
        <v>45791</v>
      </c>
      <c r="P227" s="87" t="s">
        <v>2</v>
      </c>
    </row>
    <row r="228" spans="1:16" x14ac:dyDescent="0.3">
      <c r="A228" s="77" t="s">
        <v>101</v>
      </c>
      <c r="B228" s="80" t="s">
        <v>77</v>
      </c>
      <c r="C228" s="43"/>
      <c r="D228" s="43"/>
      <c r="E228" s="43"/>
      <c r="F228" s="80" t="s">
        <v>73</v>
      </c>
      <c r="G228" s="83">
        <v>46106</v>
      </c>
      <c r="H228" s="83">
        <v>46127</v>
      </c>
      <c r="I228" s="4">
        <v>21</v>
      </c>
      <c r="J228" s="80" t="str">
        <f>TEXT(tblPayments[[#This Row],[Arrival]],"mmm")</f>
        <v>Mar</v>
      </c>
      <c r="K228" s="80">
        <f>MONTH(tblPayments[[#This Row],[Arrival]])</f>
        <v>3</v>
      </c>
      <c r="L228" s="80">
        <f>YEAR(tblPayments[[#This Row],[Arrival]])</f>
        <v>2026</v>
      </c>
      <c r="M228" s="80" t="str">
        <f>IF(tblPayments[[#This Row],[Balance]]=0,"Full Payment","Deposit")</f>
        <v>Full Payment</v>
      </c>
      <c r="N228" s="43">
        <v>0</v>
      </c>
      <c r="O228" s="83">
        <v>45744</v>
      </c>
      <c r="P228" s="87" t="s">
        <v>16</v>
      </c>
    </row>
    <row r="229" spans="1:16" x14ac:dyDescent="0.3">
      <c r="A229" s="77" t="s">
        <v>101</v>
      </c>
      <c r="B229" s="80" t="s">
        <v>77</v>
      </c>
      <c r="C229" s="43">
        <v>33311</v>
      </c>
      <c r="D229" s="43"/>
      <c r="E229" s="43">
        <v>33311</v>
      </c>
      <c r="F229" s="80" t="s">
        <v>75</v>
      </c>
      <c r="G229" s="83">
        <v>46108</v>
      </c>
      <c r="H229" s="83">
        <v>46117</v>
      </c>
      <c r="I229" s="4">
        <v>9</v>
      </c>
      <c r="J229" s="80" t="str">
        <f>TEXT(tblPayments[[#This Row],[Arrival]],"mmm")</f>
        <v>Mar</v>
      </c>
      <c r="K229" s="80">
        <f>MONTH(tblPayments[[#This Row],[Arrival]])</f>
        <v>3</v>
      </c>
      <c r="L229" s="80">
        <f>YEAR(tblPayments[[#This Row],[Arrival]])</f>
        <v>2026</v>
      </c>
      <c r="M229" s="80" t="str">
        <f>IF(tblPayments[[#This Row],[Balance]]=0,"Full Payment","Deposit")</f>
        <v>Deposit</v>
      </c>
      <c r="N229" s="43">
        <v>0</v>
      </c>
      <c r="O229" s="83">
        <v>45838</v>
      </c>
      <c r="P229" s="87" t="s">
        <v>24</v>
      </c>
    </row>
    <row r="230" spans="1:16" x14ac:dyDescent="0.3">
      <c r="A230" s="77" t="s">
        <v>101</v>
      </c>
      <c r="B230" s="80" t="s">
        <v>77</v>
      </c>
      <c r="C230" s="43">
        <v>20213</v>
      </c>
      <c r="D230" s="43"/>
      <c r="E230" s="43">
        <v>20213</v>
      </c>
      <c r="F230" s="80" t="s">
        <v>75</v>
      </c>
      <c r="G230" s="83">
        <v>46108</v>
      </c>
      <c r="H230" s="83">
        <v>46110</v>
      </c>
      <c r="I230" s="4">
        <v>2</v>
      </c>
      <c r="J230" s="80" t="str">
        <f>TEXT(tblPayments[[#This Row],[Arrival]],"mmm")</f>
        <v>Mar</v>
      </c>
      <c r="K230" s="80">
        <f>MONTH(tblPayments[[#This Row],[Arrival]])</f>
        <v>3</v>
      </c>
      <c r="L230" s="80">
        <f>YEAR(tblPayments[[#This Row],[Arrival]])</f>
        <v>2026</v>
      </c>
      <c r="M230" s="80" t="str">
        <f>IF(tblPayments[[#This Row],[Balance]]=0,"Full Payment","Deposit")</f>
        <v>Deposit</v>
      </c>
      <c r="N230" s="43">
        <v>12280.5</v>
      </c>
      <c r="O230" s="83">
        <v>45792</v>
      </c>
      <c r="P230" s="87" t="s">
        <v>2</v>
      </c>
    </row>
    <row r="231" spans="1:16" x14ac:dyDescent="0.3">
      <c r="A231" s="77" t="s">
        <v>101</v>
      </c>
      <c r="B231" s="80" t="s">
        <v>77</v>
      </c>
      <c r="C231" s="43">
        <v>51327.32</v>
      </c>
      <c r="D231" s="43"/>
      <c r="E231" s="43">
        <v>51327.32</v>
      </c>
      <c r="F231" s="80" t="s">
        <v>75</v>
      </c>
      <c r="G231" s="83">
        <v>46108</v>
      </c>
      <c r="H231" s="83">
        <v>46115</v>
      </c>
      <c r="I231" s="4">
        <v>7</v>
      </c>
      <c r="J231" s="80" t="str">
        <f>TEXT(tblPayments[[#This Row],[Arrival]],"mmm")</f>
        <v>Mar</v>
      </c>
      <c r="K231" s="80">
        <f>MONTH(tblPayments[[#This Row],[Arrival]])</f>
        <v>3</v>
      </c>
      <c r="L231" s="80">
        <f>YEAR(tblPayments[[#This Row],[Arrival]])</f>
        <v>2026</v>
      </c>
      <c r="M231" s="80" t="str">
        <f>IF(tblPayments[[#This Row],[Balance]]=0,"Full Payment","Deposit")</f>
        <v>Deposit</v>
      </c>
      <c r="N231" s="43">
        <v>20498.59</v>
      </c>
      <c r="O231" s="83">
        <v>45958</v>
      </c>
      <c r="P231" s="87" t="s">
        <v>2</v>
      </c>
    </row>
    <row r="232" spans="1:16" x14ac:dyDescent="0.3">
      <c r="A232" s="77" t="s">
        <v>101</v>
      </c>
      <c r="B232" s="80" t="s">
        <v>77</v>
      </c>
      <c r="C232" s="43">
        <v>110000</v>
      </c>
      <c r="D232" s="43">
        <v>27500</v>
      </c>
      <c r="E232" s="43">
        <v>82500</v>
      </c>
      <c r="F232" s="80" t="s">
        <v>72</v>
      </c>
      <c r="G232" s="83">
        <v>46109</v>
      </c>
      <c r="H232" s="83">
        <v>46121</v>
      </c>
      <c r="I232" s="4">
        <v>12</v>
      </c>
      <c r="J232" s="80" t="str">
        <f>TEXT(tblPayments[[#This Row],[Arrival]],"mmm")</f>
        <v>Mar</v>
      </c>
      <c r="K232" s="80">
        <f>MONTH(tblPayments[[#This Row],[Arrival]])</f>
        <v>3</v>
      </c>
      <c r="L232" s="80">
        <f>YEAR(tblPayments[[#This Row],[Arrival]])</f>
        <v>2026</v>
      </c>
      <c r="M232" s="80" t="str">
        <f>IF(tblPayments[[#This Row],[Balance]]=0,"Full Payment","Deposit")</f>
        <v>Deposit</v>
      </c>
      <c r="N232" s="43">
        <v>65174.879999999997</v>
      </c>
      <c r="O232" s="83">
        <v>45879</v>
      </c>
      <c r="P232" s="87" t="s">
        <v>13</v>
      </c>
    </row>
    <row r="233" spans="1:16" x14ac:dyDescent="0.3">
      <c r="A233" s="77" t="s">
        <v>101</v>
      </c>
      <c r="B233" s="80" t="s">
        <v>77</v>
      </c>
      <c r="C233" s="43">
        <v>60000</v>
      </c>
      <c r="D233" s="43"/>
      <c r="E233" s="43">
        <v>60000</v>
      </c>
      <c r="F233" s="80" t="s">
        <v>79</v>
      </c>
      <c r="G233" s="83">
        <v>46109</v>
      </c>
      <c r="H233" s="83">
        <v>46118</v>
      </c>
      <c r="I233" s="4">
        <v>9</v>
      </c>
      <c r="J233" s="80" t="str">
        <f>TEXT(tblPayments[[#This Row],[Arrival]],"mmm")</f>
        <v>Mar</v>
      </c>
      <c r="K233" s="80">
        <f>MONTH(tblPayments[[#This Row],[Arrival]])</f>
        <v>3</v>
      </c>
      <c r="L233" s="80">
        <f>YEAR(tblPayments[[#This Row],[Arrival]])</f>
        <v>2026</v>
      </c>
      <c r="M233" s="80" t="str">
        <f>IF(tblPayments[[#This Row],[Balance]]=0,"Full Payment","Deposit")</f>
        <v>Deposit</v>
      </c>
      <c r="N233" s="43">
        <v>35097.03</v>
      </c>
      <c r="O233" s="83">
        <v>45898</v>
      </c>
      <c r="P233" s="87" t="s">
        <v>13</v>
      </c>
    </row>
    <row r="234" spans="1:16" x14ac:dyDescent="0.3">
      <c r="A234" s="77" t="s">
        <v>101</v>
      </c>
      <c r="B234" s="80" t="s">
        <v>77</v>
      </c>
      <c r="C234" s="43">
        <v>128216</v>
      </c>
      <c r="D234" s="43"/>
      <c r="E234" s="43">
        <v>128216</v>
      </c>
      <c r="F234" s="80" t="s">
        <v>75</v>
      </c>
      <c r="G234" s="83">
        <v>46109</v>
      </c>
      <c r="H234" s="83">
        <v>46122</v>
      </c>
      <c r="I234" s="4">
        <v>13</v>
      </c>
      <c r="J234" s="80" t="str">
        <f>TEXT(tblPayments[[#This Row],[Arrival]],"mmm")</f>
        <v>Mar</v>
      </c>
      <c r="K234" s="80">
        <f>MONTH(tblPayments[[#This Row],[Arrival]])</f>
        <v>3</v>
      </c>
      <c r="L234" s="80">
        <f>YEAR(tblPayments[[#This Row],[Arrival]])</f>
        <v>2026</v>
      </c>
      <c r="M234" s="80" t="str">
        <f>IF(tblPayments[[#This Row],[Balance]]=0,"Full Payment","Deposit")</f>
        <v>Deposit</v>
      </c>
      <c r="N234" s="43">
        <v>80136.42</v>
      </c>
      <c r="O234" s="83">
        <v>45520</v>
      </c>
      <c r="P234" s="87" t="s">
        <v>13</v>
      </c>
    </row>
    <row r="235" spans="1:16" x14ac:dyDescent="0.3">
      <c r="A235" s="77" t="s">
        <v>101</v>
      </c>
      <c r="B235" s="80" t="s">
        <v>76</v>
      </c>
      <c r="C235" s="43">
        <v>39132</v>
      </c>
      <c r="D235" s="43">
        <v>9783</v>
      </c>
      <c r="E235" s="43">
        <v>29349</v>
      </c>
      <c r="F235" s="80" t="s">
        <v>72</v>
      </c>
      <c r="G235" s="83">
        <v>46110</v>
      </c>
      <c r="H235" s="83">
        <v>46122</v>
      </c>
      <c r="I235" s="4">
        <v>12</v>
      </c>
      <c r="J235" s="80" t="str">
        <f>TEXT(tblPayments[[#This Row],[Arrival]],"mmm")</f>
        <v>Mar</v>
      </c>
      <c r="K235" s="80">
        <f>MONTH(tblPayments[[#This Row],[Arrival]])</f>
        <v>3</v>
      </c>
      <c r="L235" s="80">
        <f>YEAR(tblPayments[[#This Row],[Arrival]])</f>
        <v>2026</v>
      </c>
      <c r="M235" s="80" t="str">
        <f>IF(tblPayments[[#This Row],[Balance]]=0,"Full Payment","Deposit")</f>
        <v>Deposit</v>
      </c>
      <c r="N235" s="43">
        <v>17062.919999999998</v>
      </c>
      <c r="O235" s="83">
        <v>45870</v>
      </c>
      <c r="P235" s="87" t="s">
        <v>13</v>
      </c>
    </row>
    <row r="236" spans="1:16" x14ac:dyDescent="0.3">
      <c r="A236" s="77" t="s">
        <v>101</v>
      </c>
      <c r="B236" s="80" t="s">
        <v>76</v>
      </c>
      <c r="C236" s="43">
        <v>61062.2</v>
      </c>
      <c r="D236" s="43"/>
      <c r="E236" s="43">
        <v>61062.2</v>
      </c>
      <c r="F236" s="80" t="s">
        <v>75</v>
      </c>
      <c r="G236" s="83">
        <v>46110</v>
      </c>
      <c r="H236" s="83">
        <v>46117</v>
      </c>
      <c r="I236" s="4">
        <v>7</v>
      </c>
      <c r="J236" s="80" t="str">
        <f>TEXT(tblPayments[[#This Row],[Arrival]],"mmm")</f>
        <v>Mar</v>
      </c>
      <c r="K236" s="80">
        <f>MONTH(tblPayments[[#This Row],[Arrival]])</f>
        <v>3</v>
      </c>
      <c r="L236" s="80">
        <f>YEAR(tblPayments[[#This Row],[Arrival]])</f>
        <v>2026</v>
      </c>
      <c r="M236" s="80" t="str">
        <f>IF(tblPayments[[#This Row],[Balance]]=0,"Full Payment","Deposit")</f>
        <v>Deposit</v>
      </c>
      <c r="N236" s="43">
        <v>39581.22</v>
      </c>
      <c r="O236" s="83">
        <v>45886</v>
      </c>
      <c r="P236" s="87" t="s">
        <v>5</v>
      </c>
    </row>
    <row r="237" spans="1:16" x14ac:dyDescent="0.3">
      <c r="A237" s="77" t="s">
        <v>101</v>
      </c>
      <c r="B237" s="80" t="s">
        <v>76</v>
      </c>
      <c r="C237" s="43">
        <v>168644.08</v>
      </c>
      <c r="D237" s="43">
        <v>63930.5</v>
      </c>
      <c r="E237" s="43">
        <v>104713.58</v>
      </c>
      <c r="F237" s="80" t="s">
        <v>72</v>
      </c>
      <c r="G237" s="83">
        <v>46110</v>
      </c>
      <c r="H237" s="83">
        <v>46119</v>
      </c>
      <c r="I237" s="4">
        <v>9</v>
      </c>
      <c r="J237" s="80" t="str">
        <f>TEXT(tblPayments[[#This Row],[Arrival]],"mmm")</f>
        <v>Mar</v>
      </c>
      <c r="K237" s="80">
        <f>MONTH(tblPayments[[#This Row],[Arrival]])</f>
        <v>3</v>
      </c>
      <c r="L237" s="80">
        <f>YEAR(tblPayments[[#This Row],[Arrival]])</f>
        <v>2026</v>
      </c>
      <c r="M237" s="80" t="str">
        <f>IF(tblPayments[[#This Row],[Balance]]=0,"Full Payment","Deposit")</f>
        <v>Deposit</v>
      </c>
      <c r="N237" s="43">
        <v>87221.16</v>
      </c>
      <c r="O237" s="83">
        <v>45792</v>
      </c>
      <c r="P237" s="87" t="s">
        <v>2</v>
      </c>
    </row>
    <row r="238" spans="1:16" x14ac:dyDescent="0.3">
      <c r="A238" s="77" t="s">
        <v>101</v>
      </c>
      <c r="B238" s="80" t="s">
        <v>76</v>
      </c>
      <c r="C238" s="43">
        <v>259536</v>
      </c>
      <c r="D238" s="43">
        <v>64884</v>
      </c>
      <c r="E238" s="43">
        <v>194652</v>
      </c>
      <c r="F238" s="80" t="s">
        <v>72</v>
      </c>
      <c r="G238" s="83">
        <v>46110</v>
      </c>
      <c r="H238" s="83">
        <v>46123</v>
      </c>
      <c r="I238" s="4">
        <v>13</v>
      </c>
      <c r="J238" s="80" t="str">
        <f>TEXT(tblPayments[[#This Row],[Arrival]],"mmm")</f>
        <v>Mar</v>
      </c>
      <c r="K238" s="80">
        <f>MONTH(tblPayments[[#This Row],[Arrival]])</f>
        <v>3</v>
      </c>
      <c r="L238" s="80">
        <f>YEAR(tblPayments[[#This Row],[Arrival]])</f>
        <v>2026</v>
      </c>
      <c r="M238" s="80" t="str">
        <f>IF(tblPayments[[#This Row],[Balance]]=0,"Full Payment","Deposit")</f>
        <v>Deposit</v>
      </c>
      <c r="N238" s="43">
        <v>178230.26</v>
      </c>
      <c r="O238" s="83">
        <v>45871</v>
      </c>
      <c r="P238" s="87" t="s">
        <v>13</v>
      </c>
    </row>
    <row r="239" spans="1:16" x14ac:dyDescent="0.3">
      <c r="A239" s="77" t="s">
        <v>101</v>
      </c>
      <c r="B239" s="80" t="s">
        <v>76</v>
      </c>
      <c r="C239" s="43">
        <v>124950.39999999999</v>
      </c>
      <c r="D239" s="43"/>
      <c r="E239" s="43">
        <v>124950.39999999999</v>
      </c>
      <c r="F239" s="80" t="s">
        <v>75</v>
      </c>
      <c r="G239" s="83">
        <v>46110</v>
      </c>
      <c r="H239" s="83">
        <v>46124</v>
      </c>
      <c r="I239" s="4">
        <v>14</v>
      </c>
      <c r="J239" s="80" t="str">
        <f>TEXT(tblPayments[[#This Row],[Arrival]],"mmm")</f>
        <v>Mar</v>
      </c>
      <c r="K239" s="80">
        <f>MONTH(tblPayments[[#This Row],[Arrival]])</f>
        <v>3</v>
      </c>
      <c r="L239" s="80">
        <f>YEAR(tblPayments[[#This Row],[Arrival]])</f>
        <v>2026</v>
      </c>
      <c r="M239" s="80" t="str">
        <f>IF(tblPayments[[#This Row],[Balance]]=0,"Full Payment","Deposit")</f>
        <v>Deposit</v>
      </c>
      <c r="N239" s="43">
        <v>73710.42</v>
      </c>
      <c r="O239" s="83">
        <v>45721</v>
      </c>
      <c r="P239" s="87" t="s">
        <v>2</v>
      </c>
    </row>
    <row r="240" spans="1:16" x14ac:dyDescent="0.3">
      <c r="A240" s="77" t="s">
        <v>101</v>
      </c>
      <c r="B240" s="80" t="s">
        <v>76</v>
      </c>
      <c r="C240" s="43"/>
      <c r="D240" s="43"/>
      <c r="E240" s="43"/>
      <c r="F240" s="80" t="s">
        <v>73</v>
      </c>
      <c r="G240" s="83">
        <v>46110</v>
      </c>
      <c r="H240" s="83">
        <v>46119</v>
      </c>
      <c r="I240" s="4">
        <v>9</v>
      </c>
      <c r="J240" s="80" t="str">
        <f>TEXT(tblPayments[[#This Row],[Arrival]],"mmm")</f>
        <v>Mar</v>
      </c>
      <c r="K240" s="80">
        <f>MONTH(tblPayments[[#This Row],[Arrival]])</f>
        <v>3</v>
      </c>
      <c r="L240" s="80">
        <f>YEAR(tblPayments[[#This Row],[Arrival]])</f>
        <v>2026</v>
      </c>
      <c r="M240" s="80" t="str">
        <f>IF(tblPayments[[#This Row],[Balance]]=0,"Full Payment","Deposit")</f>
        <v>Full Payment</v>
      </c>
      <c r="N240" s="43">
        <v>0</v>
      </c>
      <c r="O240" s="83">
        <v>45984</v>
      </c>
      <c r="P240" s="87" t="s">
        <v>18</v>
      </c>
    </row>
    <row r="241" spans="1:16" x14ac:dyDescent="0.3">
      <c r="A241" s="77" t="s">
        <v>101</v>
      </c>
      <c r="B241" s="80" t="s">
        <v>76</v>
      </c>
      <c r="C241" s="43">
        <v>50628</v>
      </c>
      <c r="D241" s="43"/>
      <c r="E241" s="43">
        <v>50628</v>
      </c>
      <c r="F241" s="80" t="s">
        <v>75</v>
      </c>
      <c r="G241" s="83">
        <v>46110</v>
      </c>
      <c r="H241" s="83">
        <v>46115</v>
      </c>
      <c r="I241" s="4">
        <v>5</v>
      </c>
      <c r="J241" s="80" t="str">
        <f>TEXT(tblPayments[[#This Row],[Arrival]],"mmm")</f>
        <v>Mar</v>
      </c>
      <c r="K241" s="80">
        <f>MONTH(tblPayments[[#This Row],[Arrival]])</f>
        <v>3</v>
      </c>
      <c r="L241" s="80">
        <f>YEAR(tblPayments[[#This Row],[Arrival]])</f>
        <v>2026</v>
      </c>
      <c r="M241" s="80" t="str">
        <f>IF(tblPayments[[#This Row],[Balance]]=0,"Full Payment","Deposit")</f>
        <v>Deposit</v>
      </c>
      <c r="N241" s="43">
        <v>30216</v>
      </c>
      <c r="O241" s="83">
        <v>45863</v>
      </c>
      <c r="P241" s="87" t="s">
        <v>15</v>
      </c>
    </row>
    <row r="242" spans="1:16" x14ac:dyDescent="0.3">
      <c r="A242" s="77" t="s">
        <v>101</v>
      </c>
      <c r="B242" s="80" t="s">
        <v>76</v>
      </c>
      <c r="C242" s="43">
        <v>57089.5</v>
      </c>
      <c r="D242" s="43">
        <v>14272.38</v>
      </c>
      <c r="E242" s="43">
        <v>42817.120000000003</v>
      </c>
      <c r="F242" s="80" t="s">
        <v>72</v>
      </c>
      <c r="G242" s="83">
        <v>46111</v>
      </c>
      <c r="H242" s="83">
        <v>46121</v>
      </c>
      <c r="I242" s="4">
        <v>10</v>
      </c>
      <c r="J242" s="80" t="str">
        <f>TEXT(tblPayments[[#This Row],[Arrival]],"mmm")</f>
        <v>Mar</v>
      </c>
      <c r="K242" s="80">
        <f>MONTH(tblPayments[[#This Row],[Arrival]])</f>
        <v>3</v>
      </c>
      <c r="L242" s="80">
        <f>YEAR(tblPayments[[#This Row],[Arrival]])</f>
        <v>2026</v>
      </c>
      <c r="M242" s="80" t="str">
        <f>IF(tblPayments[[#This Row],[Balance]]=0,"Full Payment","Deposit")</f>
        <v>Deposit</v>
      </c>
      <c r="N242" s="43">
        <v>33044.9</v>
      </c>
      <c r="O242" s="83">
        <v>45875</v>
      </c>
      <c r="P242" s="87" t="s">
        <v>2</v>
      </c>
    </row>
    <row r="243" spans="1:16" x14ac:dyDescent="0.3">
      <c r="A243" s="77" t="s">
        <v>101</v>
      </c>
      <c r="B243" s="80" t="s">
        <v>76</v>
      </c>
      <c r="C243" s="43">
        <v>57089.5</v>
      </c>
      <c r="D243" s="43">
        <v>14272.37</v>
      </c>
      <c r="E243" s="43">
        <v>42817.13</v>
      </c>
      <c r="F243" s="80" t="s">
        <v>72</v>
      </c>
      <c r="G243" s="83">
        <v>46111</v>
      </c>
      <c r="H243" s="83">
        <v>46121</v>
      </c>
      <c r="I243" s="4">
        <v>10</v>
      </c>
      <c r="J243" s="80" t="str">
        <f>TEXT(tblPayments[[#This Row],[Arrival]],"mmm")</f>
        <v>Mar</v>
      </c>
      <c r="K243" s="80">
        <f>MONTH(tblPayments[[#This Row],[Arrival]])</f>
        <v>3</v>
      </c>
      <c r="L243" s="80">
        <f>YEAR(tblPayments[[#This Row],[Arrival]])</f>
        <v>2026</v>
      </c>
      <c r="M243" s="80" t="str">
        <f>IF(tblPayments[[#This Row],[Balance]]=0,"Full Payment","Deposit")</f>
        <v>Deposit</v>
      </c>
      <c r="N243" s="43">
        <v>33044.9</v>
      </c>
      <c r="O243" s="83">
        <v>45875</v>
      </c>
      <c r="P243" s="87" t="s">
        <v>2</v>
      </c>
    </row>
    <row r="244" spans="1:16" x14ac:dyDescent="0.3">
      <c r="A244" s="77" t="s">
        <v>101</v>
      </c>
      <c r="B244" s="80" t="s">
        <v>76</v>
      </c>
      <c r="C244" s="43">
        <v>43724</v>
      </c>
      <c r="D244" s="43">
        <v>10931</v>
      </c>
      <c r="E244" s="43">
        <v>32793</v>
      </c>
      <c r="F244" s="80" t="s">
        <v>72</v>
      </c>
      <c r="G244" s="83">
        <v>46111</v>
      </c>
      <c r="H244" s="83">
        <v>46121</v>
      </c>
      <c r="I244" s="4">
        <v>10</v>
      </c>
      <c r="J244" s="80" t="str">
        <f>TEXT(tblPayments[[#This Row],[Arrival]],"mmm")</f>
        <v>Mar</v>
      </c>
      <c r="K244" s="80">
        <f>MONTH(tblPayments[[#This Row],[Arrival]])</f>
        <v>3</v>
      </c>
      <c r="L244" s="80">
        <f>YEAR(tblPayments[[#This Row],[Arrival]])</f>
        <v>2026</v>
      </c>
      <c r="M244" s="80" t="str">
        <f>IF(tblPayments[[#This Row],[Balance]]=0,"Full Payment","Deposit")</f>
        <v>Deposit</v>
      </c>
      <c r="N244" s="43">
        <v>24980.2</v>
      </c>
      <c r="O244" s="83">
        <v>45875</v>
      </c>
      <c r="P244" s="87" t="s">
        <v>2</v>
      </c>
    </row>
    <row r="245" spans="1:16" x14ac:dyDescent="0.3">
      <c r="A245" s="77" t="s">
        <v>101</v>
      </c>
      <c r="B245" s="80" t="s">
        <v>76</v>
      </c>
      <c r="C245" s="43">
        <v>114897</v>
      </c>
      <c r="D245" s="43">
        <v>114897</v>
      </c>
      <c r="E245" s="43"/>
      <c r="F245" s="80" t="s">
        <v>70</v>
      </c>
      <c r="G245" s="83">
        <v>46112</v>
      </c>
      <c r="H245" s="83">
        <v>46118</v>
      </c>
      <c r="I245" s="4">
        <v>6</v>
      </c>
      <c r="J245" s="80" t="str">
        <f>TEXT(tblPayments[[#This Row],[Arrival]],"mmm")</f>
        <v>Mar</v>
      </c>
      <c r="K245" s="80">
        <f>MONTH(tblPayments[[#This Row],[Arrival]])</f>
        <v>3</v>
      </c>
      <c r="L245" s="80">
        <f>YEAR(tblPayments[[#This Row],[Arrival]])</f>
        <v>2026</v>
      </c>
      <c r="M245" s="80" t="str">
        <f>IF(tblPayments[[#This Row],[Balance]]=0,"Full Payment","Deposit")</f>
        <v>Full Payment</v>
      </c>
      <c r="N245" s="43">
        <v>76026.36</v>
      </c>
      <c r="O245" s="83">
        <v>45970</v>
      </c>
      <c r="P245" s="87" t="s">
        <v>31</v>
      </c>
    </row>
    <row r="246" spans="1:16" x14ac:dyDescent="0.3">
      <c r="A246" s="77" t="s">
        <v>101</v>
      </c>
      <c r="B246" s="80" t="s">
        <v>76</v>
      </c>
      <c r="C246" s="43">
        <v>31929</v>
      </c>
      <c r="D246" s="43">
        <v>7982.25</v>
      </c>
      <c r="E246" s="43">
        <v>23946.75</v>
      </c>
      <c r="F246" s="80" t="s">
        <v>72</v>
      </c>
      <c r="G246" s="83">
        <v>46113</v>
      </c>
      <c r="H246" s="83">
        <v>46122</v>
      </c>
      <c r="I246" s="4">
        <v>9</v>
      </c>
      <c r="J246" s="80" t="str">
        <f>TEXT(tblPayments[[#This Row],[Arrival]],"mmm")</f>
        <v>Apr</v>
      </c>
      <c r="K246" s="80">
        <f>MONTH(tblPayments[[#This Row],[Arrival]])</f>
        <v>4</v>
      </c>
      <c r="L246" s="80">
        <f>YEAR(tblPayments[[#This Row],[Arrival]])</f>
        <v>2026</v>
      </c>
      <c r="M246" s="80" t="str">
        <f>IF(tblPayments[[#This Row],[Balance]]=0,"Full Payment","Deposit")</f>
        <v>Deposit</v>
      </c>
      <c r="N246" s="43">
        <v>18587.79</v>
      </c>
      <c r="O246" s="83">
        <v>45436</v>
      </c>
      <c r="P246" s="87" t="s">
        <v>13</v>
      </c>
    </row>
    <row r="247" spans="1:16" x14ac:dyDescent="0.3">
      <c r="A247" s="77" t="s">
        <v>101</v>
      </c>
      <c r="B247" s="80" t="s">
        <v>76</v>
      </c>
      <c r="C247" s="43">
        <v>83356</v>
      </c>
      <c r="D247" s="43">
        <v>28164.5</v>
      </c>
      <c r="E247" s="43">
        <v>55191.5</v>
      </c>
      <c r="F247" s="80" t="s">
        <v>72</v>
      </c>
      <c r="G247" s="83">
        <v>46113</v>
      </c>
      <c r="H247" s="83">
        <v>46122</v>
      </c>
      <c r="I247" s="4">
        <v>9</v>
      </c>
      <c r="J247" s="80" t="str">
        <f>TEXT(tblPayments[[#This Row],[Arrival]],"mmm")</f>
        <v>Apr</v>
      </c>
      <c r="K247" s="80">
        <f>MONTH(tblPayments[[#This Row],[Arrival]])</f>
        <v>4</v>
      </c>
      <c r="L247" s="80">
        <f>YEAR(tblPayments[[#This Row],[Arrival]])</f>
        <v>2026</v>
      </c>
      <c r="M247" s="80" t="str">
        <f>IF(tblPayments[[#This Row],[Balance]]=0,"Full Payment","Deposit")</f>
        <v>Deposit</v>
      </c>
      <c r="N247" s="43">
        <v>56583.9</v>
      </c>
      <c r="O247" s="83">
        <v>45414</v>
      </c>
      <c r="P247" s="87" t="s">
        <v>13</v>
      </c>
    </row>
    <row r="248" spans="1:16" x14ac:dyDescent="0.3">
      <c r="A248" s="77" t="s">
        <v>101</v>
      </c>
      <c r="B248" s="80" t="s">
        <v>76</v>
      </c>
      <c r="C248" s="43"/>
      <c r="D248" s="43"/>
      <c r="E248" s="43"/>
      <c r="F248" s="80" t="s">
        <v>73</v>
      </c>
      <c r="G248" s="83">
        <v>46114</v>
      </c>
      <c r="H248" s="83">
        <v>46122</v>
      </c>
      <c r="I248" s="4">
        <v>8</v>
      </c>
      <c r="J248" s="80" t="str">
        <f>TEXT(tblPayments[[#This Row],[Arrival]],"mmm")</f>
        <v>Apr</v>
      </c>
      <c r="K248" s="80">
        <f>MONTH(tblPayments[[#This Row],[Arrival]])</f>
        <v>4</v>
      </c>
      <c r="L248" s="80">
        <f>YEAR(tblPayments[[#This Row],[Arrival]])</f>
        <v>2026</v>
      </c>
      <c r="M248" s="80" t="str">
        <f>IF(tblPayments[[#This Row],[Balance]]=0,"Full Payment","Deposit")</f>
        <v>Full Payment</v>
      </c>
      <c r="N248" s="43">
        <v>0</v>
      </c>
      <c r="O248" s="83">
        <v>45953</v>
      </c>
      <c r="P248" s="87" t="s">
        <v>38</v>
      </c>
    </row>
    <row r="249" spans="1:16" x14ac:dyDescent="0.3">
      <c r="A249" s="77" t="s">
        <v>101</v>
      </c>
      <c r="B249" s="80" t="s">
        <v>76</v>
      </c>
      <c r="C249" s="43">
        <v>34570</v>
      </c>
      <c r="D249" s="43">
        <v>8642.5</v>
      </c>
      <c r="E249" s="43">
        <v>25927.5</v>
      </c>
      <c r="F249" s="80" t="s">
        <v>72</v>
      </c>
      <c r="G249" s="83">
        <v>46114</v>
      </c>
      <c r="H249" s="83">
        <v>46126</v>
      </c>
      <c r="I249" s="4">
        <v>12</v>
      </c>
      <c r="J249" s="80" t="str">
        <f>TEXT(tblPayments[[#This Row],[Arrival]],"mmm")</f>
        <v>Apr</v>
      </c>
      <c r="K249" s="80">
        <f>MONTH(tblPayments[[#This Row],[Arrival]])</f>
        <v>4</v>
      </c>
      <c r="L249" s="80">
        <f>YEAR(tblPayments[[#This Row],[Arrival]])</f>
        <v>2026</v>
      </c>
      <c r="M249" s="80" t="str">
        <f>IF(tblPayments[[#This Row],[Balance]]=0,"Full Payment","Deposit")</f>
        <v>Deposit</v>
      </c>
      <c r="N249" s="43">
        <v>18531.48</v>
      </c>
      <c r="O249" s="83">
        <v>45398</v>
      </c>
      <c r="P249" s="87" t="s">
        <v>13</v>
      </c>
    </row>
    <row r="250" spans="1:16" x14ac:dyDescent="0.3">
      <c r="A250" s="77" t="s">
        <v>101</v>
      </c>
      <c r="B250" s="80" t="s">
        <v>76</v>
      </c>
      <c r="C250" s="43">
        <v>124264.98</v>
      </c>
      <c r="D250" s="43">
        <v>35456.61</v>
      </c>
      <c r="E250" s="43">
        <v>88808.37</v>
      </c>
      <c r="F250" s="80" t="s">
        <v>72</v>
      </c>
      <c r="G250" s="83">
        <v>46115</v>
      </c>
      <c r="H250" s="83">
        <v>46123</v>
      </c>
      <c r="I250" s="4">
        <v>8</v>
      </c>
      <c r="J250" s="80" t="str">
        <f>TEXT(tblPayments[[#This Row],[Arrival]],"mmm")</f>
        <v>Apr</v>
      </c>
      <c r="K250" s="80">
        <f>MONTH(tblPayments[[#This Row],[Arrival]])</f>
        <v>4</v>
      </c>
      <c r="L250" s="80">
        <f>YEAR(tblPayments[[#This Row],[Arrival]])</f>
        <v>2026</v>
      </c>
      <c r="M250" s="80" t="str">
        <f>IF(tblPayments[[#This Row],[Balance]]=0,"Full Payment","Deposit")</f>
        <v>Deposit</v>
      </c>
      <c r="N250" s="43">
        <v>78999.520000000004</v>
      </c>
      <c r="O250" s="83">
        <v>45760</v>
      </c>
      <c r="P250" s="87" t="s">
        <v>18</v>
      </c>
    </row>
    <row r="251" spans="1:16" x14ac:dyDescent="0.3">
      <c r="A251" s="77" t="s">
        <v>101</v>
      </c>
      <c r="B251" s="80" t="s">
        <v>76</v>
      </c>
      <c r="C251" s="43">
        <v>40346</v>
      </c>
      <c r="D251" s="43"/>
      <c r="E251" s="43">
        <v>40346</v>
      </c>
      <c r="F251" s="80" t="s">
        <v>75</v>
      </c>
      <c r="G251" s="83">
        <v>46115</v>
      </c>
      <c r="H251" s="83">
        <v>46122</v>
      </c>
      <c r="I251" s="4">
        <v>7</v>
      </c>
      <c r="J251" s="80" t="str">
        <f>TEXT(tblPayments[[#This Row],[Arrival]],"mmm")</f>
        <v>Apr</v>
      </c>
      <c r="K251" s="80">
        <f>MONTH(tblPayments[[#This Row],[Arrival]])</f>
        <v>4</v>
      </c>
      <c r="L251" s="80">
        <f>YEAR(tblPayments[[#This Row],[Arrival]])</f>
        <v>2026</v>
      </c>
      <c r="M251" s="80" t="str">
        <f>IF(tblPayments[[#This Row],[Balance]]=0,"Full Payment","Deposit")</f>
        <v>Deposit</v>
      </c>
      <c r="N251" s="43">
        <v>22235.85</v>
      </c>
      <c r="O251" s="83">
        <v>45887</v>
      </c>
      <c r="P251" s="87" t="s">
        <v>13</v>
      </c>
    </row>
    <row r="252" spans="1:16" x14ac:dyDescent="0.3">
      <c r="A252" s="77" t="s">
        <v>101</v>
      </c>
      <c r="B252" s="80" t="s">
        <v>76</v>
      </c>
      <c r="C252" s="43">
        <v>39900</v>
      </c>
      <c r="D252" s="43"/>
      <c r="E252" s="43">
        <v>39900</v>
      </c>
      <c r="F252" s="80" t="s">
        <v>75</v>
      </c>
      <c r="G252" s="83">
        <v>46115</v>
      </c>
      <c r="H252" s="83">
        <v>46124</v>
      </c>
      <c r="I252" s="4">
        <v>9</v>
      </c>
      <c r="J252" s="80" t="str">
        <f>TEXT(tblPayments[[#This Row],[Arrival]],"mmm")</f>
        <v>Apr</v>
      </c>
      <c r="K252" s="80">
        <f>MONTH(tblPayments[[#This Row],[Arrival]])</f>
        <v>4</v>
      </c>
      <c r="L252" s="80">
        <f>YEAR(tblPayments[[#This Row],[Arrival]])</f>
        <v>2026</v>
      </c>
      <c r="M252" s="80" t="str">
        <f>IF(tblPayments[[#This Row],[Balance]]=0,"Full Payment","Deposit")</f>
        <v>Deposit</v>
      </c>
      <c r="N252" s="43">
        <v>18159.3</v>
      </c>
      <c r="O252" s="83">
        <v>45912</v>
      </c>
      <c r="P252" s="87" t="s">
        <v>13</v>
      </c>
    </row>
    <row r="253" spans="1:16" x14ac:dyDescent="0.3">
      <c r="A253" s="77" t="s">
        <v>101</v>
      </c>
      <c r="B253" s="80" t="s">
        <v>76</v>
      </c>
      <c r="C253" s="43">
        <v>110099.95</v>
      </c>
      <c r="D253" s="43">
        <v>48911.22</v>
      </c>
      <c r="E253" s="43">
        <v>61188.73</v>
      </c>
      <c r="F253" s="80" t="s">
        <v>72</v>
      </c>
      <c r="G253" s="83">
        <v>46115</v>
      </c>
      <c r="H253" s="83">
        <v>46124</v>
      </c>
      <c r="I253" s="4">
        <v>9</v>
      </c>
      <c r="J253" s="80" t="str">
        <f>TEXT(tblPayments[[#This Row],[Arrival]],"mmm")</f>
        <v>Apr</v>
      </c>
      <c r="K253" s="80">
        <f>MONTH(tblPayments[[#This Row],[Arrival]])</f>
        <v>4</v>
      </c>
      <c r="L253" s="80">
        <f>YEAR(tblPayments[[#This Row],[Arrival]])</f>
        <v>2026</v>
      </c>
      <c r="M253" s="80" t="str">
        <f>IF(tblPayments[[#This Row],[Balance]]=0,"Full Payment","Deposit")</f>
        <v>Deposit</v>
      </c>
      <c r="N253" s="43">
        <v>71068.320000000007</v>
      </c>
      <c r="O253" s="83">
        <v>45909</v>
      </c>
      <c r="P253" s="87" t="s">
        <v>13</v>
      </c>
    </row>
    <row r="254" spans="1:16" x14ac:dyDescent="0.3">
      <c r="A254" s="77" t="s">
        <v>101</v>
      </c>
      <c r="B254" s="80" t="s">
        <v>76</v>
      </c>
      <c r="C254" s="43">
        <v>24020</v>
      </c>
      <c r="D254" s="43">
        <v>6005</v>
      </c>
      <c r="E254" s="43">
        <v>18015</v>
      </c>
      <c r="F254" s="80" t="s">
        <v>72</v>
      </c>
      <c r="G254" s="83">
        <v>46116</v>
      </c>
      <c r="H254" s="83">
        <v>46124</v>
      </c>
      <c r="I254" s="4">
        <v>8</v>
      </c>
      <c r="J254" s="80" t="str">
        <f>TEXT(tblPayments[[#This Row],[Arrival]],"mmm")</f>
        <v>Apr</v>
      </c>
      <c r="K254" s="80">
        <f>MONTH(tblPayments[[#This Row],[Arrival]])</f>
        <v>4</v>
      </c>
      <c r="L254" s="80">
        <f>YEAR(tblPayments[[#This Row],[Arrival]])</f>
        <v>2026</v>
      </c>
      <c r="M254" s="80" t="str">
        <f>IF(tblPayments[[#This Row],[Balance]]=0,"Full Payment","Deposit")</f>
        <v>Deposit</v>
      </c>
      <c r="N254" s="43">
        <v>11784.16</v>
      </c>
      <c r="O254" s="83">
        <v>45965</v>
      </c>
      <c r="P254" s="87" t="s">
        <v>13</v>
      </c>
    </row>
    <row r="255" spans="1:16" x14ac:dyDescent="0.3">
      <c r="A255" s="77" t="s">
        <v>101</v>
      </c>
      <c r="B255" s="80" t="s">
        <v>76</v>
      </c>
      <c r="C255" s="43">
        <v>57200</v>
      </c>
      <c r="D255" s="43">
        <v>14800</v>
      </c>
      <c r="E255" s="43">
        <v>42400</v>
      </c>
      <c r="F255" s="80" t="s">
        <v>72</v>
      </c>
      <c r="G255" s="83">
        <v>46116</v>
      </c>
      <c r="H255" s="83">
        <v>46124</v>
      </c>
      <c r="I255" s="4">
        <v>8</v>
      </c>
      <c r="J255" s="80" t="str">
        <f>TEXT(tblPayments[[#This Row],[Arrival]],"mmm")</f>
        <v>Apr</v>
      </c>
      <c r="K255" s="80">
        <f>MONTH(tblPayments[[#This Row],[Arrival]])</f>
        <v>4</v>
      </c>
      <c r="L255" s="80">
        <f>YEAR(tblPayments[[#This Row],[Arrival]])</f>
        <v>2026</v>
      </c>
      <c r="M255" s="80" t="str">
        <f>IF(tblPayments[[#This Row],[Balance]]=0,"Full Payment","Deposit")</f>
        <v>Deposit</v>
      </c>
      <c r="N255" s="43">
        <v>35508.959999999999</v>
      </c>
      <c r="O255" s="83">
        <v>45762</v>
      </c>
      <c r="P255" s="87" t="s">
        <v>13</v>
      </c>
    </row>
    <row r="256" spans="1:16" x14ac:dyDescent="0.3">
      <c r="A256" s="77" t="s">
        <v>101</v>
      </c>
      <c r="B256" s="80" t="s">
        <v>76</v>
      </c>
      <c r="C256" s="43">
        <v>54930</v>
      </c>
      <c r="D256" s="43"/>
      <c r="E256" s="43">
        <v>54930</v>
      </c>
      <c r="F256" s="80" t="s">
        <v>75</v>
      </c>
      <c r="G256" s="83">
        <v>46117</v>
      </c>
      <c r="H256" s="83">
        <v>46126</v>
      </c>
      <c r="I256" s="4">
        <v>9</v>
      </c>
      <c r="J256" s="80" t="str">
        <f>TEXT(tblPayments[[#This Row],[Arrival]],"mmm")</f>
        <v>Apr</v>
      </c>
      <c r="K256" s="80">
        <f>MONTH(tblPayments[[#This Row],[Arrival]])</f>
        <v>4</v>
      </c>
      <c r="L256" s="80">
        <f>YEAR(tblPayments[[#This Row],[Arrival]])</f>
        <v>2026</v>
      </c>
      <c r="M256" s="80" t="str">
        <f>IF(tblPayments[[#This Row],[Balance]]=0,"Full Payment","Deposit")</f>
        <v>Deposit</v>
      </c>
      <c r="N256" s="43">
        <v>33793.74</v>
      </c>
      <c r="O256" s="83">
        <v>45824</v>
      </c>
      <c r="P256" s="87" t="s">
        <v>18</v>
      </c>
    </row>
    <row r="257" spans="1:16" x14ac:dyDescent="0.3">
      <c r="A257" s="77" t="s">
        <v>101</v>
      </c>
      <c r="B257" s="80" t="s">
        <v>76</v>
      </c>
      <c r="C257" s="43">
        <v>42736</v>
      </c>
      <c r="D257" s="43">
        <v>10684</v>
      </c>
      <c r="E257" s="43">
        <v>32052</v>
      </c>
      <c r="F257" s="80" t="s">
        <v>72</v>
      </c>
      <c r="G257" s="83">
        <v>46117</v>
      </c>
      <c r="H257" s="83">
        <v>46124</v>
      </c>
      <c r="I257" s="4">
        <v>7</v>
      </c>
      <c r="J257" s="80" t="str">
        <f>TEXT(tblPayments[[#This Row],[Arrival]],"mmm")</f>
        <v>Apr</v>
      </c>
      <c r="K257" s="80">
        <f>MONTH(tblPayments[[#This Row],[Arrival]])</f>
        <v>4</v>
      </c>
      <c r="L257" s="80">
        <f>YEAR(tblPayments[[#This Row],[Arrival]])</f>
        <v>2026</v>
      </c>
      <c r="M257" s="80" t="str">
        <f>IF(tblPayments[[#This Row],[Balance]]=0,"Full Payment","Deposit")</f>
        <v>Deposit</v>
      </c>
      <c r="N257" s="43">
        <v>26134.43</v>
      </c>
      <c r="O257" s="83">
        <v>45905</v>
      </c>
      <c r="P257" s="87" t="s">
        <v>13</v>
      </c>
    </row>
    <row r="258" spans="1:16" x14ac:dyDescent="0.3">
      <c r="A258" s="77" t="s">
        <v>101</v>
      </c>
      <c r="B258" s="80" t="s">
        <v>76</v>
      </c>
      <c r="C258" s="43"/>
      <c r="D258" s="43"/>
      <c r="E258" s="43"/>
      <c r="F258" s="80" t="s">
        <v>73</v>
      </c>
      <c r="G258" s="83">
        <v>46117</v>
      </c>
      <c r="H258" s="83">
        <v>46133</v>
      </c>
      <c r="I258" s="4">
        <v>16</v>
      </c>
      <c r="J258" s="80" t="str">
        <f>TEXT(tblPayments[[#This Row],[Arrival]],"mmm")</f>
        <v>Apr</v>
      </c>
      <c r="K258" s="80">
        <f>MONTH(tblPayments[[#This Row],[Arrival]])</f>
        <v>4</v>
      </c>
      <c r="L258" s="80">
        <f>YEAR(tblPayments[[#This Row],[Arrival]])</f>
        <v>2026</v>
      </c>
      <c r="M258" s="80" t="str">
        <f>IF(tblPayments[[#This Row],[Balance]]=0,"Full Payment","Deposit")</f>
        <v>Full Payment</v>
      </c>
      <c r="N258" s="43">
        <v>0</v>
      </c>
      <c r="O258" s="83">
        <v>45667</v>
      </c>
      <c r="P258" s="87" t="s">
        <v>2</v>
      </c>
    </row>
    <row r="259" spans="1:16" x14ac:dyDescent="0.3">
      <c r="A259" s="77" t="s">
        <v>101</v>
      </c>
      <c r="B259" s="80" t="s">
        <v>76</v>
      </c>
      <c r="C259" s="43">
        <v>44373.279999999999</v>
      </c>
      <c r="D259" s="43">
        <v>13630.82</v>
      </c>
      <c r="E259" s="43">
        <v>30742.46</v>
      </c>
      <c r="F259" s="80" t="s">
        <v>72</v>
      </c>
      <c r="G259" s="83">
        <v>46117</v>
      </c>
      <c r="H259" s="83">
        <v>46124</v>
      </c>
      <c r="I259" s="4">
        <v>7</v>
      </c>
      <c r="J259" s="80" t="str">
        <f>TEXT(tblPayments[[#This Row],[Arrival]],"mmm")</f>
        <v>Apr</v>
      </c>
      <c r="K259" s="80">
        <f>MONTH(tblPayments[[#This Row],[Arrival]])</f>
        <v>4</v>
      </c>
      <c r="L259" s="80">
        <f>YEAR(tblPayments[[#This Row],[Arrival]])</f>
        <v>2026</v>
      </c>
      <c r="M259" s="80" t="str">
        <f>IF(tblPayments[[#This Row],[Balance]]=0,"Full Payment","Deposit")</f>
        <v>Deposit</v>
      </c>
      <c r="N259" s="43">
        <v>32979.660000000003</v>
      </c>
      <c r="O259" s="83">
        <v>45796</v>
      </c>
      <c r="P259" s="87" t="s">
        <v>2</v>
      </c>
    </row>
    <row r="260" spans="1:16" x14ac:dyDescent="0.3">
      <c r="A260" s="77" t="s">
        <v>101</v>
      </c>
      <c r="B260" s="80" t="s">
        <v>76</v>
      </c>
      <c r="C260" s="43">
        <v>19332.45</v>
      </c>
      <c r="D260" s="43">
        <v>8705.18</v>
      </c>
      <c r="E260" s="43">
        <v>10627.27</v>
      </c>
      <c r="F260" s="80" t="s">
        <v>72</v>
      </c>
      <c r="G260" s="83">
        <v>46118</v>
      </c>
      <c r="H260" s="83">
        <v>46121</v>
      </c>
      <c r="I260" s="4">
        <v>3</v>
      </c>
      <c r="J260" s="80" t="str">
        <f>TEXT(tblPayments[[#This Row],[Arrival]],"mmm")</f>
        <v>Apr</v>
      </c>
      <c r="K260" s="80">
        <f>MONTH(tblPayments[[#This Row],[Arrival]])</f>
        <v>4</v>
      </c>
      <c r="L260" s="80">
        <f>YEAR(tblPayments[[#This Row],[Arrival]])</f>
        <v>2026</v>
      </c>
      <c r="M260" s="80" t="str">
        <f>IF(tblPayments[[#This Row],[Balance]]=0,"Full Payment","Deposit")</f>
        <v>Deposit</v>
      </c>
      <c r="N260" s="43">
        <v>11758.59</v>
      </c>
      <c r="O260" s="83">
        <v>45786</v>
      </c>
      <c r="P260" s="87" t="s">
        <v>40</v>
      </c>
    </row>
    <row r="261" spans="1:16" x14ac:dyDescent="0.3">
      <c r="A261" s="77" t="s">
        <v>101</v>
      </c>
      <c r="B261" s="80" t="s">
        <v>76</v>
      </c>
      <c r="C261" s="43">
        <v>40087</v>
      </c>
      <c r="D261" s="43">
        <v>10021.75</v>
      </c>
      <c r="E261" s="43">
        <v>30065.25</v>
      </c>
      <c r="F261" s="80" t="s">
        <v>72</v>
      </c>
      <c r="G261" s="83">
        <v>46118</v>
      </c>
      <c r="H261" s="83">
        <v>46123</v>
      </c>
      <c r="I261" s="4">
        <v>5</v>
      </c>
      <c r="J261" s="80" t="str">
        <f>TEXT(tblPayments[[#This Row],[Arrival]],"mmm")</f>
        <v>Apr</v>
      </c>
      <c r="K261" s="80">
        <f>MONTH(tblPayments[[#This Row],[Arrival]])</f>
        <v>4</v>
      </c>
      <c r="L261" s="80">
        <f>YEAR(tblPayments[[#This Row],[Arrival]])</f>
        <v>2026</v>
      </c>
      <c r="M261" s="80" t="str">
        <f>IF(tblPayments[[#This Row],[Balance]]=0,"Full Payment","Deposit")</f>
        <v>Deposit</v>
      </c>
      <c r="N261" s="43">
        <v>26688.05</v>
      </c>
      <c r="O261" s="83">
        <v>45785</v>
      </c>
      <c r="P261" s="87" t="s">
        <v>2</v>
      </c>
    </row>
    <row r="262" spans="1:16" x14ac:dyDescent="0.3">
      <c r="A262" s="77" t="s">
        <v>101</v>
      </c>
      <c r="B262" s="80" t="s">
        <v>76</v>
      </c>
      <c r="C262" s="43">
        <v>15488.3</v>
      </c>
      <c r="D262" s="43"/>
      <c r="E262" s="43">
        <v>15488.3</v>
      </c>
      <c r="F262" s="80" t="s">
        <v>75</v>
      </c>
      <c r="G262" s="83">
        <v>46121</v>
      </c>
      <c r="H262" s="83">
        <v>46123</v>
      </c>
      <c r="I262" s="4">
        <v>2</v>
      </c>
      <c r="J262" s="80" t="str">
        <f>TEXT(tblPayments[[#This Row],[Arrival]],"mmm")</f>
        <v>Apr</v>
      </c>
      <c r="K262" s="80">
        <f>MONTH(tblPayments[[#This Row],[Arrival]])</f>
        <v>4</v>
      </c>
      <c r="L262" s="80">
        <f>YEAR(tblPayments[[#This Row],[Arrival]])</f>
        <v>2026</v>
      </c>
      <c r="M262" s="80" t="str">
        <f>IF(tblPayments[[#This Row],[Balance]]=0,"Full Payment","Deposit")</f>
        <v>Deposit</v>
      </c>
      <c r="N262" s="43">
        <v>7839.06</v>
      </c>
      <c r="O262" s="83">
        <v>45786</v>
      </c>
      <c r="P262" s="87" t="s">
        <v>40</v>
      </c>
    </row>
    <row r="263" spans="1:16" x14ac:dyDescent="0.3">
      <c r="A263" s="77" t="s">
        <v>101</v>
      </c>
      <c r="B263" s="80" t="s">
        <v>76</v>
      </c>
      <c r="C263" s="43">
        <v>15344</v>
      </c>
      <c r="D263" s="43">
        <v>3836</v>
      </c>
      <c r="E263" s="43">
        <v>11508</v>
      </c>
      <c r="F263" s="80" t="s">
        <v>72</v>
      </c>
      <c r="G263" s="83">
        <v>46122</v>
      </c>
      <c r="H263" s="83">
        <v>46125</v>
      </c>
      <c r="I263" s="4">
        <v>3</v>
      </c>
      <c r="J263" s="80" t="str">
        <f>TEXT(tblPayments[[#This Row],[Arrival]],"mmm")</f>
        <v>Apr</v>
      </c>
      <c r="K263" s="80">
        <f>MONTH(tblPayments[[#This Row],[Arrival]])</f>
        <v>4</v>
      </c>
      <c r="L263" s="80">
        <f>YEAR(tblPayments[[#This Row],[Arrival]])</f>
        <v>2026</v>
      </c>
      <c r="M263" s="80" t="str">
        <f>IF(tblPayments[[#This Row],[Balance]]=0,"Full Payment","Deposit")</f>
        <v>Deposit</v>
      </c>
      <c r="N263" s="43">
        <v>9020.16</v>
      </c>
      <c r="O263" s="83">
        <v>45981</v>
      </c>
      <c r="P263" s="87" t="s">
        <v>2</v>
      </c>
    </row>
    <row r="264" spans="1:16" x14ac:dyDescent="0.3">
      <c r="A264" s="77" t="s">
        <v>101</v>
      </c>
      <c r="B264" s="80" t="s">
        <v>76</v>
      </c>
      <c r="C264" s="43"/>
      <c r="D264" s="43"/>
      <c r="E264" s="43"/>
      <c r="F264" s="80" t="s">
        <v>73</v>
      </c>
      <c r="G264" s="83">
        <v>46122</v>
      </c>
      <c r="H264" s="83">
        <v>46130</v>
      </c>
      <c r="I264" s="4">
        <v>8</v>
      </c>
      <c r="J264" s="80" t="str">
        <f>TEXT(tblPayments[[#This Row],[Arrival]],"mmm")</f>
        <v>Apr</v>
      </c>
      <c r="K264" s="80">
        <f>MONTH(tblPayments[[#This Row],[Arrival]])</f>
        <v>4</v>
      </c>
      <c r="L264" s="80">
        <f>YEAR(tblPayments[[#This Row],[Arrival]])</f>
        <v>2026</v>
      </c>
      <c r="M264" s="80" t="str">
        <f>IF(tblPayments[[#This Row],[Balance]]=0,"Full Payment","Deposit")</f>
        <v>Full Payment</v>
      </c>
      <c r="N264" s="43">
        <v>0</v>
      </c>
      <c r="O264" s="83">
        <v>45860</v>
      </c>
      <c r="P264" s="87" t="s">
        <v>9</v>
      </c>
    </row>
    <row r="265" spans="1:16" x14ac:dyDescent="0.3">
      <c r="A265" s="77" t="s">
        <v>101</v>
      </c>
      <c r="B265" s="80" t="s">
        <v>76</v>
      </c>
      <c r="C265" s="43">
        <v>13200</v>
      </c>
      <c r="D265" s="43"/>
      <c r="E265" s="43">
        <v>13200</v>
      </c>
      <c r="F265" s="80" t="s">
        <v>75</v>
      </c>
      <c r="G265" s="83">
        <v>46122</v>
      </c>
      <c r="H265" s="83">
        <v>46127</v>
      </c>
      <c r="I265" s="4">
        <v>5</v>
      </c>
      <c r="J265" s="80" t="str">
        <f>TEXT(tblPayments[[#This Row],[Arrival]],"mmm")</f>
        <v>Apr</v>
      </c>
      <c r="K265" s="80">
        <f>MONTH(tblPayments[[#This Row],[Arrival]])</f>
        <v>4</v>
      </c>
      <c r="L265" s="80">
        <f>YEAR(tblPayments[[#This Row],[Arrival]])</f>
        <v>2026</v>
      </c>
      <c r="M265" s="80" t="str">
        <f>IF(tblPayments[[#This Row],[Balance]]=0,"Full Payment","Deposit")</f>
        <v>Deposit</v>
      </c>
      <c r="N265" s="43">
        <v>4801.59</v>
      </c>
      <c r="O265" s="83">
        <v>45917</v>
      </c>
      <c r="P265" s="87" t="s">
        <v>22</v>
      </c>
    </row>
    <row r="266" spans="1:16" x14ac:dyDescent="0.3">
      <c r="A266" s="77" t="s">
        <v>101</v>
      </c>
      <c r="B266" s="80" t="s">
        <v>76</v>
      </c>
      <c r="C266" s="43">
        <v>15558</v>
      </c>
      <c r="D266" s="43"/>
      <c r="E266" s="43">
        <v>15558</v>
      </c>
      <c r="F266" s="80" t="s">
        <v>75</v>
      </c>
      <c r="G266" s="83">
        <v>46122</v>
      </c>
      <c r="H266" s="83">
        <v>46125</v>
      </c>
      <c r="I266" s="4">
        <v>3</v>
      </c>
      <c r="J266" s="80" t="str">
        <f>TEXT(tblPayments[[#This Row],[Arrival]],"mmm")</f>
        <v>Apr</v>
      </c>
      <c r="K266" s="80">
        <f>MONTH(tblPayments[[#This Row],[Arrival]])</f>
        <v>4</v>
      </c>
      <c r="L266" s="80">
        <f>YEAR(tblPayments[[#This Row],[Arrival]])</f>
        <v>2026</v>
      </c>
      <c r="M266" s="80" t="str">
        <f>IF(tblPayments[[#This Row],[Balance]]=0,"Full Payment","Deposit")</f>
        <v>Deposit</v>
      </c>
      <c r="N266" s="43">
        <v>9970.23</v>
      </c>
      <c r="O266" s="83">
        <v>45962</v>
      </c>
      <c r="P266" s="87" t="s">
        <v>31</v>
      </c>
    </row>
    <row r="267" spans="1:16" x14ac:dyDescent="0.3">
      <c r="A267" s="77" t="s">
        <v>101</v>
      </c>
      <c r="B267" s="80" t="s">
        <v>77</v>
      </c>
      <c r="C267" s="43">
        <v>23983.119999999999</v>
      </c>
      <c r="D267" s="43"/>
      <c r="E267" s="43">
        <v>23983.119999999999</v>
      </c>
      <c r="F267" s="80" t="s">
        <v>80</v>
      </c>
      <c r="G267" s="83">
        <v>46123</v>
      </c>
      <c r="H267" s="83">
        <v>46131</v>
      </c>
      <c r="I267" s="4">
        <v>8</v>
      </c>
      <c r="J267" s="80" t="str">
        <f>TEXT(tblPayments[[#This Row],[Arrival]],"mmm")</f>
        <v>Apr</v>
      </c>
      <c r="K267" s="80">
        <f>MONTH(tblPayments[[#This Row],[Arrival]])</f>
        <v>4</v>
      </c>
      <c r="L267" s="80">
        <f>YEAR(tblPayments[[#This Row],[Arrival]])</f>
        <v>2026</v>
      </c>
      <c r="M267" s="80" t="str">
        <f>IF(tblPayments[[#This Row],[Balance]]=0,"Full Payment","Deposit")</f>
        <v>Deposit</v>
      </c>
      <c r="N267" s="43">
        <v>15377.84</v>
      </c>
      <c r="O267" s="83">
        <v>45989</v>
      </c>
      <c r="P267" s="87" t="s">
        <v>2</v>
      </c>
    </row>
    <row r="268" spans="1:16" x14ac:dyDescent="0.3">
      <c r="A268" s="77" t="s">
        <v>101</v>
      </c>
      <c r="B268" s="80" t="s">
        <v>77</v>
      </c>
      <c r="C268" s="43">
        <v>33031.279999999999</v>
      </c>
      <c r="D268" s="43"/>
      <c r="E268" s="43">
        <v>33031.279999999999</v>
      </c>
      <c r="F268" s="80" t="s">
        <v>80</v>
      </c>
      <c r="G268" s="83">
        <v>46123</v>
      </c>
      <c r="H268" s="83">
        <v>46131</v>
      </c>
      <c r="I268" s="4">
        <v>8</v>
      </c>
      <c r="J268" s="80" t="str">
        <f>TEXT(tblPayments[[#This Row],[Arrival]],"mmm")</f>
        <v>Apr</v>
      </c>
      <c r="K268" s="80">
        <f>MONTH(tblPayments[[#This Row],[Arrival]])</f>
        <v>4</v>
      </c>
      <c r="L268" s="80">
        <f>YEAR(tblPayments[[#This Row],[Arrival]])</f>
        <v>2026</v>
      </c>
      <c r="M268" s="80" t="str">
        <f>IF(tblPayments[[#This Row],[Balance]]=0,"Full Payment","Deposit")</f>
        <v>Deposit</v>
      </c>
      <c r="N268" s="43">
        <v>21515.040000000001</v>
      </c>
      <c r="O268" s="83">
        <v>45989</v>
      </c>
      <c r="P268" s="87" t="s">
        <v>2</v>
      </c>
    </row>
    <row r="269" spans="1:16" x14ac:dyDescent="0.3">
      <c r="A269" s="77" t="s">
        <v>101</v>
      </c>
      <c r="B269" s="80" t="s">
        <v>77</v>
      </c>
      <c r="C269" s="43"/>
      <c r="D269" s="43"/>
      <c r="E269" s="43"/>
      <c r="F269" s="80" t="s">
        <v>73</v>
      </c>
      <c r="G269" s="83">
        <v>46123</v>
      </c>
      <c r="H269" s="83">
        <v>46126</v>
      </c>
      <c r="I269" s="4">
        <v>3</v>
      </c>
      <c r="J269" s="80" t="str">
        <f>TEXT(tblPayments[[#This Row],[Arrival]],"mmm")</f>
        <v>Apr</v>
      </c>
      <c r="K269" s="80">
        <f>MONTH(tblPayments[[#This Row],[Arrival]])</f>
        <v>4</v>
      </c>
      <c r="L269" s="80">
        <f>YEAR(tblPayments[[#This Row],[Arrival]])</f>
        <v>2026</v>
      </c>
      <c r="M269" s="80" t="str">
        <f>IF(tblPayments[[#This Row],[Balance]]=0,"Full Payment","Deposit")</f>
        <v>Full Payment</v>
      </c>
      <c r="N269" s="43">
        <v>0</v>
      </c>
      <c r="O269" s="83">
        <v>45980</v>
      </c>
      <c r="P269" s="87" t="s">
        <v>2</v>
      </c>
    </row>
    <row r="270" spans="1:16" x14ac:dyDescent="0.3">
      <c r="A270" s="77" t="s">
        <v>101</v>
      </c>
      <c r="B270" s="80" t="s">
        <v>77</v>
      </c>
      <c r="C270" s="43">
        <v>34811.599999999999</v>
      </c>
      <c r="D270" s="43"/>
      <c r="E270" s="43">
        <v>34811.599999999999</v>
      </c>
      <c r="F270" s="80" t="s">
        <v>75</v>
      </c>
      <c r="G270" s="83">
        <v>46123</v>
      </c>
      <c r="H270" s="83">
        <v>46128</v>
      </c>
      <c r="I270" s="4">
        <v>5</v>
      </c>
      <c r="J270" s="80" t="str">
        <f>TEXT(tblPayments[[#This Row],[Arrival]],"mmm")</f>
        <v>Apr</v>
      </c>
      <c r="K270" s="80">
        <f>MONTH(tblPayments[[#This Row],[Arrival]])</f>
        <v>4</v>
      </c>
      <c r="L270" s="80">
        <f>YEAR(tblPayments[[#This Row],[Arrival]])</f>
        <v>2026</v>
      </c>
      <c r="M270" s="80" t="str">
        <f>IF(tblPayments[[#This Row],[Balance]]=0,"Full Payment","Deposit")</f>
        <v>Deposit</v>
      </c>
      <c r="N270" s="43">
        <v>21732</v>
      </c>
      <c r="O270" s="83">
        <v>45799</v>
      </c>
      <c r="P270" s="87" t="s">
        <v>38</v>
      </c>
    </row>
    <row r="271" spans="1:16" x14ac:dyDescent="0.3">
      <c r="A271" s="77" t="s">
        <v>101</v>
      </c>
      <c r="B271" s="80" t="s">
        <v>77</v>
      </c>
      <c r="C271" s="43">
        <v>61965.94</v>
      </c>
      <c r="D271" s="43"/>
      <c r="E271" s="43">
        <v>61965.94</v>
      </c>
      <c r="F271" s="80" t="s">
        <v>75</v>
      </c>
      <c r="G271" s="83">
        <v>46124</v>
      </c>
      <c r="H271" s="83">
        <v>46131</v>
      </c>
      <c r="I271" s="4">
        <v>7</v>
      </c>
      <c r="J271" s="80" t="str">
        <f>TEXT(tblPayments[[#This Row],[Arrival]],"mmm")</f>
        <v>Apr</v>
      </c>
      <c r="K271" s="80">
        <f>MONTH(tblPayments[[#This Row],[Arrival]])</f>
        <v>4</v>
      </c>
      <c r="L271" s="80">
        <f>YEAR(tblPayments[[#This Row],[Arrival]])</f>
        <v>2026</v>
      </c>
      <c r="M271" s="80" t="str">
        <f>IF(tblPayments[[#This Row],[Balance]]=0,"Full Payment","Deposit")</f>
        <v>Deposit</v>
      </c>
      <c r="N271" s="43">
        <v>41674.22</v>
      </c>
      <c r="O271" s="83">
        <v>45759</v>
      </c>
      <c r="P271" s="87" t="s">
        <v>2</v>
      </c>
    </row>
    <row r="272" spans="1:16" x14ac:dyDescent="0.3">
      <c r="A272" s="77" t="s">
        <v>101</v>
      </c>
      <c r="B272" s="80" t="s">
        <v>77</v>
      </c>
      <c r="C272" s="43">
        <v>60682.99</v>
      </c>
      <c r="D272" s="43">
        <v>30662.25</v>
      </c>
      <c r="E272" s="43">
        <v>30020.74</v>
      </c>
      <c r="F272" s="80" t="s">
        <v>72</v>
      </c>
      <c r="G272" s="83">
        <v>46124</v>
      </c>
      <c r="H272" s="83">
        <v>46131</v>
      </c>
      <c r="I272" s="4">
        <v>7</v>
      </c>
      <c r="J272" s="80" t="str">
        <f>TEXT(tblPayments[[#This Row],[Arrival]],"mmm")</f>
        <v>Apr</v>
      </c>
      <c r="K272" s="80">
        <f>MONTH(tblPayments[[#This Row],[Arrival]])</f>
        <v>4</v>
      </c>
      <c r="L272" s="80">
        <f>YEAR(tblPayments[[#This Row],[Arrival]])</f>
        <v>2026</v>
      </c>
      <c r="M272" s="80" t="str">
        <f>IF(tblPayments[[#This Row],[Balance]]=0,"Full Payment","Deposit")</f>
        <v>Deposit</v>
      </c>
      <c r="N272" s="43">
        <v>43501.99</v>
      </c>
      <c r="O272" s="83">
        <v>45759</v>
      </c>
      <c r="P272" s="87" t="s">
        <v>2</v>
      </c>
    </row>
    <row r="273" spans="1:16" x14ac:dyDescent="0.3">
      <c r="A273" s="77" t="s">
        <v>101</v>
      </c>
      <c r="B273" s="80" t="s">
        <v>77</v>
      </c>
      <c r="C273" s="43">
        <v>15895</v>
      </c>
      <c r="D273" s="43">
        <v>3973.75</v>
      </c>
      <c r="E273" s="43">
        <v>11921.25</v>
      </c>
      <c r="F273" s="80" t="s">
        <v>72</v>
      </c>
      <c r="G273" s="83">
        <v>46124</v>
      </c>
      <c r="H273" s="83">
        <v>46129</v>
      </c>
      <c r="I273" s="4">
        <v>5</v>
      </c>
      <c r="J273" s="80" t="str">
        <f>TEXT(tblPayments[[#This Row],[Arrival]],"mmm")</f>
        <v>Apr</v>
      </c>
      <c r="K273" s="80">
        <f>MONTH(tblPayments[[#This Row],[Arrival]])</f>
        <v>4</v>
      </c>
      <c r="L273" s="80">
        <f>YEAR(tblPayments[[#This Row],[Arrival]])</f>
        <v>2026</v>
      </c>
      <c r="M273" s="80" t="str">
        <f>IF(tblPayments[[#This Row],[Balance]]=0,"Full Payment","Deposit")</f>
        <v>Deposit</v>
      </c>
      <c r="N273" s="43">
        <v>7523.3</v>
      </c>
      <c r="O273" s="83">
        <v>45878</v>
      </c>
      <c r="P273" s="87" t="s">
        <v>2</v>
      </c>
    </row>
    <row r="274" spans="1:16" x14ac:dyDescent="0.3">
      <c r="A274" s="77" t="s">
        <v>101</v>
      </c>
      <c r="B274" s="80" t="s">
        <v>77</v>
      </c>
      <c r="C274" s="43">
        <v>56004</v>
      </c>
      <c r="D274" s="43"/>
      <c r="E274" s="43">
        <v>56004</v>
      </c>
      <c r="F274" s="80" t="s">
        <v>75</v>
      </c>
      <c r="G274" s="83">
        <v>46124</v>
      </c>
      <c r="H274" s="83">
        <v>46131</v>
      </c>
      <c r="I274" s="4">
        <v>7</v>
      </c>
      <c r="J274" s="80" t="str">
        <f>TEXT(tblPayments[[#This Row],[Arrival]],"mmm")</f>
        <v>Apr</v>
      </c>
      <c r="K274" s="80">
        <f>MONTH(tblPayments[[#This Row],[Arrival]])</f>
        <v>4</v>
      </c>
      <c r="L274" s="80">
        <f>YEAR(tblPayments[[#This Row],[Arrival]])</f>
        <v>2026</v>
      </c>
      <c r="M274" s="80" t="str">
        <f>IF(tblPayments[[#This Row],[Balance]]=0,"Full Payment","Deposit")</f>
        <v>Deposit</v>
      </c>
      <c r="N274" s="43">
        <v>31043.11</v>
      </c>
      <c r="O274" s="83">
        <v>45889</v>
      </c>
      <c r="P274" s="87" t="s">
        <v>2</v>
      </c>
    </row>
    <row r="275" spans="1:16" x14ac:dyDescent="0.3">
      <c r="A275" s="77" t="s">
        <v>101</v>
      </c>
      <c r="B275" s="80" t="s">
        <v>77</v>
      </c>
      <c r="C275" s="43">
        <v>31960</v>
      </c>
      <c r="D275" s="43"/>
      <c r="E275" s="43">
        <v>31960</v>
      </c>
      <c r="F275" s="80" t="s">
        <v>75</v>
      </c>
      <c r="G275" s="83">
        <v>46124</v>
      </c>
      <c r="H275" s="83">
        <v>46134</v>
      </c>
      <c r="I275" s="4">
        <v>10</v>
      </c>
      <c r="J275" s="80" t="str">
        <f>TEXT(tblPayments[[#This Row],[Arrival]],"mmm")</f>
        <v>Apr</v>
      </c>
      <c r="K275" s="80">
        <f>MONTH(tblPayments[[#This Row],[Arrival]])</f>
        <v>4</v>
      </c>
      <c r="L275" s="80">
        <f>YEAR(tblPayments[[#This Row],[Arrival]])</f>
        <v>2026</v>
      </c>
      <c r="M275" s="80" t="str">
        <f>IF(tblPayments[[#This Row],[Balance]]=0,"Full Payment","Deposit")</f>
        <v>Deposit</v>
      </c>
      <c r="N275" s="43">
        <v>16348.1</v>
      </c>
      <c r="O275" s="83">
        <v>45861</v>
      </c>
      <c r="P275" s="87" t="s">
        <v>2</v>
      </c>
    </row>
    <row r="276" spans="1:16" x14ac:dyDescent="0.3">
      <c r="A276" s="77" t="s">
        <v>101</v>
      </c>
      <c r="B276" s="80" t="s">
        <v>77</v>
      </c>
      <c r="C276" s="43">
        <v>28352</v>
      </c>
      <c r="D276" s="43">
        <v>7088</v>
      </c>
      <c r="E276" s="43">
        <v>21264</v>
      </c>
      <c r="F276" s="80" t="s">
        <v>72</v>
      </c>
      <c r="G276" s="83">
        <v>46124</v>
      </c>
      <c r="H276" s="83">
        <v>46128</v>
      </c>
      <c r="I276" s="4">
        <v>4</v>
      </c>
      <c r="J276" s="80" t="str">
        <f>TEXT(tblPayments[[#This Row],[Arrival]],"mmm")</f>
        <v>Apr</v>
      </c>
      <c r="K276" s="80">
        <f>MONTH(tblPayments[[#This Row],[Arrival]])</f>
        <v>4</v>
      </c>
      <c r="L276" s="80">
        <f>YEAR(tblPayments[[#This Row],[Arrival]])</f>
        <v>2026</v>
      </c>
      <c r="M276" s="80" t="str">
        <f>IF(tblPayments[[#This Row],[Balance]]=0,"Full Payment","Deposit")</f>
        <v>Deposit</v>
      </c>
      <c r="N276" s="43">
        <v>10641.04</v>
      </c>
      <c r="O276" s="83">
        <v>45814</v>
      </c>
      <c r="P276" s="87" t="s">
        <v>2</v>
      </c>
    </row>
    <row r="277" spans="1:16" x14ac:dyDescent="0.3">
      <c r="A277" s="77" t="s">
        <v>101</v>
      </c>
      <c r="B277" s="80" t="s">
        <v>77</v>
      </c>
      <c r="C277" s="43">
        <v>55532</v>
      </c>
      <c r="D277" s="43"/>
      <c r="E277" s="43">
        <v>55532</v>
      </c>
      <c r="F277" s="80" t="s">
        <v>75</v>
      </c>
      <c r="G277" s="83">
        <v>46125</v>
      </c>
      <c r="H277" s="83">
        <v>46137</v>
      </c>
      <c r="I277" s="4">
        <v>12</v>
      </c>
      <c r="J277" s="80" t="str">
        <f>TEXT(tblPayments[[#This Row],[Arrival]],"mmm")</f>
        <v>Apr</v>
      </c>
      <c r="K277" s="80">
        <f>MONTH(tblPayments[[#This Row],[Arrival]])</f>
        <v>4</v>
      </c>
      <c r="L277" s="80">
        <f>YEAR(tblPayments[[#This Row],[Arrival]])</f>
        <v>2026</v>
      </c>
      <c r="M277" s="80" t="str">
        <f>IF(tblPayments[[#This Row],[Balance]]=0,"Full Payment","Deposit")</f>
        <v>Deposit</v>
      </c>
      <c r="N277" s="43">
        <v>37964.160000000003</v>
      </c>
      <c r="O277" s="83">
        <v>45910</v>
      </c>
      <c r="P277" s="87" t="s">
        <v>1</v>
      </c>
    </row>
    <row r="278" spans="1:16" x14ac:dyDescent="0.3">
      <c r="A278" s="77" t="s">
        <v>101</v>
      </c>
      <c r="B278" s="80" t="s">
        <v>77</v>
      </c>
      <c r="C278" s="43">
        <v>15432</v>
      </c>
      <c r="D278" s="43"/>
      <c r="E278" s="43">
        <v>15432</v>
      </c>
      <c r="F278" s="80" t="s">
        <v>75</v>
      </c>
      <c r="G278" s="83">
        <v>46129</v>
      </c>
      <c r="H278" s="83">
        <v>46137</v>
      </c>
      <c r="I278" s="4">
        <v>8</v>
      </c>
      <c r="J278" s="80" t="str">
        <f>TEXT(tblPayments[[#This Row],[Arrival]],"mmm")</f>
        <v>Apr</v>
      </c>
      <c r="K278" s="80">
        <f>MONTH(tblPayments[[#This Row],[Arrival]])</f>
        <v>4</v>
      </c>
      <c r="L278" s="80">
        <f>YEAR(tblPayments[[#This Row],[Arrival]])</f>
        <v>2026</v>
      </c>
      <c r="M278" s="80" t="str">
        <f>IF(tblPayments[[#This Row],[Balance]]=0,"Full Payment","Deposit")</f>
        <v>Deposit</v>
      </c>
      <c r="N278" s="43">
        <v>5905.2</v>
      </c>
      <c r="O278" s="83">
        <v>45749</v>
      </c>
      <c r="P278" s="87" t="s">
        <v>2</v>
      </c>
    </row>
    <row r="279" spans="1:16" x14ac:dyDescent="0.3">
      <c r="A279" s="77" t="s">
        <v>101</v>
      </c>
      <c r="B279" s="80" t="s">
        <v>77</v>
      </c>
      <c r="C279" s="43">
        <v>21351</v>
      </c>
      <c r="D279" s="43"/>
      <c r="E279" s="43">
        <v>21351</v>
      </c>
      <c r="F279" s="80" t="s">
        <v>75</v>
      </c>
      <c r="G279" s="83">
        <v>46130</v>
      </c>
      <c r="H279" s="83">
        <v>46134</v>
      </c>
      <c r="I279" s="4">
        <v>4</v>
      </c>
      <c r="J279" s="80" t="str">
        <f>TEXT(tblPayments[[#This Row],[Arrival]],"mmm")</f>
        <v>Apr</v>
      </c>
      <c r="K279" s="80">
        <f>MONTH(tblPayments[[#This Row],[Arrival]])</f>
        <v>4</v>
      </c>
      <c r="L279" s="80">
        <f>YEAR(tblPayments[[#This Row],[Arrival]])</f>
        <v>2026</v>
      </c>
      <c r="M279" s="80" t="str">
        <f>IF(tblPayments[[#This Row],[Balance]]=0,"Full Payment","Deposit")</f>
        <v>Deposit</v>
      </c>
      <c r="N279" s="43">
        <v>12541.96</v>
      </c>
      <c r="O279" s="83">
        <v>45769</v>
      </c>
      <c r="P279" s="87" t="s">
        <v>2</v>
      </c>
    </row>
    <row r="280" spans="1:16" x14ac:dyDescent="0.3">
      <c r="A280" s="77" t="s">
        <v>101</v>
      </c>
      <c r="B280" s="80" t="s">
        <v>77</v>
      </c>
      <c r="C280" s="43">
        <v>73149.06</v>
      </c>
      <c r="D280" s="43"/>
      <c r="E280" s="43">
        <v>73149.06</v>
      </c>
      <c r="F280" s="80" t="s">
        <v>75</v>
      </c>
      <c r="G280" s="83">
        <v>46130</v>
      </c>
      <c r="H280" s="83">
        <v>46145</v>
      </c>
      <c r="I280" s="4">
        <v>15</v>
      </c>
      <c r="J280" s="80" t="str">
        <f>TEXT(tblPayments[[#This Row],[Arrival]],"mmm")</f>
        <v>Apr</v>
      </c>
      <c r="K280" s="80">
        <f>MONTH(tblPayments[[#This Row],[Arrival]])</f>
        <v>4</v>
      </c>
      <c r="L280" s="80">
        <f>YEAR(tblPayments[[#This Row],[Arrival]])</f>
        <v>2026</v>
      </c>
      <c r="M280" s="80" t="str">
        <f>IF(tblPayments[[#This Row],[Balance]]=0,"Full Payment","Deposit")</f>
        <v>Deposit</v>
      </c>
      <c r="N280" s="43">
        <v>40196.94</v>
      </c>
      <c r="O280" s="83">
        <v>45978</v>
      </c>
      <c r="P280" s="87" t="s">
        <v>18</v>
      </c>
    </row>
    <row r="281" spans="1:16" x14ac:dyDescent="0.3">
      <c r="A281" s="77" t="s">
        <v>101</v>
      </c>
      <c r="B281" s="80" t="s">
        <v>77</v>
      </c>
      <c r="C281" s="43">
        <v>1559.37</v>
      </c>
      <c r="D281" s="43"/>
      <c r="E281" s="43">
        <v>1559.37</v>
      </c>
      <c r="F281" s="80" t="s">
        <v>75</v>
      </c>
      <c r="G281" s="83">
        <v>46131</v>
      </c>
      <c r="H281" s="83">
        <v>46132</v>
      </c>
      <c r="I281" s="4">
        <v>1</v>
      </c>
      <c r="J281" s="80" t="str">
        <f>TEXT(tblPayments[[#This Row],[Arrival]],"mmm")</f>
        <v>Apr</v>
      </c>
      <c r="K281" s="80">
        <f>MONTH(tblPayments[[#This Row],[Arrival]])</f>
        <v>4</v>
      </c>
      <c r="L281" s="80">
        <f>YEAR(tblPayments[[#This Row],[Arrival]])</f>
        <v>2026</v>
      </c>
      <c r="M281" s="80" t="str">
        <f>IF(tblPayments[[#This Row],[Balance]]=0,"Full Payment","Deposit")</f>
        <v>Deposit</v>
      </c>
      <c r="N281" s="43">
        <v>1072.47</v>
      </c>
      <c r="O281" s="83">
        <v>45984</v>
      </c>
      <c r="P281" s="87" t="s">
        <v>2</v>
      </c>
    </row>
    <row r="282" spans="1:16" x14ac:dyDescent="0.3">
      <c r="A282" s="77" t="s">
        <v>101</v>
      </c>
      <c r="B282" s="80" t="s">
        <v>77</v>
      </c>
      <c r="C282" s="43">
        <v>162748</v>
      </c>
      <c r="D282" s="43">
        <v>40687</v>
      </c>
      <c r="E282" s="43">
        <v>122061</v>
      </c>
      <c r="F282" s="80" t="s">
        <v>72</v>
      </c>
      <c r="G282" s="83">
        <v>46131</v>
      </c>
      <c r="H282" s="83">
        <v>46145</v>
      </c>
      <c r="I282" s="4">
        <v>14</v>
      </c>
      <c r="J282" s="80" t="str">
        <f>TEXT(tblPayments[[#This Row],[Arrival]],"mmm")</f>
        <v>Apr</v>
      </c>
      <c r="K282" s="80">
        <f>MONTH(tblPayments[[#This Row],[Arrival]])</f>
        <v>4</v>
      </c>
      <c r="L282" s="80">
        <f>YEAR(tblPayments[[#This Row],[Arrival]])</f>
        <v>2026</v>
      </c>
      <c r="M282" s="80" t="str">
        <f>IF(tblPayments[[#This Row],[Balance]]=0,"Full Payment","Deposit")</f>
        <v>Deposit</v>
      </c>
      <c r="N282" s="43">
        <v>74712.399999999994</v>
      </c>
      <c r="O282" s="83">
        <v>45909</v>
      </c>
      <c r="P282" s="87" t="s">
        <v>1</v>
      </c>
    </row>
    <row r="283" spans="1:16" x14ac:dyDescent="0.3">
      <c r="A283" s="77" t="s">
        <v>101</v>
      </c>
      <c r="B283" s="80" t="s">
        <v>77</v>
      </c>
      <c r="C283" s="43">
        <v>46636.59</v>
      </c>
      <c r="D283" s="43">
        <v>11659.15</v>
      </c>
      <c r="E283" s="43">
        <v>34977.440000000002</v>
      </c>
      <c r="F283" s="80" t="s">
        <v>72</v>
      </c>
      <c r="G283" s="83">
        <v>46131</v>
      </c>
      <c r="H283" s="83">
        <v>46143</v>
      </c>
      <c r="I283" s="4">
        <v>12</v>
      </c>
      <c r="J283" s="80" t="str">
        <f>TEXT(tblPayments[[#This Row],[Arrival]],"mmm")</f>
        <v>Apr</v>
      </c>
      <c r="K283" s="80">
        <f>MONTH(tblPayments[[#This Row],[Arrival]])</f>
        <v>4</v>
      </c>
      <c r="L283" s="80">
        <f>YEAR(tblPayments[[#This Row],[Arrival]])</f>
        <v>2026</v>
      </c>
      <c r="M283" s="80" t="str">
        <f>IF(tblPayments[[#This Row],[Balance]]=0,"Full Payment","Deposit")</f>
        <v>Deposit</v>
      </c>
      <c r="N283" s="43">
        <v>26106.959999999999</v>
      </c>
      <c r="O283" s="83">
        <v>45979</v>
      </c>
      <c r="P283" s="87" t="s">
        <v>18</v>
      </c>
    </row>
    <row r="284" spans="1:16" x14ac:dyDescent="0.3">
      <c r="A284" s="77" t="s">
        <v>101</v>
      </c>
      <c r="B284" s="80" t="s">
        <v>77</v>
      </c>
      <c r="C284" s="43">
        <v>23063</v>
      </c>
      <c r="D284" s="43"/>
      <c r="E284" s="43">
        <v>23063</v>
      </c>
      <c r="F284" s="80" t="s">
        <v>75</v>
      </c>
      <c r="G284" s="83">
        <v>46132</v>
      </c>
      <c r="H284" s="83">
        <v>46139</v>
      </c>
      <c r="I284" s="4">
        <v>7</v>
      </c>
      <c r="J284" s="80" t="str">
        <f>TEXT(tblPayments[[#This Row],[Arrival]],"mmm")</f>
        <v>Apr</v>
      </c>
      <c r="K284" s="80">
        <f>MONTH(tblPayments[[#This Row],[Arrival]])</f>
        <v>4</v>
      </c>
      <c r="L284" s="80">
        <f>YEAR(tblPayments[[#This Row],[Arrival]])</f>
        <v>2026</v>
      </c>
      <c r="M284" s="80" t="str">
        <f>IF(tblPayments[[#This Row],[Balance]]=0,"Full Payment","Deposit")</f>
        <v>Deposit</v>
      </c>
      <c r="N284" s="43">
        <v>12342.61</v>
      </c>
      <c r="O284" s="83">
        <v>45885</v>
      </c>
      <c r="P284" s="87" t="s">
        <v>18</v>
      </c>
    </row>
    <row r="285" spans="1:16" x14ac:dyDescent="0.3">
      <c r="A285" s="77" t="s">
        <v>101</v>
      </c>
      <c r="B285" s="80" t="s">
        <v>77</v>
      </c>
      <c r="C285" s="43">
        <v>52000</v>
      </c>
      <c r="D285" s="43"/>
      <c r="E285" s="43">
        <v>52000</v>
      </c>
      <c r="F285" s="80" t="s">
        <v>75</v>
      </c>
      <c r="G285" s="83">
        <v>46132</v>
      </c>
      <c r="H285" s="83">
        <v>46142</v>
      </c>
      <c r="I285" s="4">
        <v>10</v>
      </c>
      <c r="J285" s="80" t="str">
        <f>TEXT(tblPayments[[#This Row],[Arrival]],"mmm")</f>
        <v>Apr</v>
      </c>
      <c r="K285" s="80">
        <f>MONTH(tblPayments[[#This Row],[Arrival]])</f>
        <v>4</v>
      </c>
      <c r="L285" s="80">
        <f>YEAR(tblPayments[[#This Row],[Arrival]])</f>
        <v>2026</v>
      </c>
      <c r="M285" s="80" t="str">
        <f>IF(tblPayments[[#This Row],[Balance]]=0,"Full Payment","Deposit")</f>
        <v>Deposit</v>
      </c>
      <c r="N285" s="43">
        <v>51753.4</v>
      </c>
      <c r="O285" s="83">
        <v>45859</v>
      </c>
      <c r="P285" s="87" t="s">
        <v>40</v>
      </c>
    </row>
    <row r="286" spans="1:16" x14ac:dyDescent="0.3">
      <c r="A286" s="77" t="s">
        <v>101</v>
      </c>
      <c r="B286" s="80" t="s">
        <v>77</v>
      </c>
      <c r="C286" s="43">
        <v>17400</v>
      </c>
      <c r="D286" s="43"/>
      <c r="E286" s="43">
        <v>17400</v>
      </c>
      <c r="F286" s="80" t="s">
        <v>75</v>
      </c>
      <c r="G286" s="83">
        <v>46132</v>
      </c>
      <c r="H286" s="83">
        <v>46137</v>
      </c>
      <c r="I286" s="4">
        <v>5</v>
      </c>
      <c r="J286" s="80" t="str">
        <f>TEXT(tblPayments[[#This Row],[Arrival]],"mmm")</f>
        <v>Apr</v>
      </c>
      <c r="K286" s="80">
        <f>MONTH(tblPayments[[#This Row],[Arrival]])</f>
        <v>4</v>
      </c>
      <c r="L286" s="80">
        <f>YEAR(tblPayments[[#This Row],[Arrival]])</f>
        <v>2026</v>
      </c>
      <c r="M286" s="80" t="str">
        <f>IF(tblPayments[[#This Row],[Balance]]=0,"Full Payment","Deposit")</f>
        <v>Deposit</v>
      </c>
      <c r="N286" s="43">
        <v>7844.93</v>
      </c>
      <c r="O286" s="83">
        <v>45984</v>
      </c>
      <c r="P286" s="87" t="s">
        <v>2</v>
      </c>
    </row>
    <row r="287" spans="1:16" x14ac:dyDescent="0.3">
      <c r="A287" s="77" t="s">
        <v>101</v>
      </c>
      <c r="B287" s="80" t="s">
        <v>77</v>
      </c>
      <c r="C287" s="43"/>
      <c r="D287" s="43"/>
      <c r="E287" s="43"/>
      <c r="F287" s="80" t="s">
        <v>73</v>
      </c>
      <c r="G287" s="83">
        <v>46132</v>
      </c>
      <c r="H287" s="83">
        <v>46134</v>
      </c>
      <c r="I287" s="4">
        <v>2</v>
      </c>
      <c r="J287" s="80" t="str">
        <f>TEXT(tblPayments[[#This Row],[Arrival]],"mmm")</f>
        <v>Apr</v>
      </c>
      <c r="K287" s="80">
        <f>MONTH(tblPayments[[#This Row],[Arrival]])</f>
        <v>4</v>
      </c>
      <c r="L287" s="80">
        <f>YEAR(tblPayments[[#This Row],[Arrival]])</f>
        <v>2026</v>
      </c>
      <c r="M287" s="80" t="str">
        <f>IF(tblPayments[[#This Row],[Balance]]=0,"Full Payment","Deposit")</f>
        <v>Full Payment</v>
      </c>
      <c r="N287" s="43">
        <v>0</v>
      </c>
      <c r="O287" s="83">
        <v>45902</v>
      </c>
      <c r="P287" s="87" t="s">
        <v>15</v>
      </c>
    </row>
    <row r="288" spans="1:16" x14ac:dyDescent="0.3">
      <c r="A288" s="77" t="s">
        <v>101</v>
      </c>
      <c r="B288" s="80" t="s">
        <v>77</v>
      </c>
      <c r="C288" s="43">
        <v>30492.5</v>
      </c>
      <c r="D288" s="43"/>
      <c r="E288" s="43">
        <v>30492.5</v>
      </c>
      <c r="F288" s="80" t="s">
        <v>75</v>
      </c>
      <c r="G288" s="83">
        <v>46132</v>
      </c>
      <c r="H288" s="83">
        <v>46147</v>
      </c>
      <c r="I288" s="4">
        <v>15</v>
      </c>
      <c r="J288" s="80" t="str">
        <f>TEXT(tblPayments[[#This Row],[Arrival]],"mmm")</f>
        <v>Apr</v>
      </c>
      <c r="K288" s="80">
        <f>MONTH(tblPayments[[#This Row],[Arrival]])</f>
        <v>4</v>
      </c>
      <c r="L288" s="80">
        <f>YEAR(tblPayments[[#This Row],[Arrival]])</f>
        <v>2026</v>
      </c>
      <c r="M288" s="80" t="str">
        <f>IF(tblPayments[[#This Row],[Balance]]=0,"Full Payment","Deposit")</f>
        <v>Deposit</v>
      </c>
      <c r="N288" s="43">
        <v>13366.35</v>
      </c>
      <c r="O288" s="83">
        <v>45901</v>
      </c>
      <c r="P288" s="87" t="s">
        <v>37</v>
      </c>
    </row>
    <row r="289" spans="1:16" x14ac:dyDescent="0.3">
      <c r="A289" s="77" t="s">
        <v>101</v>
      </c>
      <c r="B289" s="80" t="s">
        <v>77</v>
      </c>
      <c r="C289" s="43"/>
      <c r="D289" s="43"/>
      <c r="E289" s="43"/>
      <c r="F289" s="80" t="s">
        <v>73</v>
      </c>
      <c r="G289" s="83">
        <v>46132</v>
      </c>
      <c r="H289" s="83">
        <v>46137</v>
      </c>
      <c r="I289" s="4">
        <v>5</v>
      </c>
      <c r="J289" s="80" t="str">
        <f>TEXT(tblPayments[[#This Row],[Arrival]],"mmm")</f>
        <v>Apr</v>
      </c>
      <c r="K289" s="80">
        <f>MONTH(tblPayments[[#This Row],[Arrival]])</f>
        <v>4</v>
      </c>
      <c r="L289" s="80">
        <f>YEAR(tblPayments[[#This Row],[Arrival]])</f>
        <v>2026</v>
      </c>
      <c r="M289" s="80" t="str">
        <f>IF(tblPayments[[#This Row],[Balance]]=0,"Full Payment","Deposit")</f>
        <v>Full Payment</v>
      </c>
      <c r="N289" s="43">
        <v>0</v>
      </c>
      <c r="O289" s="83">
        <v>45908</v>
      </c>
      <c r="P289" s="87" t="s">
        <v>38</v>
      </c>
    </row>
    <row r="290" spans="1:16" x14ac:dyDescent="0.3">
      <c r="A290" s="77" t="s">
        <v>101</v>
      </c>
      <c r="B290" s="80" t="s">
        <v>77</v>
      </c>
      <c r="C290" s="43">
        <v>44408</v>
      </c>
      <c r="D290" s="43">
        <v>11102</v>
      </c>
      <c r="E290" s="43">
        <v>33306</v>
      </c>
      <c r="F290" s="80" t="s">
        <v>72</v>
      </c>
      <c r="G290" s="83">
        <v>46136</v>
      </c>
      <c r="H290" s="83">
        <v>46152</v>
      </c>
      <c r="I290" s="4">
        <v>16</v>
      </c>
      <c r="J290" s="80" t="str">
        <f>TEXT(tblPayments[[#This Row],[Arrival]],"mmm")</f>
        <v>Apr</v>
      </c>
      <c r="K290" s="80">
        <f>MONTH(tblPayments[[#This Row],[Arrival]])</f>
        <v>4</v>
      </c>
      <c r="L290" s="80">
        <f>YEAR(tblPayments[[#This Row],[Arrival]])</f>
        <v>2026</v>
      </c>
      <c r="M290" s="80" t="str">
        <f>IF(tblPayments[[#This Row],[Balance]]=0,"Full Payment","Deposit")</f>
        <v>Deposit</v>
      </c>
      <c r="N290" s="43">
        <v>24295.88</v>
      </c>
      <c r="O290" s="83">
        <v>45965</v>
      </c>
      <c r="P290" s="87" t="s">
        <v>18</v>
      </c>
    </row>
    <row r="291" spans="1:16" x14ac:dyDescent="0.3">
      <c r="A291" s="77" t="s">
        <v>101</v>
      </c>
      <c r="B291" s="80" t="s">
        <v>77</v>
      </c>
      <c r="C291" s="43"/>
      <c r="D291" s="43"/>
      <c r="E291" s="43"/>
      <c r="F291" s="80" t="s">
        <v>74</v>
      </c>
      <c r="G291" s="83">
        <v>46137</v>
      </c>
      <c r="H291" s="83">
        <v>46139</v>
      </c>
      <c r="I291" s="4">
        <v>2</v>
      </c>
      <c r="J291" s="80" t="str">
        <f>TEXT(tblPayments[[#This Row],[Arrival]],"mmm")</f>
        <v>Apr</v>
      </c>
      <c r="K291" s="80">
        <f>MONTH(tblPayments[[#This Row],[Arrival]])</f>
        <v>4</v>
      </c>
      <c r="L291" s="80">
        <f>YEAR(tblPayments[[#This Row],[Arrival]])</f>
        <v>2026</v>
      </c>
      <c r="M291" s="80" t="str">
        <f>IF(tblPayments[[#This Row],[Balance]]=0,"Full Payment","Deposit")</f>
        <v>Full Payment</v>
      </c>
      <c r="N291" s="43">
        <v>-1010.1</v>
      </c>
      <c r="O291" s="83">
        <v>45987</v>
      </c>
      <c r="P291" s="87" t="s">
        <v>15</v>
      </c>
    </row>
    <row r="292" spans="1:16" x14ac:dyDescent="0.3">
      <c r="A292" s="77" t="s">
        <v>101</v>
      </c>
      <c r="B292" s="80" t="s">
        <v>77</v>
      </c>
      <c r="C292" s="43"/>
      <c r="D292" s="43"/>
      <c r="E292" s="43"/>
      <c r="F292" s="80" t="s">
        <v>73</v>
      </c>
      <c r="G292" s="83">
        <v>46138</v>
      </c>
      <c r="H292" s="83">
        <v>46151</v>
      </c>
      <c r="I292" s="4">
        <v>13</v>
      </c>
      <c r="J292" s="80" t="str">
        <f>TEXT(tblPayments[[#This Row],[Arrival]],"mmm")</f>
        <v>Apr</v>
      </c>
      <c r="K292" s="80">
        <f>MONTH(tblPayments[[#This Row],[Arrival]])</f>
        <v>4</v>
      </c>
      <c r="L292" s="80">
        <f>YEAR(tblPayments[[#This Row],[Arrival]])</f>
        <v>2026</v>
      </c>
      <c r="M292" s="80" t="str">
        <f>IF(tblPayments[[#This Row],[Balance]]=0,"Full Payment","Deposit")</f>
        <v>Full Payment</v>
      </c>
      <c r="N292" s="43">
        <v>0</v>
      </c>
      <c r="O292" s="83">
        <v>45879</v>
      </c>
      <c r="P292" s="87" t="s">
        <v>18</v>
      </c>
    </row>
    <row r="293" spans="1:16" x14ac:dyDescent="0.3">
      <c r="A293" s="77" t="s">
        <v>101</v>
      </c>
      <c r="B293" s="80" t="s">
        <v>77</v>
      </c>
      <c r="C293" s="43"/>
      <c r="D293" s="43"/>
      <c r="E293" s="43"/>
      <c r="F293" s="80" t="s">
        <v>74</v>
      </c>
      <c r="G293" s="83">
        <v>46138</v>
      </c>
      <c r="H293" s="83">
        <v>46148</v>
      </c>
      <c r="I293" s="4">
        <v>10</v>
      </c>
      <c r="J293" s="80" t="str">
        <f>TEXT(tblPayments[[#This Row],[Arrival]],"mmm")</f>
        <v>Apr</v>
      </c>
      <c r="K293" s="80">
        <f>MONTH(tblPayments[[#This Row],[Arrival]])</f>
        <v>4</v>
      </c>
      <c r="L293" s="80">
        <f>YEAR(tblPayments[[#This Row],[Arrival]])</f>
        <v>2026</v>
      </c>
      <c r="M293" s="80" t="str">
        <f>IF(tblPayments[[#This Row],[Balance]]=0,"Full Payment","Deposit")</f>
        <v>Full Payment</v>
      </c>
      <c r="N293" s="43">
        <v>41170.6</v>
      </c>
      <c r="O293" s="83">
        <v>45993</v>
      </c>
      <c r="P293" s="87" t="s">
        <v>1</v>
      </c>
    </row>
    <row r="294" spans="1:16" x14ac:dyDescent="0.3">
      <c r="A294" s="77" t="s">
        <v>101</v>
      </c>
      <c r="B294" s="80" t="s">
        <v>77</v>
      </c>
      <c r="C294" s="43">
        <v>38962.639999999999</v>
      </c>
      <c r="D294" s="43">
        <v>9740.66</v>
      </c>
      <c r="E294" s="43">
        <v>29221.98</v>
      </c>
      <c r="F294" s="80" t="s">
        <v>72</v>
      </c>
      <c r="G294" s="83">
        <v>46138</v>
      </c>
      <c r="H294" s="83">
        <v>46147</v>
      </c>
      <c r="I294" s="4">
        <v>9</v>
      </c>
      <c r="J294" s="80" t="str">
        <f>TEXT(tblPayments[[#This Row],[Arrival]],"mmm")</f>
        <v>Apr</v>
      </c>
      <c r="K294" s="80">
        <f>MONTH(tblPayments[[#This Row],[Arrival]])</f>
        <v>4</v>
      </c>
      <c r="L294" s="80">
        <f>YEAR(tblPayments[[#This Row],[Arrival]])</f>
        <v>2026</v>
      </c>
      <c r="M294" s="80" t="str">
        <f>IF(tblPayments[[#This Row],[Balance]]=0,"Full Payment","Deposit")</f>
        <v>Deposit</v>
      </c>
      <c r="N294" s="43">
        <v>21877.38</v>
      </c>
      <c r="O294" s="83">
        <v>45964</v>
      </c>
      <c r="P294" s="87" t="s">
        <v>18</v>
      </c>
    </row>
    <row r="295" spans="1:16" x14ac:dyDescent="0.3">
      <c r="A295" s="77" t="s">
        <v>101</v>
      </c>
      <c r="B295" s="80" t="s">
        <v>77</v>
      </c>
      <c r="C295" s="43">
        <v>54504.800000000003</v>
      </c>
      <c r="D295" s="43"/>
      <c r="E295" s="43">
        <v>54504.800000000003</v>
      </c>
      <c r="F295" s="80" t="s">
        <v>75</v>
      </c>
      <c r="G295" s="83">
        <v>46141</v>
      </c>
      <c r="H295" s="83">
        <v>46147</v>
      </c>
      <c r="I295" s="4">
        <v>6</v>
      </c>
      <c r="J295" s="80" t="str">
        <f>TEXT(tblPayments[[#This Row],[Arrival]],"mmm")</f>
        <v>Apr</v>
      </c>
      <c r="K295" s="80">
        <f>MONTH(tblPayments[[#This Row],[Arrival]])</f>
        <v>4</v>
      </c>
      <c r="L295" s="80">
        <f>YEAR(tblPayments[[#This Row],[Arrival]])</f>
        <v>2026</v>
      </c>
      <c r="M295" s="80" t="str">
        <f>IF(tblPayments[[#This Row],[Balance]]=0,"Full Payment","Deposit")</f>
        <v>Deposit</v>
      </c>
      <c r="N295" s="43">
        <v>0</v>
      </c>
      <c r="O295" s="83">
        <v>45933</v>
      </c>
      <c r="P295" s="87" t="s">
        <v>5</v>
      </c>
    </row>
    <row r="296" spans="1:16" x14ac:dyDescent="0.3">
      <c r="A296" s="77" t="s">
        <v>101</v>
      </c>
      <c r="B296" s="80" t="s">
        <v>77</v>
      </c>
      <c r="C296" s="43">
        <v>38587.5</v>
      </c>
      <c r="D296" s="43">
        <v>9646.8799999999992</v>
      </c>
      <c r="E296" s="43">
        <v>28940.62</v>
      </c>
      <c r="F296" s="80" t="s">
        <v>72</v>
      </c>
      <c r="G296" s="83">
        <v>46143</v>
      </c>
      <c r="H296" s="83">
        <v>46152</v>
      </c>
      <c r="I296" s="4">
        <v>9</v>
      </c>
      <c r="J296" s="80" t="str">
        <f>TEXT(tblPayments[[#This Row],[Arrival]],"mmm")</f>
        <v>May</v>
      </c>
      <c r="K296" s="80">
        <f>MONTH(tblPayments[[#This Row],[Arrival]])</f>
        <v>5</v>
      </c>
      <c r="L296" s="80">
        <f>YEAR(tblPayments[[#This Row],[Arrival]])</f>
        <v>2026</v>
      </c>
      <c r="M296" s="80" t="str">
        <f>IF(tblPayments[[#This Row],[Balance]]=0,"Full Payment","Deposit")</f>
        <v>Deposit</v>
      </c>
      <c r="N296" s="43">
        <v>15135.36</v>
      </c>
      <c r="O296" s="83">
        <v>45984</v>
      </c>
      <c r="P296" s="87" t="s">
        <v>1</v>
      </c>
    </row>
    <row r="297" spans="1:16" x14ac:dyDescent="0.3">
      <c r="A297" s="77" t="s">
        <v>101</v>
      </c>
      <c r="B297" s="80" t="s">
        <v>77</v>
      </c>
      <c r="C297" s="43">
        <v>53523</v>
      </c>
      <c r="D297" s="43"/>
      <c r="E297" s="43">
        <v>53523</v>
      </c>
      <c r="F297" s="80" t="s">
        <v>75</v>
      </c>
      <c r="G297" s="83">
        <v>46143</v>
      </c>
      <c r="H297" s="83">
        <v>46152</v>
      </c>
      <c r="I297" s="4">
        <v>9</v>
      </c>
      <c r="J297" s="80" t="str">
        <f>TEXT(tblPayments[[#This Row],[Arrival]],"mmm")</f>
        <v>May</v>
      </c>
      <c r="K297" s="80">
        <f>MONTH(tblPayments[[#This Row],[Arrival]])</f>
        <v>5</v>
      </c>
      <c r="L297" s="80">
        <f>YEAR(tblPayments[[#This Row],[Arrival]])</f>
        <v>2026</v>
      </c>
      <c r="M297" s="80" t="str">
        <f>IF(tblPayments[[#This Row],[Balance]]=0,"Full Payment","Deposit")</f>
        <v>Deposit</v>
      </c>
      <c r="N297" s="43">
        <v>19395.09</v>
      </c>
      <c r="O297" s="83">
        <v>45944</v>
      </c>
      <c r="P297" s="87" t="s">
        <v>1</v>
      </c>
    </row>
    <row r="298" spans="1:16" x14ac:dyDescent="0.3">
      <c r="A298" s="77" t="s">
        <v>101</v>
      </c>
      <c r="B298" s="80" t="s">
        <v>77</v>
      </c>
      <c r="C298" s="43">
        <v>46738.5</v>
      </c>
      <c r="D298" s="43"/>
      <c r="E298" s="43">
        <v>46738.5</v>
      </c>
      <c r="F298" s="80" t="s">
        <v>75</v>
      </c>
      <c r="G298" s="83">
        <v>46145</v>
      </c>
      <c r="H298" s="83">
        <v>46158</v>
      </c>
      <c r="I298" s="4">
        <v>13</v>
      </c>
      <c r="J298" s="80" t="str">
        <f>TEXT(tblPayments[[#This Row],[Arrival]],"mmm")</f>
        <v>May</v>
      </c>
      <c r="K298" s="80">
        <f>MONTH(tblPayments[[#This Row],[Arrival]])</f>
        <v>5</v>
      </c>
      <c r="L298" s="80">
        <f>YEAR(tblPayments[[#This Row],[Arrival]])</f>
        <v>2026</v>
      </c>
      <c r="M298" s="80" t="str">
        <f>IF(tblPayments[[#This Row],[Balance]]=0,"Full Payment","Deposit")</f>
        <v>Deposit</v>
      </c>
      <c r="N298" s="43">
        <v>22069.599999999999</v>
      </c>
      <c r="O298" s="83">
        <v>45991</v>
      </c>
      <c r="P298" s="87" t="s">
        <v>1</v>
      </c>
    </row>
    <row r="299" spans="1:16" x14ac:dyDescent="0.3">
      <c r="A299" s="77" t="s">
        <v>101</v>
      </c>
      <c r="B299" s="80" t="s">
        <v>77</v>
      </c>
      <c r="C299" s="43">
        <v>0</v>
      </c>
      <c r="D299" s="43"/>
      <c r="E299" s="43">
        <v>0</v>
      </c>
      <c r="F299" s="80" t="s">
        <v>73</v>
      </c>
      <c r="G299" s="83">
        <v>46146</v>
      </c>
      <c r="H299" s="83">
        <v>46148</v>
      </c>
      <c r="I299" s="4">
        <v>2</v>
      </c>
      <c r="J299" s="80" t="str">
        <f>TEXT(tblPayments[[#This Row],[Arrival]],"mmm")</f>
        <v>May</v>
      </c>
      <c r="K299" s="80">
        <f>MONTH(tblPayments[[#This Row],[Arrival]])</f>
        <v>5</v>
      </c>
      <c r="L299" s="80">
        <f>YEAR(tblPayments[[#This Row],[Arrival]])</f>
        <v>2026</v>
      </c>
      <c r="M299" s="80" t="str">
        <f>IF(tblPayments[[#This Row],[Balance]]=0,"Full Payment","Deposit")</f>
        <v>Full Payment</v>
      </c>
      <c r="N299" s="43">
        <v>0</v>
      </c>
      <c r="O299" s="83">
        <v>45953</v>
      </c>
      <c r="P299" s="87" t="s">
        <v>2</v>
      </c>
    </row>
    <row r="300" spans="1:16" x14ac:dyDescent="0.3">
      <c r="A300" s="77" t="s">
        <v>101</v>
      </c>
      <c r="B300" s="80" t="s">
        <v>77</v>
      </c>
      <c r="C300" s="43">
        <v>54574</v>
      </c>
      <c r="D300" s="43"/>
      <c r="E300" s="43">
        <v>54574</v>
      </c>
      <c r="F300" s="80" t="s">
        <v>75</v>
      </c>
      <c r="G300" s="83">
        <v>46146</v>
      </c>
      <c r="H300" s="83">
        <v>46158</v>
      </c>
      <c r="I300" s="4">
        <v>12</v>
      </c>
      <c r="J300" s="80" t="str">
        <f>TEXT(tblPayments[[#This Row],[Arrival]],"mmm")</f>
        <v>May</v>
      </c>
      <c r="K300" s="80">
        <f>MONTH(tblPayments[[#This Row],[Arrival]])</f>
        <v>5</v>
      </c>
      <c r="L300" s="80">
        <f>YEAR(tblPayments[[#This Row],[Arrival]])</f>
        <v>2026</v>
      </c>
      <c r="M300" s="80" t="str">
        <f>IF(tblPayments[[#This Row],[Balance]]=0,"Full Payment","Deposit")</f>
        <v>Deposit</v>
      </c>
      <c r="N300" s="43">
        <v>25128.240000000002</v>
      </c>
      <c r="O300" s="83">
        <v>45951</v>
      </c>
      <c r="P300" s="87" t="s">
        <v>1</v>
      </c>
    </row>
    <row r="301" spans="1:16" x14ac:dyDescent="0.3">
      <c r="A301" s="77" t="s">
        <v>101</v>
      </c>
      <c r="B301" s="80" t="s">
        <v>77</v>
      </c>
      <c r="C301" s="43">
        <v>19353.89</v>
      </c>
      <c r="D301" s="43"/>
      <c r="E301" s="43">
        <v>19353.89</v>
      </c>
      <c r="F301" s="80" t="s">
        <v>75</v>
      </c>
      <c r="G301" s="83">
        <v>46147</v>
      </c>
      <c r="H301" s="83">
        <v>46151</v>
      </c>
      <c r="I301" s="4">
        <v>4</v>
      </c>
      <c r="J301" s="80" t="str">
        <f>TEXT(tblPayments[[#This Row],[Arrival]],"mmm")</f>
        <v>May</v>
      </c>
      <c r="K301" s="80">
        <f>MONTH(tblPayments[[#This Row],[Arrival]])</f>
        <v>5</v>
      </c>
      <c r="L301" s="80">
        <f>YEAR(tblPayments[[#This Row],[Arrival]])</f>
        <v>2026</v>
      </c>
      <c r="M301" s="80" t="str">
        <f>IF(tblPayments[[#This Row],[Balance]]=0,"Full Payment","Deposit")</f>
        <v>Deposit</v>
      </c>
      <c r="N301" s="43">
        <v>11211.74</v>
      </c>
      <c r="O301" s="83">
        <v>45815</v>
      </c>
      <c r="P301" s="87" t="s">
        <v>15</v>
      </c>
    </row>
    <row r="302" spans="1:16" x14ac:dyDescent="0.3">
      <c r="A302" s="77" t="s">
        <v>101</v>
      </c>
      <c r="B302" s="80" t="s">
        <v>77</v>
      </c>
      <c r="C302" s="43">
        <v>52464.92</v>
      </c>
      <c r="D302" s="43"/>
      <c r="E302" s="43">
        <v>52464.92</v>
      </c>
      <c r="F302" s="80" t="s">
        <v>75</v>
      </c>
      <c r="G302" s="83">
        <v>46147</v>
      </c>
      <c r="H302" s="83">
        <v>46151</v>
      </c>
      <c r="I302" s="4">
        <v>4</v>
      </c>
      <c r="J302" s="80" t="str">
        <f>TEXT(tblPayments[[#This Row],[Arrival]],"mmm")</f>
        <v>May</v>
      </c>
      <c r="K302" s="80">
        <f>MONTH(tblPayments[[#This Row],[Arrival]])</f>
        <v>5</v>
      </c>
      <c r="L302" s="80">
        <f>YEAR(tblPayments[[#This Row],[Arrival]])</f>
        <v>2026</v>
      </c>
      <c r="M302" s="80" t="str">
        <f>IF(tblPayments[[#This Row],[Balance]]=0,"Full Payment","Deposit")</f>
        <v>Deposit</v>
      </c>
      <c r="N302" s="43">
        <v>11284.8</v>
      </c>
      <c r="O302" s="83">
        <v>45838</v>
      </c>
      <c r="P302" s="87" t="s">
        <v>5</v>
      </c>
    </row>
    <row r="303" spans="1:16" x14ac:dyDescent="0.3">
      <c r="A303" s="77" t="s">
        <v>101</v>
      </c>
      <c r="B303" s="80" t="s">
        <v>77</v>
      </c>
      <c r="C303" s="43">
        <v>28320</v>
      </c>
      <c r="D303" s="43"/>
      <c r="E303" s="43">
        <v>28320</v>
      </c>
      <c r="F303" s="80" t="s">
        <v>75</v>
      </c>
      <c r="G303" s="83">
        <v>46148</v>
      </c>
      <c r="H303" s="83">
        <v>46163</v>
      </c>
      <c r="I303" s="4">
        <v>15</v>
      </c>
      <c r="J303" s="80" t="str">
        <f>TEXT(tblPayments[[#This Row],[Arrival]],"mmm")</f>
        <v>May</v>
      </c>
      <c r="K303" s="80">
        <f>MONTH(tblPayments[[#This Row],[Arrival]])</f>
        <v>5</v>
      </c>
      <c r="L303" s="80">
        <f>YEAR(tblPayments[[#This Row],[Arrival]])</f>
        <v>2026</v>
      </c>
      <c r="M303" s="80" t="str">
        <f>IF(tblPayments[[#This Row],[Balance]]=0,"Full Payment","Deposit")</f>
        <v>Deposit</v>
      </c>
      <c r="N303" s="43">
        <v>11888.1</v>
      </c>
      <c r="O303" s="83">
        <v>45919</v>
      </c>
      <c r="P303" s="87" t="s">
        <v>13</v>
      </c>
    </row>
    <row r="304" spans="1:16" x14ac:dyDescent="0.3">
      <c r="A304" s="77" t="s">
        <v>101</v>
      </c>
      <c r="B304" s="80" t="s">
        <v>77</v>
      </c>
      <c r="C304" s="43">
        <v>12548.2</v>
      </c>
      <c r="D304" s="43"/>
      <c r="E304" s="43">
        <v>12548.2</v>
      </c>
      <c r="F304" s="80" t="s">
        <v>80</v>
      </c>
      <c r="G304" s="83">
        <v>46148</v>
      </c>
      <c r="H304" s="83">
        <v>46153</v>
      </c>
      <c r="I304" s="4">
        <v>5</v>
      </c>
      <c r="J304" s="80" t="str">
        <f>TEXT(tblPayments[[#This Row],[Arrival]],"mmm")</f>
        <v>May</v>
      </c>
      <c r="K304" s="80">
        <f>MONTH(tblPayments[[#This Row],[Arrival]])</f>
        <v>5</v>
      </c>
      <c r="L304" s="80">
        <f>YEAR(tblPayments[[#This Row],[Arrival]])</f>
        <v>2026</v>
      </c>
      <c r="M304" s="80" t="str">
        <f>IF(tblPayments[[#This Row],[Balance]]=0,"Full Payment","Deposit")</f>
        <v>Deposit</v>
      </c>
      <c r="N304" s="43">
        <v>8712.65</v>
      </c>
      <c r="O304" s="83">
        <v>45998</v>
      </c>
      <c r="P304" s="87" t="s">
        <v>9</v>
      </c>
    </row>
    <row r="305" spans="1:16" x14ac:dyDescent="0.3">
      <c r="A305" s="77" t="s">
        <v>101</v>
      </c>
      <c r="B305" s="80" t="s">
        <v>77</v>
      </c>
      <c r="C305" s="43">
        <v>14930</v>
      </c>
      <c r="D305" s="43"/>
      <c r="E305" s="43">
        <v>14930</v>
      </c>
      <c r="F305" s="80" t="s">
        <v>75</v>
      </c>
      <c r="G305" s="83">
        <v>46148</v>
      </c>
      <c r="H305" s="83">
        <v>46151</v>
      </c>
      <c r="I305" s="4">
        <v>3</v>
      </c>
      <c r="J305" s="80" t="str">
        <f>TEXT(tblPayments[[#This Row],[Arrival]],"mmm")</f>
        <v>May</v>
      </c>
      <c r="K305" s="80">
        <f>MONTH(tblPayments[[#This Row],[Arrival]])</f>
        <v>5</v>
      </c>
      <c r="L305" s="80">
        <f>YEAR(tblPayments[[#This Row],[Arrival]])</f>
        <v>2026</v>
      </c>
      <c r="M305" s="80" t="str">
        <f>IF(tblPayments[[#This Row],[Balance]]=0,"Full Payment","Deposit")</f>
        <v>Deposit</v>
      </c>
      <c r="N305" s="43">
        <v>9338.01</v>
      </c>
      <c r="O305" s="83">
        <v>45873</v>
      </c>
      <c r="P305" s="87" t="s">
        <v>1</v>
      </c>
    </row>
    <row r="306" spans="1:16" x14ac:dyDescent="0.3">
      <c r="A306" s="77" t="s">
        <v>101</v>
      </c>
      <c r="B306" s="80" t="s">
        <v>77</v>
      </c>
      <c r="C306" s="43"/>
      <c r="D306" s="43"/>
      <c r="E306" s="43"/>
      <c r="F306" s="80" t="s">
        <v>73</v>
      </c>
      <c r="G306" s="83">
        <v>46151</v>
      </c>
      <c r="H306" s="83">
        <v>46153</v>
      </c>
      <c r="I306" s="4">
        <v>2</v>
      </c>
      <c r="J306" s="80" t="str">
        <f>TEXT(tblPayments[[#This Row],[Arrival]],"mmm")</f>
        <v>May</v>
      </c>
      <c r="K306" s="80">
        <f>MONTH(tblPayments[[#This Row],[Arrival]])</f>
        <v>5</v>
      </c>
      <c r="L306" s="80">
        <f>YEAR(tblPayments[[#This Row],[Arrival]])</f>
        <v>2026</v>
      </c>
      <c r="M306" s="80" t="str">
        <f>IF(tblPayments[[#This Row],[Balance]]=0,"Full Payment","Deposit")</f>
        <v>Full Payment</v>
      </c>
      <c r="N306" s="43">
        <v>0</v>
      </c>
      <c r="O306" s="83">
        <v>45911</v>
      </c>
      <c r="P306" s="87" t="s">
        <v>2</v>
      </c>
    </row>
    <row r="307" spans="1:16" x14ac:dyDescent="0.3">
      <c r="A307" s="77" t="s">
        <v>101</v>
      </c>
      <c r="B307" s="80" t="s">
        <v>77</v>
      </c>
      <c r="C307" s="43">
        <v>76640</v>
      </c>
      <c r="D307" s="43"/>
      <c r="E307" s="43">
        <v>76640</v>
      </c>
      <c r="F307" s="80" t="s">
        <v>75</v>
      </c>
      <c r="G307" s="83">
        <v>46152</v>
      </c>
      <c r="H307" s="83">
        <v>46162</v>
      </c>
      <c r="I307" s="4">
        <v>10</v>
      </c>
      <c r="J307" s="80" t="str">
        <f>TEXT(tblPayments[[#This Row],[Arrival]],"mmm")</f>
        <v>May</v>
      </c>
      <c r="K307" s="80">
        <f>MONTH(tblPayments[[#This Row],[Arrival]])</f>
        <v>5</v>
      </c>
      <c r="L307" s="80">
        <f>YEAR(tblPayments[[#This Row],[Arrival]])</f>
        <v>2026</v>
      </c>
      <c r="M307" s="80" t="str">
        <f>IF(tblPayments[[#This Row],[Balance]]=0,"Full Payment","Deposit")</f>
        <v>Deposit</v>
      </c>
      <c r="N307" s="43">
        <v>22824.400000000001</v>
      </c>
      <c r="O307" s="83">
        <v>45972</v>
      </c>
      <c r="P307" s="87" t="s">
        <v>37</v>
      </c>
    </row>
    <row r="308" spans="1:16" x14ac:dyDescent="0.3">
      <c r="A308" s="77" t="s">
        <v>101</v>
      </c>
      <c r="B308" s="80" t="s">
        <v>77</v>
      </c>
      <c r="C308" s="43">
        <v>30866.49</v>
      </c>
      <c r="D308" s="43"/>
      <c r="E308" s="43">
        <v>30866.49</v>
      </c>
      <c r="F308" s="80" t="s">
        <v>75</v>
      </c>
      <c r="G308" s="83">
        <v>46152</v>
      </c>
      <c r="H308" s="83">
        <v>46159</v>
      </c>
      <c r="I308" s="4">
        <v>7</v>
      </c>
      <c r="J308" s="80" t="str">
        <f>TEXT(tblPayments[[#This Row],[Arrival]],"mmm")</f>
        <v>May</v>
      </c>
      <c r="K308" s="80">
        <f>MONTH(tblPayments[[#This Row],[Arrival]])</f>
        <v>5</v>
      </c>
      <c r="L308" s="80">
        <f>YEAR(tblPayments[[#This Row],[Arrival]])</f>
        <v>2026</v>
      </c>
      <c r="M308" s="80" t="str">
        <f>IF(tblPayments[[#This Row],[Balance]]=0,"Full Payment","Deposit")</f>
        <v>Deposit</v>
      </c>
      <c r="N308" s="43">
        <v>18611.46</v>
      </c>
      <c r="O308" s="83">
        <v>45874</v>
      </c>
      <c r="P308" s="87" t="s">
        <v>15</v>
      </c>
    </row>
    <row r="309" spans="1:16" x14ac:dyDescent="0.3">
      <c r="A309" s="77" t="s">
        <v>101</v>
      </c>
      <c r="B309" s="80" t="s">
        <v>77</v>
      </c>
      <c r="C309" s="43">
        <v>12247.08</v>
      </c>
      <c r="D309" s="43"/>
      <c r="E309" s="43">
        <v>12247.08</v>
      </c>
      <c r="F309" s="80" t="s">
        <v>75</v>
      </c>
      <c r="G309" s="83">
        <v>46153</v>
      </c>
      <c r="H309" s="83">
        <v>46156</v>
      </c>
      <c r="I309" s="4">
        <v>3</v>
      </c>
      <c r="J309" s="80" t="str">
        <f>TEXT(tblPayments[[#This Row],[Arrival]],"mmm")</f>
        <v>May</v>
      </c>
      <c r="K309" s="80">
        <f>MONTH(tblPayments[[#This Row],[Arrival]])</f>
        <v>5</v>
      </c>
      <c r="L309" s="80">
        <f>YEAR(tblPayments[[#This Row],[Arrival]])</f>
        <v>2026</v>
      </c>
      <c r="M309" s="80" t="str">
        <f>IF(tblPayments[[#This Row],[Balance]]=0,"Full Payment","Deposit")</f>
        <v>Deposit</v>
      </c>
      <c r="N309" s="43">
        <v>6274.47</v>
      </c>
      <c r="O309" s="83">
        <v>45801</v>
      </c>
      <c r="P309" s="87" t="s">
        <v>38</v>
      </c>
    </row>
    <row r="310" spans="1:16" x14ac:dyDescent="0.3">
      <c r="A310" s="77" t="s">
        <v>101</v>
      </c>
      <c r="B310" s="80" t="s">
        <v>77</v>
      </c>
      <c r="C310" s="43"/>
      <c r="D310" s="43"/>
      <c r="E310" s="43"/>
      <c r="F310" s="80" t="s">
        <v>73</v>
      </c>
      <c r="G310" s="83">
        <v>46160</v>
      </c>
      <c r="H310" s="83">
        <v>46162</v>
      </c>
      <c r="I310" s="4">
        <v>2</v>
      </c>
      <c r="J310" s="80" t="str">
        <f>TEXT(tblPayments[[#This Row],[Arrival]],"mmm")</f>
        <v>May</v>
      </c>
      <c r="K310" s="80">
        <f>MONTH(tblPayments[[#This Row],[Arrival]])</f>
        <v>5</v>
      </c>
      <c r="L310" s="80">
        <f>YEAR(tblPayments[[#This Row],[Arrival]])</f>
        <v>2026</v>
      </c>
      <c r="M310" s="80" t="str">
        <f>IF(tblPayments[[#This Row],[Balance]]=0,"Full Payment","Deposit")</f>
        <v>Full Payment</v>
      </c>
      <c r="N310" s="43">
        <v>0</v>
      </c>
      <c r="O310" s="83">
        <v>45973</v>
      </c>
      <c r="P310" s="87" t="s">
        <v>1</v>
      </c>
    </row>
    <row r="311" spans="1:16" x14ac:dyDescent="0.3">
      <c r="A311" s="77" t="s">
        <v>101</v>
      </c>
      <c r="B311" s="80" t="s">
        <v>77</v>
      </c>
      <c r="C311" s="43">
        <v>16220.3</v>
      </c>
      <c r="D311" s="43"/>
      <c r="E311" s="43">
        <v>16220.3</v>
      </c>
      <c r="F311" s="80" t="s">
        <v>75</v>
      </c>
      <c r="G311" s="83">
        <v>46161</v>
      </c>
      <c r="H311" s="83">
        <v>46168</v>
      </c>
      <c r="I311" s="4">
        <v>7</v>
      </c>
      <c r="J311" s="80" t="str">
        <f>TEXT(tblPayments[[#This Row],[Arrival]],"mmm")</f>
        <v>May</v>
      </c>
      <c r="K311" s="80">
        <f>MONTH(tblPayments[[#This Row],[Arrival]])</f>
        <v>5</v>
      </c>
      <c r="L311" s="80">
        <f>YEAR(tblPayments[[#This Row],[Arrival]])</f>
        <v>2026</v>
      </c>
      <c r="M311" s="80" t="str">
        <f>IF(tblPayments[[#This Row],[Balance]]=0,"Full Payment","Deposit")</f>
        <v>Deposit</v>
      </c>
      <c r="N311" s="43">
        <v>7434.63</v>
      </c>
      <c r="O311" s="83">
        <v>45944</v>
      </c>
      <c r="P311" s="87" t="s">
        <v>2</v>
      </c>
    </row>
    <row r="312" spans="1:16" x14ac:dyDescent="0.3">
      <c r="A312" s="77" t="s">
        <v>101</v>
      </c>
      <c r="B312" s="80" t="s">
        <v>77</v>
      </c>
      <c r="C312" s="43"/>
      <c r="D312" s="43"/>
      <c r="E312" s="43"/>
      <c r="F312" s="80" t="s">
        <v>73</v>
      </c>
      <c r="G312" s="83">
        <v>46164</v>
      </c>
      <c r="H312" s="83">
        <v>46168</v>
      </c>
      <c r="I312" s="4">
        <v>4</v>
      </c>
      <c r="J312" s="80" t="str">
        <f>TEXT(tblPayments[[#This Row],[Arrival]],"mmm")</f>
        <v>May</v>
      </c>
      <c r="K312" s="80">
        <f>MONTH(tblPayments[[#This Row],[Arrival]])</f>
        <v>5</v>
      </c>
      <c r="L312" s="80">
        <f>YEAR(tblPayments[[#This Row],[Arrival]])</f>
        <v>2026</v>
      </c>
      <c r="M312" s="80" t="str">
        <f>IF(tblPayments[[#This Row],[Balance]]=0,"Full Payment","Deposit")</f>
        <v>Full Payment</v>
      </c>
      <c r="N312" s="43">
        <v>0</v>
      </c>
      <c r="O312" s="83">
        <v>45987</v>
      </c>
      <c r="P312" s="87" t="s">
        <v>8</v>
      </c>
    </row>
    <row r="313" spans="1:16" x14ac:dyDescent="0.3">
      <c r="A313" s="77" t="s">
        <v>101</v>
      </c>
      <c r="B313" s="80" t="s">
        <v>77</v>
      </c>
      <c r="C313" s="43">
        <v>11268</v>
      </c>
      <c r="D313" s="43"/>
      <c r="E313" s="43">
        <v>11268</v>
      </c>
      <c r="F313" s="80" t="s">
        <v>75</v>
      </c>
      <c r="G313" s="83">
        <v>46165</v>
      </c>
      <c r="H313" s="83">
        <v>46172</v>
      </c>
      <c r="I313" s="4">
        <v>7</v>
      </c>
      <c r="J313" s="80" t="str">
        <f>TEXT(tblPayments[[#This Row],[Arrival]],"mmm")</f>
        <v>May</v>
      </c>
      <c r="K313" s="80">
        <f>MONTH(tblPayments[[#This Row],[Arrival]])</f>
        <v>5</v>
      </c>
      <c r="L313" s="80">
        <f>YEAR(tblPayments[[#This Row],[Arrival]])</f>
        <v>2026</v>
      </c>
      <c r="M313" s="80" t="str">
        <f>IF(tblPayments[[#This Row],[Balance]]=0,"Full Payment","Deposit")</f>
        <v>Deposit</v>
      </c>
      <c r="N313" s="43">
        <v>5628.05</v>
      </c>
      <c r="O313" s="83">
        <v>45989</v>
      </c>
      <c r="P313" s="87" t="s">
        <v>13</v>
      </c>
    </row>
    <row r="314" spans="1:16" x14ac:dyDescent="0.3">
      <c r="A314" s="77" t="s">
        <v>101</v>
      </c>
      <c r="B314" s="80" t="s">
        <v>77</v>
      </c>
      <c r="C314" s="43">
        <v>43505.93</v>
      </c>
      <c r="D314" s="43">
        <v>11393.48</v>
      </c>
      <c r="E314" s="43">
        <v>32112.45</v>
      </c>
      <c r="F314" s="80" t="s">
        <v>72</v>
      </c>
      <c r="G314" s="83">
        <v>46165</v>
      </c>
      <c r="H314" s="83">
        <v>46172</v>
      </c>
      <c r="I314" s="4">
        <v>7</v>
      </c>
      <c r="J314" s="80" t="str">
        <f>TEXT(tblPayments[[#This Row],[Arrival]],"mmm")</f>
        <v>May</v>
      </c>
      <c r="K314" s="80">
        <f>MONTH(tblPayments[[#This Row],[Arrival]])</f>
        <v>5</v>
      </c>
      <c r="L314" s="80">
        <f>YEAR(tblPayments[[#This Row],[Arrival]])</f>
        <v>2026</v>
      </c>
      <c r="M314" s="80" t="str">
        <f>IF(tblPayments[[#This Row],[Balance]]=0,"Full Payment","Deposit")</f>
        <v>Deposit</v>
      </c>
      <c r="N314" s="43">
        <v>23864.82</v>
      </c>
      <c r="O314" s="83">
        <v>45993</v>
      </c>
      <c r="P314" s="87" t="s">
        <v>13</v>
      </c>
    </row>
    <row r="315" spans="1:16" x14ac:dyDescent="0.3">
      <c r="A315" s="77" t="s">
        <v>101</v>
      </c>
      <c r="B315" s="80" t="s">
        <v>77</v>
      </c>
      <c r="C315" s="43">
        <v>29543</v>
      </c>
      <c r="D315" s="43"/>
      <c r="E315" s="43">
        <v>29543</v>
      </c>
      <c r="F315" s="80" t="s">
        <v>80</v>
      </c>
      <c r="G315" s="83">
        <v>46166</v>
      </c>
      <c r="H315" s="83">
        <v>46175</v>
      </c>
      <c r="I315" s="4">
        <v>9</v>
      </c>
      <c r="J315" s="80" t="str">
        <f>TEXT(tblPayments[[#This Row],[Arrival]],"mmm")</f>
        <v>May</v>
      </c>
      <c r="K315" s="80">
        <f>MONTH(tblPayments[[#This Row],[Arrival]])</f>
        <v>5</v>
      </c>
      <c r="L315" s="80">
        <f>YEAR(tblPayments[[#This Row],[Arrival]])</f>
        <v>2026</v>
      </c>
      <c r="M315" s="80" t="str">
        <f>IF(tblPayments[[#This Row],[Balance]]=0,"Full Payment","Deposit")</f>
        <v>Deposit</v>
      </c>
      <c r="N315" s="43">
        <v>7150.32</v>
      </c>
      <c r="O315" s="83">
        <v>45930</v>
      </c>
      <c r="P315" s="87" t="s">
        <v>13</v>
      </c>
    </row>
    <row r="316" spans="1:16" x14ac:dyDescent="0.3">
      <c r="A316" s="77" t="s">
        <v>101</v>
      </c>
      <c r="B316" s="80" t="s">
        <v>77</v>
      </c>
      <c r="C316" s="43">
        <v>27735</v>
      </c>
      <c r="D316" s="43"/>
      <c r="E316" s="43">
        <v>27735</v>
      </c>
      <c r="F316" s="80" t="s">
        <v>75</v>
      </c>
      <c r="G316" s="83">
        <v>46167</v>
      </c>
      <c r="H316" s="83">
        <v>46173</v>
      </c>
      <c r="I316" s="4">
        <v>6</v>
      </c>
      <c r="J316" s="80" t="str">
        <f>TEXT(tblPayments[[#This Row],[Arrival]],"mmm")</f>
        <v>May</v>
      </c>
      <c r="K316" s="80">
        <f>MONTH(tblPayments[[#This Row],[Arrival]])</f>
        <v>5</v>
      </c>
      <c r="L316" s="80">
        <f>YEAR(tblPayments[[#This Row],[Arrival]])</f>
        <v>2026</v>
      </c>
      <c r="M316" s="80" t="str">
        <f>IF(tblPayments[[#This Row],[Balance]]=0,"Full Payment","Deposit")</f>
        <v>Deposit</v>
      </c>
      <c r="N316" s="43">
        <v>12082.32</v>
      </c>
      <c r="O316" s="83">
        <v>45885</v>
      </c>
      <c r="P316" s="87" t="s">
        <v>2</v>
      </c>
    </row>
    <row r="317" spans="1:16" x14ac:dyDescent="0.3">
      <c r="A317" s="77" t="s">
        <v>101</v>
      </c>
      <c r="B317" s="80" t="s">
        <v>77</v>
      </c>
      <c r="C317" s="43">
        <v>49077</v>
      </c>
      <c r="D317" s="43"/>
      <c r="E317" s="43">
        <v>49077</v>
      </c>
      <c r="F317" s="80" t="s">
        <v>79</v>
      </c>
      <c r="G317" s="83">
        <v>46167</v>
      </c>
      <c r="H317" s="83">
        <v>46178</v>
      </c>
      <c r="I317" s="4">
        <v>11</v>
      </c>
      <c r="J317" s="80" t="str">
        <f>TEXT(tblPayments[[#This Row],[Arrival]],"mmm")</f>
        <v>May</v>
      </c>
      <c r="K317" s="80">
        <f>MONTH(tblPayments[[#This Row],[Arrival]])</f>
        <v>5</v>
      </c>
      <c r="L317" s="80">
        <f>YEAR(tblPayments[[#This Row],[Arrival]])</f>
        <v>2026</v>
      </c>
      <c r="M317" s="80" t="str">
        <f>IF(tblPayments[[#This Row],[Balance]]=0,"Full Payment","Deposit")</f>
        <v>Deposit</v>
      </c>
      <c r="N317" s="43">
        <v>27279.72</v>
      </c>
      <c r="O317" s="83">
        <v>45831</v>
      </c>
      <c r="P317" s="87" t="s">
        <v>13</v>
      </c>
    </row>
    <row r="318" spans="1:16" x14ac:dyDescent="0.3">
      <c r="A318" s="77" t="s">
        <v>101</v>
      </c>
      <c r="B318" s="80" t="s">
        <v>77</v>
      </c>
      <c r="C318" s="43">
        <v>14864.19</v>
      </c>
      <c r="D318" s="43"/>
      <c r="E318" s="43">
        <v>14864.19</v>
      </c>
      <c r="F318" s="80" t="s">
        <v>75</v>
      </c>
      <c r="G318" s="83">
        <v>46170</v>
      </c>
      <c r="H318" s="83">
        <v>46179</v>
      </c>
      <c r="I318" s="4">
        <v>9</v>
      </c>
      <c r="J318" s="80" t="str">
        <f>TEXT(tblPayments[[#This Row],[Arrival]],"mmm")</f>
        <v>May</v>
      </c>
      <c r="K318" s="80">
        <f>MONTH(tblPayments[[#This Row],[Arrival]])</f>
        <v>5</v>
      </c>
      <c r="L318" s="80">
        <f>YEAR(tblPayments[[#This Row],[Arrival]])</f>
        <v>2026</v>
      </c>
      <c r="M318" s="80" t="str">
        <f>IF(tblPayments[[#This Row],[Balance]]=0,"Full Payment","Deposit")</f>
        <v>Deposit</v>
      </c>
      <c r="N318" s="43">
        <v>0</v>
      </c>
      <c r="O318" s="83">
        <v>45999</v>
      </c>
      <c r="P318" s="87" t="s">
        <v>5</v>
      </c>
    </row>
    <row r="319" spans="1:16" x14ac:dyDescent="0.3">
      <c r="A319" s="77" t="s">
        <v>101</v>
      </c>
      <c r="B319" s="80" t="s">
        <v>77</v>
      </c>
      <c r="C319" s="43">
        <v>3563.75</v>
      </c>
      <c r="D319" s="43"/>
      <c r="E319" s="43">
        <v>3563.75</v>
      </c>
      <c r="F319" s="80" t="s">
        <v>75</v>
      </c>
      <c r="G319" s="83">
        <v>46180</v>
      </c>
      <c r="H319" s="83">
        <v>46181</v>
      </c>
      <c r="I319" s="4">
        <v>1</v>
      </c>
      <c r="J319" s="80" t="str">
        <f>TEXT(tblPayments[[#This Row],[Arrival]],"mmm")</f>
        <v>Jun</v>
      </c>
      <c r="K319" s="80">
        <f>MONTH(tblPayments[[#This Row],[Arrival]])</f>
        <v>6</v>
      </c>
      <c r="L319" s="80">
        <f>YEAR(tblPayments[[#This Row],[Arrival]])</f>
        <v>2026</v>
      </c>
      <c r="M319" s="80" t="str">
        <f>IF(tblPayments[[#This Row],[Balance]]=0,"Full Payment","Deposit")</f>
        <v>Deposit</v>
      </c>
      <c r="N319" s="43">
        <v>770.57</v>
      </c>
      <c r="O319" s="83">
        <v>45864</v>
      </c>
      <c r="P319" s="87" t="s">
        <v>2</v>
      </c>
    </row>
    <row r="320" spans="1:16" x14ac:dyDescent="0.3">
      <c r="A320" s="77" t="s">
        <v>101</v>
      </c>
      <c r="B320" s="80" t="s">
        <v>77</v>
      </c>
      <c r="C320" s="43">
        <v>14864.19</v>
      </c>
      <c r="D320" s="43"/>
      <c r="E320" s="43">
        <v>14864.19</v>
      </c>
      <c r="F320" s="80" t="s">
        <v>75</v>
      </c>
      <c r="G320" s="83">
        <v>46180</v>
      </c>
      <c r="H320" s="83">
        <v>46189</v>
      </c>
      <c r="I320" s="4">
        <v>9</v>
      </c>
      <c r="J320" s="80" t="str">
        <f>TEXT(tblPayments[[#This Row],[Arrival]],"mmm")</f>
        <v>Jun</v>
      </c>
      <c r="K320" s="80">
        <f>MONTH(tblPayments[[#This Row],[Arrival]])</f>
        <v>6</v>
      </c>
      <c r="L320" s="80">
        <f>YEAR(tblPayments[[#This Row],[Arrival]])</f>
        <v>2026</v>
      </c>
      <c r="M320" s="80" t="str">
        <f>IF(tblPayments[[#This Row],[Balance]]=0,"Full Payment","Deposit")</f>
        <v>Deposit</v>
      </c>
      <c r="N320" s="43">
        <v>6393.6</v>
      </c>
      <c r="O320" s="83">
        <v>45999</v>
      </c>
      <c r="P320" s="87" t="s">
        <v>5</v>
      </c>
    </row>
    <row r="321" spans="1:16" x14ac:dyDescent="0.3">
      <c r="A321" s="77" t="s">
        <v>101</v>
      </c>
      <c r="B321" s="80" t="s">
        <v>77</v>
      </c>
      <c r="C321" s="43">
        <v>14973.75</v>
      </c>
      <c r="D321" s="43"/>
      <c r="E321" s="43">
        <v>14973.75</v>
      </c>
      <c r="F321" s="80" t="s">
        <v>75</v>
      </c>
      <c r="G321" s="83">
        <v>46181</v>
      </c>
      <c r="H321" s="83">
        <v>46190</v>
      </c>
      <c r="I321" s="4">
        <v>9</v>
      </c>
      <c r="J321" s="80" t="str">
        <f>TEXT(tblPayments[[#This Row],[Arrival]],"mmm")</f>
        <v>Jun</v>
      </c>
      <c r="K321" s="80">
        <f>MONTH(tblPayments[[#This Row],[Arrival]])</f>
        <v>6</v>
      </c>
      <c r="L321" s="80">
        <f>YEAR(tblPayments[[#This Row],[Arrival]])</f>
        <v>2026</v>
      </c>
      <c r="M321" s="80" t="str">
        <f>IF(tblPayments[[#This Row],[Balance]]=0,"Full Payment","Deposit")</f>
        <v>Deposit</v>
      </c>
      <c r="N321" s="43">
        <v>6935.13</v>
      </c>
      <c r="O321" s="83">
        <v>45864</v>
      </c>
      <c r="P321" s="87" t="s">
        <v>2</v>
      </c>
    </row>
    <row r="322" spans="1:16" x14ac:dyDescent="0.3">
      <c r="A322" s="77" t="s">
        <v>101</v>
      </c>
      <c r="B322" s="80" t="s">
        <v>77</v>
      </c>
      <c r="C322" s="43">
        <v>9544</v>
      </c>
      <c r="D322" s="43"/>
      <c r="E322" s="43">
        <v>9544</v>
      </c>
      <c r="F322" s="80" t="s">
        <v>75</v>
      </c>
      <c r="G322" s="83">
        <v>46183</v>
      </c>
      <c r="H322" s="83">
        <v>46187</v>
      </c>
      <c r="I322" s="4">
        <v>4</v>
      </c>
      <c r="J322" s="80" t="str">
        <f>TEXT(tblPayments[[#This Row],[Arrival]],"mmm")</f>
        <v>Jun</v>
      </c>
      <c r="K322" s="80">
        <f>MONTH(tblPayments[[#This Row],[Arrival]])</f>
        <v>6</v>
      </c>
      <c r="L322" s="80">
        <f>YEAR(tblPayments[[#This Row],[Arrival]])</f>
        <v>2026</v>
      </c>
      <c r="M322" s="80" t="str">
        <f>IF(tblPayments[[#This Row],[Balance]]=0,"Full Payment","Deposit")</f>
        <v>Deposit</v>
      </c>
      <c r="N322" s="43">
        <v>3837</v>
      </c>
      <c r="O322" s="83">
        <v>45894</v>
      </c>
      <c r="P322" s="87" t="s">
        <v>13</v>
      </c>
    </row>
    <row r="323" spans="1:16" x14ac:dyDescent="0.3">
      <c r="A323" s="77" t="s">
        <v>101</v>
      </c>
      <c r="B323" s="80" t="s">
        <v>77</v>
      </c>
      <c r="C323" s="43">
        <v>12097.3</v>
      </c>
      <c r="D323" s="43"/>
      <c r="E323" s="43">
        <v>12097.3</v>
      </c>
      <c r="F323" s="80" t="s">
        <v>75</v>
      </c>
      <c r="G323" s="83">
        <v>46193</v>
      </c>
      <c r="H323" s="83">
        <v>46199</v>
      </c>
      <c r="I323" s="4">
        <v>6</v>
      </c>
      <c r="J323" s="80" t="str">
        <f>TEXT(tblPayments[[#This Row],[Arrival]],"mmm")</f>
        <v>Jun</v>
      </c>
      <c r="K323" s="80">
        <f>MONTH(tblPayments[[#This Row],[Arrival]])</f>
        <v>6</v>
      </c>
      <c r="L323" s="80">
        <f>YEAR(tblPayments[[#This Row],[Arrival]])</f>
        <v>2026</v>
      </c>
      <c r="M323" s="80" t="str">
        <f>IF(tblPayments[[#This Row],[Balance]]=0,"Full Payment","Deposit")</f>
        <v>Deposit</v>
      </c>
      <c r="N323" s="43">
        <v>4567.8599999999997</v>
      </c>
      <c r="O323" s="83">
        <v>45828</v>
      </c>
      <c r="P323" s="87" t="s">
        <v>40</v>
      </c>
    </row>
    <row r="324" spans="1:16" x14ac:dyDescent="0.3">
      <c r="A324" s="77" t="s">
        <v>101</v>
      </c>
      <c r="B324" s="80" t="s">
        <v>77</v>
      </c>
      <c r="C324" s="43">
        <v>28839.759999999998</v>
      </c>
      <c r="D324" s="43"/>
      <c r="E324" s="43">
        <v>28839.759999999998</v>
      </c>
      <c r="F324" s="80" t="s">
        <v>75</v>
      </c>
      <c r="G324" s="83">
        <v>46193</v>
      </c>
      <c r="H324" s="83">
        <v>46199</v>
      </c>
      <c r="I324" s="4">
        <v>6</v>
      </c>
      <c r="J324" s="80" t="str">
        <f>TEXT(tblPayments[[#This Row],[Arrival]],"mmm")</f>
        <v>Jun</v>
      </c>
      <c r="K324" s="80">
        <f>MONTH(tblPayments[[#This Row],[Arrival]])</f>
        <v>6</v>
      </c>
      <c r="L324" s="80">
        <f>YEAR(tblPayments[[#This Row],[Arrival]])</f>
        <v>2026</v>
      </c>
      <c r="M324" s="80" t="str">
        <f>IF(tblPayments[[#This Row],[Balance]]=0,"Full Payment","Deposit")</f>
        <v>Deposit</v>
      </c>
      <c r="N324" s="43">
        <v>0</v>
      </c>
      <c r="O324" s="83">
        <v>45835</v>
      </c>
      <c r="P324" s="87" t="s">
        <v>27</v>
      </c>
    </row>
    <row r="325" spans="1:16" x14ac:dyDescent="0.3">
      <c r="A325" s="77" t="s">
        <v>101</v>
      </c>
      <c r="B325" s="80" t="s">
        <v>77</v>
      </c>
      <c r="C325" s="43">
        <v>209586.7</v>
      </c>
      <c r="D325" s="43"/>
      <c r="E325" s="43">
        <v>209586.7</v>
      </c>
      <c r="F325" s="80" t="s">
        <v>75</v>
      </c>
      <c r="G325" s="83">
        <v>46194</v>
      </c>
      <c r="H325" s="83">
        <v>46201</v>
      </c>
      <c r="I325" s="4">
        <v>7</v>
      </c>
      <c r="J325" s="80" t="str">
        <f>TEXT(tblPayments[[#This Row],[Arrival]],"mmm")</f>
        <v>Jun</v>
      </c>
      <c r="K325" s="80">
        <f>MONTH(tblPayments[[#This Row],[Arrival]])</f>
        <v>6</v>
      </c>
      <c r="L325" s="80">
        <f>YEAR(tblPayments[[#This Row],[Arrival]])</f>
        <v>2026</v>
      </c>
      <c r="M325" s="80" t="str">
        <f>IF(tblPayments[[#This Row],[Balance]]=0,"Full Payment","Deposit")</f>
        <v>Deposit</v>
      </c>
      <c r="N325" s="43">
        <v>55863.22</v>
      </c>
      <c r="O325" s="83">
        <v>45806</v>
      </c>
      <c r="P325" s="87" t="s">
        <v>2</v>
      </c>
    </row>
    <row r="326" spans="1:16" x14ac:dyDescent="0.3">
      <c r="A326" s="77" t="s">
        <v>101</v>
      </c>
      <c r="B326" s="80" t="s">
        <v>77</v>
      </c>
      <c r="C326" s="43">
        <v>56917.75</v>
      </c>
      <c r="D326" s="43"/>
      <c r="E326" s="43">
        <v>56917.75</v>
      </c>
      <c r="F326" s="80" t="s">
        <v>75</v>
      </c>
      <c r="G326" s="83">
        <v>46199</v>
      </c>
      <c r="H326" s="83">
        <v>46204</v>
      </c>
      <c r="I326" s="4">
        <v>5</v>
      </c>
      <c r="J326" s="80" t="str">
        <f>TEXT(tblPayments[[#This Row],[Arrival]],"mmm")</f>
        <v>Jun</v>
      </c>
      <c r="K326" s="80">
        <f>MONTH(tblPayments[[#This Row],[Arrival]])</f>
        <v>6</v>
      </c>
      <c r="L326" s="80">
        <f>YEAR(tblPayments[[#This Row],[Arrival]])</f>
        <v>2026</v>
      </c>
      <c r="M326" s="80" t="str">
        <f>IF(tblPayments[[#This Row],[Balance]]=0,"Full Payment","Deposit")</f>
        <v>Deposit</v>
      </c>
      <c r="N326" s="43">
        <v>0</v>
      </c>
      <c r="O326" s="83">
        <v>45834</v>
      </c>
      <c r="P326" s="87" t="s">
        <v>27</v>
      </c>
    </row>
    <row r="327" spans="1:16" x14ac:dyDescent="0.3">
      <c r="A327" s="77" t="s">
        <v>101</v>
      </c>
      <c r="B327" s="80" t="s">
        <v>77</v>
      </c>
      <c r="C327" s="43">
        <v>23948</v>
      </c>
      <c r="D327" s="43">
        <v>5987</v>
      </c>
      <c r="E327" s="43">
        <v>17961</v>
      </c>
      <c r="F327" s="80" t="s">
        <v>72</v>
      </c>
      <c r="G327" s="83">
        <v>46201</v>
      </c>
      <c r="H327" s="83">
        <v>46211</v>
      </c>
      <c r="I327" s="4">
        <v>10</v>
      </c>
      <c r="J327" s="80" t="str">
        <f>TEXT(tblPayments[[#This Row],[Arrival]],"mmm")</f>
        <v>Jun</v>
      </c>
      <c r="K327" s="80">
        <f>MONTH(tblPayments[[#This Row],[Arrival]])</f>
        <v>6</v>
      </c>
      <c r="L327" s="80">
        <f>YEAR(tblPayments[[#This Row],[Arrival]])</f>
        <v>2026</v>
      </c>
      <c r="M327" s="80" t="str">
        <f>IF(tblPayments[[#This Row],[Balance]]=0,"Full Payment","Deposit")</f>
        <v>Deposit</v>
      </c>
      <c r="N327" s="43">
        <v>8614</v>
      </c>
      <c r="O327" s="83">
        <v>45971</v>
      </c>
      <c r="P327" s="87" t="s">
        <v>38</v>
      </c>
    </row>
    <row r="328" spans="1:16" x14ac:dyDescent="0.3">
      <c r="A328" s="77" t="s">
        <v>101</v>
      </c>
      <c r="B328" s="80" t="s">
        <v>77</v>
      </c>
      <c r="C328" s="43">
        <v>9427.24</v>
      </c>
      <c r="D328" s="43"/>
      <c r="E328" s="43">
        <v>9427.24</v>
      </c>
      <c r="F328" s="80" t="s">
        <v>75</v>
      </c>
      <c r="G328" s="83">
        <v>46203</v>
      </c>
      <c r="H328" s="83">
        <v>46205</v>
      </c>
      <c r="I328" s="4">
        <v>2</v>
      </c>
      <c r="J328" s="80" t="str">
        <f>TEXT(tblPayments[[#This Row],[Arrival]],"mmm")</f>
        <v>Jun</v>
      </c>
      <c r="K328" s="80">
        <f>MONTH(tblPayments[[#This Row],[Arrival]])</f>
        <v>6</v>
      </c>
      <c r="L328" s="80">
        <f>YEAR(tblPayments[[#This Row],[Arrival]])</f>
        <v>2026</v>
      </c>
      <c r="M328" s="80" t="str">
        <f>IF(tblPayments[[#This Row],[Balance]]=0,"Full Payment","Deposit")</f>
        <v>Deposit</v>
      </c>
      <c r="N328" s="43">
        <v>4697.9799999999996</v>
      </c>
      <c r="O328" s="83">
        <v>45964</v>
      </c>
      <c r="P328" s="87" t="s">
        <v>16</v>
      </c>
    </row>
    <row r="329" spans="1:16" x14ac:dyDescent="0.3">
      <c r="A329" s="77" t="s">
        <v>101</v>
      </c>
      <c r="B329" s="80" t="s">
        <v>77</v>
      </c>
      <c r="C329" s="43">
        <v>12935.6</v>
      </c>
      <c r="D329" s="43"/>
      <c r="E329" s="43">
        <v>12935.6</v>
      </c>
      <c r="F329" s="80" t="s">
        <v>75</v>
      </c>
      <c r="G329" s="83">
        <v>46204</v>
      </c>
      <c r="H329" s="83">
        <v>46211</v>
      </c>
      <c r="I329" s="4">
        <v>7</v>
      </c>
      <c r="J329" s="80" t="str">
        <f>TEXT(tblPayments[[#This Row],[Arrival]],"mmm")</f>
        <v>Jul</v>
      </c>
      <c r="K329" s="80">
        <f>MONTH(tblPayments[[#This Row],[Arrival]])</f>
        <v>7</v>
      </c>
      <c r="L329" s="80">
        <f>YEAR(tblPayments[[#This Row],[Arrival]])</f>
        <v>2026</v>
      </c>
      <c r="M329" s="80" t="str">
        <f>IF(tblPayments[[#This Row],[Balance]]=0,"Full Payment","Deposit")</f>
        <v>Deposit</v>
      </c>
      <c r="N329" s="43">
        <v>0</v>
      </c>
      <c r="O329" s="83">
        <v>45919</v>
      </c>
      <c r="P329" s="87" t="s">
        <v>40</v>
      </c>
    </row>
    <row r="330" spans="1:16" x14ac:dyDescent="0.3">
      <c r="A330" s="77" t="s">
        <v>101</v>
      </c>
      <c r="B330" s="80" t="s">
        <v>77</v>
      </c>
      <c r="C330" s="43">
        <v>73739.360000000001</v>
      </c>
      <c r="D330" s="43"/>
      <c r="E330" s="43">
        <v>73739.360000000001</v>
      </c>
      <c r="F330" s="80" t="s">
        <v>75</v>
      </c>
      <c r="G330" s="83">
        <v>46204</v>
      </c>
      <c r="H330" s="83">
        <v>46220</v>
      </c>
      <c r="I330" s="4">
        <v>16</v>
      </c>
      <c r="J330" s="80" t="str">
        <f>TEXT(tblPayments[[#This Row],[Arrival]],"mmm")</f>
        <v>Jul</v>
      </c>
      <c r="K330" s="80">
        <f>MONTH(tblPayments[[#This Row],[Arrival]])</f>
        <v>7</v>
      </c>
      <c r="L330" s="80">
        <f>YEAR(tblPayments[[#This Row],[Arrival]])</f>
        <v>2026</v>
      </c>
      <c r="M330" s="80" t="str">
        <f>IF(tblPayments[[#This Row],[Balance]]=0,"Full Payment","Deposit")</f>
        <v>Deposit</v>
      </c>
      <c r="N330" s="43">
        <v>0</v>
      </c>
      <c r="O330" s="83">
        <v>45919</v>
      </c>
      <c r="P330" s="87" t="s">
        <v>27</v>
      </c>
    </row>
    <row r="331" spans="1:16" x14ac:dyDescent="0.3">
      <c r="A331" s="77" t="s">
        <v>101</v>
      </c>
      <c r="B331" s="80" t="s">
        <v>77</v>
      </c>
      <c r="C331" s="43">
        <v>25090</v>
      </c>
      <c r="D331" s="43"/>
      <c r="E331" s="43">
        <v>25090</v>
      </c>
      <c r="F331" s="80" t="s">
        <v>75</v>
      </c>
      <c r="G331" s="83">
        <v>46207</v>
      </c>
      <c r="H331" s="83">
        <v>46215</v>
      </c>
      <c r="I331" s="4">
        <v>8</v>
      </c>
      <c r="J331" s="80" t="str">
        <f>TEXT(tblPayments[[#This Row],[Arrival]],"mmm")</f>
        <v>Jul</v>
      </c>
      <c r="K331" s="80">
        <f>MONTH(tblPayments[[#This Row],[Arrival]])</f>
        <v>7</v>
      </c>
      <c r="L331" s="80">
        <f>YEAR(tblPayments[[#This Row],[Arrival]])</f>
        <v>2026</v>
      </c>
      <c r="M331" s="80" t="str">
        <f>IF(tblPayments[[#This Row],[Balance]]=0,"Full Payment","Deposit")</f>
        <v>Deposit</v>
      </c>
      <c r="N331" s="43">
        <v>5641.04</v>
      </c>
      <c r="O331" s="83">
        <v>45895</v>
      </c>
      <c r="P331" s="87" t="s">
        <v>2</v>
      </c>
    </row>
    <row r="332" spans="1:16" x14ac:dyDescent="0.3">
      <c r="A332" s="77" t="s">
        <v>101</v>
      </c>
      <c r="B332" s="80" t="s">
        <v>77</v>
      </c>
      <c r="C332" s="43"/>
      <c r="D332" s="43"/>
      <c r="E332" s="43"/>
      <c r="F332" s="80" t="s">
        <v>73</v>
      </c>
      <c r="G332" s="83">
        <v>46210</v>
      </c>
      <c r="H332" s="83">
        <v>46224</v>
      </c>
      <c r="I332" s="4">
        <v>14</v>
      </c>
      <c r="J332" s="80" t="str">
        <f>TEXT(tblPayments[[#This Row],[Arrival]],"mmm")</f>
        <v>Jul</v>
      </c>
      <c r="K332" s="80">
        <f>MONTH(tblPayments[[#This Row],[Arrival]])</f>
        <v>7</v>
      </c>
      <c r="L332" s="80">
        <f>YEAR(tblPayments[[#This Row],[Arrival]])</f>
        <v>2026</v>
      </c>
      <c r="M332" s="80" t="str">
        <f>IF(tblPayments[[#This Row],[Balance]]=0,"Full Payment","Deposit")</f>
        <v>Full Payment</v>
      </c>
      <c r="N332" s="43">
        <v>0</v>
      </c>
      <c r="O332" s="83">
        <v>45899</v>
      </c>
      <c r="P332" s="87" t="s">
        <v>16</v>
      </c>
    </row>
    <row r="333" spans="1:16" x14ac:dyDescent="0.3">
      <c r="A333" s="77" t="s">
        <v>101</v>
      </c>
      <c r="B333" s="80" t="s">
        <v>77</v>
      </c>
      <c r="C333" s="43">
        <v>14523.94</v>
      </c>
      <c r="D333" s="43"/>
      <c r="E333" s="43">
        <v>14523.94</v>
      </c>
      <c r="F333" s="80" t="s">
        <v>75</v>
      </c>
      <c r="G333" s="83">
        <v>46210</v>
      </c>
      <c r="H333" s="83">
        <v>46216</v>
      </c>
      <c r="I333" s="4">
        <v>6</v>
      </c>
      <c r="J333" s="80" t="str">
        <f>TEXT(tblPayments[[#This Row],[Arrival]],"mmm")</f>
        <v>Jul</v>
      </c>
      <c r="K333" s="80">
        <f>MONTH(tblPayments[[#This Row],[Arrival]])</f>
        <v>7</v>
      </c>
      <c r="L333" s="80">
        <f>YEAR(tblPayments[[#This Row],[Arrival]])</f>
        <v>2026</v>
      </c>
      <c r="M333" s="80" t="str">
        <f>IF(tblPayments[[#This Row],[Balance]]=0,"Full Payment","Deposit")</f>
        <v>Deposit</v>
      </c>
      <c r="N333" s="43">
        <v>6759.84</v>
      </c>
      <c r="O333" s="83">
        <v>45958</v>
      </c>
      <c r="P333" s="87" t="s">
        <v>1</v>
      </c>
    </row>
    <row r="334" spans="1:16" x14ac:dyDescent="0.3">
      <c r="A334" s="77" t="s">
        <v>101</v>
      </c>
      <c r="B334" s="80" t="s">
        <v>77</v>
      </c>
      <c r="C334" s="43">
        <v>81060</v>
      </c>
      <c r="D334" s="43"/>
      <c r="E334" s="43">
        <v>81060</v>
      </c>
      <c r="F334" s="80" t="s">
        <v>75</v>
      </c>
      <c r="G334" s="83">
        <v>46210</v>
      </c>
      <c r="H334" s="83">
        <v>46228</v>
      </c>
      <c r="I334" s="4">
        <v>18</v>
      </c>
      <c r="J334" s="80" t="str">
        <f>TEXT(tblPayments[[#This Row],[Arrival]],"mmm")</f>
        <v>Jul</v>
      </c>
      <c r="K334" s="80">
        <f>MONTH(tblPayments[[#This Row],[Arrival]])</f>
        <v>7</v>
      </c>
      <c r="L334" s="80">
        <f>YEAR(tblPayments[[#This Row],[Arrival]])</f>
        <v>2026</v>
      </c>
      <c r="M334" s="80" t="str">
        <f>IF(tblPayments[[#This Row],[Balance]]=0,"Full Payment","Deposit")</f>
        <v>Deposit</v>
      </c>
      <c r="N334" s="43">
        <v>0</v>
      </c>
      <c r="O334" s="83">
        <v>45876</v>
      </c>
      <c r="P334" s="87" t="s">
        <v>18</v>
      </c>
    </row>
    <row r="335" spans="1:16" x14ac:dyDescent="0.3">
      <c r="A335" s="77" t="s">
        <v>101</v>
      </c>
      <c r="B335" s="80" t="s">
        <v>77</v>
      </c>
      <c r="C335" s="43">
        <v>14049</v>
      </c>
      <c r="D335" s="43"/>
      <c r="E335" s="43">
        <v>14049</v>
      </c>
      <c r="F335" s="80" t="s">
        <v>75</v>
      </c>
      <c r="G335" s="83">
        <v>46210</v>
      </c>
      <c r="H335" s="83">
        <v>46216</v>
      </c>
      <c r="I335" s="4">
        <v>6</v>
      </c>
      <c r="J335" s="80" t="str">
        <f>TEXT(tblPayments[[#This Row],[Arrival]],"mmm")</f>
        <v>Jul</v>
      </c>
      <c r="K335" s="80">
        <f>MONTH(tblPayments[[#This Row],[Arrival]])</f>
        <v>7</v>
      </c>
      <c r="L335" s="80">
        <f>YEAR(tblPayments[[#This Row],[Arrival]])</f>
        <v>2026</v>
      </c>
      <c r="M335" s="80" t="str">
        <f>IF(tblPayments[[#This Row],[Balance]]=0,"Full Payment","Deposit")</f>
        <v>Deposit</v>
      </c>
      <c r="N335" s="43">
        <v>7494.18</v>
      </c>
      <c r="O335" s="83">
        <v>45958</v>
      </c>
      <c r="P335" s="87" t="s">
        <v>1</v>
      </c>
    </row>
    <row r="336" spans="1:16" x14ac:dyDescent="0.3">
      <c r="A336" s="77" t="s">
        <v>101</v>
      </c>
      <c r="B336" s="80" t="s">
        <v>77</v>
      </c>
      <c r="C336" s="43">
        <v>14523.94</v>
      </c>
      <c r="D336" s="43"/>
      <c r="E336" s="43">
        <v>14523.94</v>
      </c>
      <c r="F336" s="80" t="s">
        <v>75</v>
      </c>
      <c r="G336" s="83">
        <v>46210</v>
      </c>
      <c r="H336" s="83">
        <v>46216</v>
      </c>
      <c r="I336" s="4">
        <v>6</v>
      </c>
      <c r="J336" s="80" t="str">
        <f>TEXT(tblPayments[[#This Row],[Arrival]],"mmm")</f>
        <v>Jul</v>
      </c>
      <c r="K336" s="80">
        <f>MONTH(tblPayments[[#This Row],[Arrival]])</f>
        <v>7</v>
      </c>
      <c r="L336" s="80">
        <f>YEAR(tblPayments[[#This Row],[Arrival]])</f>
        <v>2026</v>
      </c>
      <c r="M336" s="80" t="str">
        <f>IF(tblPayments[[#This Row],[Balance]]=0,"Full Payment","Deposit")</f>
        <v>Deposit</v>
      </c>
      <c r="N336" s="43">
        <v>6759.84</v>
      </c>
      <c r="O336" s="83">
        <v>45958</v>
      </c>
      <c r="P336" s="87" t="s">
        <v>1</v>
      </c>
    </row>
    <row r="337" spans="1:16" x14ac:dyDescent="0.3">
      <c r="A337" s="77" t="s">
        <v>101</v>
      </c>
      <c r="B337" s="80" t="s">
        <v>77</v>
      </c>
      <c r="C337" s="43">
        <v>19314</v>
      </c>
      <c r="D337" s="43"/>
      <c r="E337" s="43">
        <v>19314</v>
      </c>
      <c r="F337" s="80" t="s">
        <v>75</v>
      </c>
      <c r="G337" s="83">
        <v>46213</v>
      </c>
      <c r="H337" s="83">
        <v>46220</v>
      </c>
      <c r="I337" s="4">
        <v>7</v>
      </c>
      <c r="J337" s="80" t="str">
        <f>TEXT(tblPayments[[#This Row],[Arrival]],"mmm")</f>
        <v>Jul</v>
      </c>
      <c r="K337" s="80">
        <f>MONTH(tblPayments[[#This Row],[Arrival]])</f>
        <v>7</v>
      </c>
      <c r="L337" s="80">
        <f>YEAR(tblPayments[[#This Row],[Arrival]])</f>
        <v>2026</v>
      </c>
      <c r="M337" s="80" t="str">
        <f>IF(tblPayments[[#This Row],[Balance]]=0,"Full Payment","Deposit")</f>
        <v>Deposit</v>
      </c>
      <c r="N337" s="43">
        <v>7391.58</v>
      </c>
      <c r="O337" s="83">
        <v>45953</v>
      </c>
      <c r="P337" s="87" t="s">
        <v>44</v>
      </c>
    </row>
    <row r="338" spans="1:16" x14ac:dyDescent="0.3">
      <c r="A338" s="77" t="s">
        <v>101</v>
      </c>
      <c r="B338" s="80" t="s">
        <v>77</v>
      </c>
      <c r="C338" s="43">
        <v>25571.9</v>
      </c>
      <c r="D338" s="43"/>
      <c r="E338" s="43">
        <v>25571.9</v>
      </c>
      <c r="F338" s="80" t="s">
        <v>75</v>
      </c>
      <c r="G338" s="83">
        <v>46213</v>
      </c>
      <c r="H338" s="83">
        <v>46222</v>
      </c>
      <c r="I338" s="4">
        <v>9</v>
      </c>
      <c r="J338" s="80" t="str">
        <f>TEXT(tblPayments[[#This Row],[Arrival]],"mmm")</f>
        <v>Jul</v>
      </c>
      <c r="K338" s="80">
        <f>MONTH(tblPayments[[#This Row],[Arrival]])</f>
        <v>7</v>
      </c>
      <c r="L338" s="80">
        <f>YEAR(tblPayments[[#This Row],[Arrival]])</f>
        <v>2026</v>
      </c>
      <c r="M338" s="80" t="str">
        <f>IF(tblPayments[[#This Row],[Balance]]=0,"Full Payment","Deposit")</f>
        <v>Deposit</v>
      </c>
      <c r="N338" s="43">
        <v>12236.58</v>
      </c>
      <c r="O338" s="83">
        <v>45848</v>
      </c>
      <c r="P338" s="87" t="s">
        <v>38</v>
      </c>
    </row>
    <row r="339" spans="1:16" x14ac:dyDescent="0.3">
      <c r="A339" s="77" t="s">
        <v>101</v>
      </c>
      <c r="B339" s="80" t="s">
        <v>77</v>
      </c>
      <c r="C339" s="43">
        <v>13302</v>
      </c>
      <c r="D339" s="43"/>
      <c r="E339" s="43">
        <v>13302</v>
      </c>
      <c r="F339" s="80" t="s">
        <v>75</v>
      </c>
      <c r="G339" s="83">
        <v>46213</v>
      </c>
      <c r="H339" s="83">
        <v>46220</v>
      </c>
      <c r="I339" s="4">
        <v>7</v>
      </c>
      <c r="J339" s="80" t="str">
        <f>TEXT(tblPayments[[#This Row],[Arrival]],"mmm")</f>
        <v>Jul</v>
      </c>
      <c r="K339" s="80">
        <f>MONTH(tblPayments[[#This Row],[Arrival]])</f>
        <v>7</v>
      </c>
      <c r="L339" s="80">
        <f>YEAR(tblPayments[[#This Row],[Arrival]])</f>
        <v>2026</v>
      </c>
      <c r="M339" s="80" t="str">
        <f>IF(tblPayments[[#This Row],[Balance]]=0,"Full Payment","Deposit")</f>
        <v>Deposit</v>
      </c>
      <c r="N339" s="43">
        <v>4691.12</v>
      </c>
      <c r="O339" s="83">
        <v>45834</v>
      </c>
      <c r="P339" s="87" t="s">
        <v>40</v>
      </c>
    </row>
    <row r="340" spans="1:16" x14ac:dyDescent="0.3">
      <c r="A340" s="77" t="s">
        <v>101</v>
      </c>
      <c r="B340" s="80" t="s">
        <v>77</v>
      </c>
      <c r="C340" s="43">
        <v>12733</v>
      </c>
      <c r="D340" s="43"/>
      <c r="E340" s="43">
        <v>12733</v>
      </c>
      <c r="F340" s="80" t="s">
        <v>75</v>
      </c>
      <c r="G340" s="83">
        <v>46219</v>
      </c>
      <c r="H340" s="83">
        <v>46223</v>
      </c>
      <c r="I340" s="4">
        <v>4</v>
      </c>
      <c r="J340" s="80" t="str">
        <f>TEXT(tblPayments[[#This Row],[Arrival]],"mmm")</f>
        <v>Jul</v>
      </c>
      <c r="K340" s="80">
        <f>MONTH(tblPayments[[#This Row],[Arrival]])</f>
        <v>7</v>
      </c>
      <c r="L340" s="80">
        <f>YEAR(tblPayments[[#This Row],[Arrival]])</f>
        <v>2026</v>
      </c>
      <c r="M340" s="80" t="str">
        <f>IF(tblPayments[[#This Row],[Balance]]=0,"Full Payment","Deposit")</f>
        <v>Deposit</v>
      </c>
      <c r="N340" s="43">
        <v>4122.76</v>
      </c>
      <c r="O340" s="83">
        <v>45971</v>
      </c>
      <c r="P340" s="87" t="s">
        <v>44</v>
      </c>
    </row>
    <row r="341" spans="1:16" x14ac:dyDescent="0.3">
      <c r="A341" s="77" t="s">
        <v>101</v>
      </c>
      <c r="B341" s="80" t="s">
        <v>77</v>
      </c>
      <c r="C341" s="43">
        <v>25985.279999999999</v>
      </c>
      <c r="D341" s="43">
        <v>2598.5300000000002</v>
      </c>
      <c r="E341" s="43">
        <v>23386.75</v>
      </c>
      <c r="F341" s="80" t="s">
        <v>72</v>
      </c>
      <c r="G341" s="83">
        <v>46219</v>
      </c>
      <c r="H341" s="83">
        <v>46231</v>
      </c>
      <c r="I341" s="4">
        <v>12</v>
      </c>
      <c r="J341" s="80" t="str">
        <f>TEXT(tblPayments[[#This Row],[Arrival]],"mmm")</f>
        <v>Jul</v>
      </c>
      <c r="K341" s="80">
        <f>MONTH(tblPayments[[#This Row],[Arrival]])</f>
        <v>7</v>
      </c>
      <c r="L341" s="80">
        <f>YEAR(tblPayments[[#This Row],[Arrival]])</f>
        <v>2026</v>
      </c>
      <c r="M341" s="80" t="str">
        <f>IF(tblPayments[[#This Row],[Balance]]=0,"Full Payment","Deposit")</f>
        <v>Deposit</v>
      </c>
      <c r="N341" s="43">
        <v>14541.6</v>
      </c>
      <c r="O341" s="83">
        <v>45896</v>
      </c>
      <c r="P341" s="87" t="s">
        <v>2</v>
      </c>
    </row>
    <row r="342" spans="1:16" x14ac:dyDescent="0.3">
      <c r="A342" s="77" t="s">
        <v>101</v>
      </c>
      <c r="B342" s="80" t="s">
        <v>77</v>
      </c>
      <c r="C342" s="43">
        <v>16464</v>
      </c>
      <c r="D342" s="43"/>
      <c r="E342" s="43">
        <v>16464</v>
      </c>
      <c r="F342" s="80" t="s">
        <v>75</v>
      </c>
      <c r="G342" s="83">
        <v>46220</v>
      </c>
      <c r="H342" s="83">
        <v>46227</v>
      </c>
      <c r="I342" s="4">
        <v>7</v>
      </c>
      <c r="J342" s="80" t="str">
        <f>TEXT(tblPayments[[#This Row],[Arrival]],"mmm")</f>
        <v>Jul</v>
      </c>
      <c r="K342" s="80">
        <f>MONTH(tblPayments[[#This Row],[Arrival]])</f>
        <v>7</v>
      </c>
      <c r="L342" s="80">
        <f>YEAR(tblPayments[[#This Row],[Arrival]])</f>
        <v>2026</v>
      </c>
      <c r="M342" s="80" t="str">
        <f>IF(tblPayments[[#This Row],[Balance]]=0,"Full Payment","Deposit")</f>
        <v>Deposit</v>
      </c>
      <c r="N342" s="43">
        <v>7391.58</v>
      </c>
      <c r="O342" s="83">
        <v>45953</v>
      </c>
      <c r="P342" s="87" t="s">
        <v>44</v>
      </c>
    </row>
    <row r="343" spans="1:16" x14ac:dyDescent="0.3">
      <c r="A343" s="77" t="s">
        <v>101</v>
      </c>
      <c r="B343" s="80" t="s">
        <v>77</v>
      </c>
      <c r="C343" s="43">
        <v>32305</v>
      </c>
      <c r="D343" s="43"/>
      <c r="E343" s="43">
        <v>32305</v>
      </c>
      <c r="F343" s="80" t="s">
        <v>75</v>
      </c>
      <c r="G343" s="83">
        <v>46222</v>
      </c>
      <c r="H343" s="83">
        <v>46229</v>
      </c>
      <c r="I343" s="4">
        <v>7</v>
      </c>
      <c r="J343" s="80" t="str">
        <f>TEXT(tblPayments[[#This Row],[Arrival]],"mmm")</f>
        <v>Jul</v>
      </c>
      <c r="K343" s="80">
        <f>MONTH(tblPayments[[#This Row],[Arrival]])</f>
        <v>7</v>
      </c>
      <c r="L343" s="80">
        <f>YEAR(tblPayments[[#This Row],[Arrival]])</f>
        <v>2026</v>
      </c>
      <c r="M343" s="80" t="str">
        <f>IF(tblPayments[[#This Row],[Balance]]=0,"Full Payment","Deposit")</f>
        <v>Deposit</v>
      </c>
      <c r="N343" s="43">
        <v>0</v>
      </c>
      <c r="O343" s="83">
        <v>45965</v>
      </c>
      <c r="P343" s="87" t="s">
        <v>2</v>
      </c>
    </row>
    <row r="344" spans="1:16" x14ac:dyDescent="0.3">
      <c r="A344" s="77" t="s">
        <v>101</v>
      </c>
      <c r="B344" s="80" t="s">
        <v>77</v>
      </c>
      <c r="C344" s="43">
        <v>9408</v>
      </c>
      <c r="D344" s="43"/>
      <c r="E344" s="43">
        <v>9408</v>
      </c>
      <c r="F344" s="80" t="s">
        <v>75</v>
      </c>
      <c r="G344" s="83">
        <v>46223</v>
      </c>
      <c r="H344" s="83">
        <v>46227</v>
      </c>
      <c r="I344" s="4">
        <v>4</v>
      </c>
      <c r="J344" s="80" t="str">
        <f>TEXT(tblPayments[[#This Row],[Arrival]],"mmm")</f>
        <v>Jul</v>
      </c>
      <c r="K344" s="80">
        <f>MONTH(tblPayments[[#This Row],[Arrival]])</f>
        <v>7</v>
      </c>
      <c r="L344" s="80">
        <f>YEAR(tblPayments[[#This Row],[Arrival]])</f>
        <v>2026</v>
      </c>
      <c r="M344" s="80" t="str">
        <f>IF(tblPayments[[#This Row],[Balance]]=0,"Full Payment","Deposit")</f>
        <v>Deposit</v>
      </c>
      <c r="N344" s="43">
        <v>4122.76</v>
      </c>
      <c r="O344" s="83">
        <v>45972</v>
      </c>
      <c r="P344" s="87" t="s">
        <v>44</v>
      </c>
    </row>
    <row r="345" spans="1:16" x14ac:dyDescent="0.3">
      <c r="A345" s="77" t="s">
        <v>101</v>
      </c>
      <c r="B345" s="80" t="s">
        <v>77</v>
      </c>
      <c r="C345" s="43"/>
      <c r="D345" s="43"/>
      <c r="E345" s="43"/>
      <c r="F345" s="80" t="s">
        <v>73</v>
      </c>
      <c r="G345" s="83">
        <v>46223</v>
      </c>
      <c r="H345" s="83">
        <v>46225</v>
      </c>
      <c r="I345" s="4">
        <v>2</v>
      </c>
      <c r="J345" s="80" t="str">
        <f>TEXT(tblPayments[[#This Row],[Arrival]],"mmm")</f>
        <v>Jul</v>
      </c>
      <c r="K345" s="80">
        <f>MONTH(tblPayments[[#This Row],[Arrival]])</f>
        <v>7</v>
      </c>
      <c r="L345" s="80">
        <f>YEAR(tblPayments[[#This Row],[Arrival]])</f>
        <v>2026</v>
      </c>
      <c r="M345" s="80" t="str">
        <f>IF(tblPayments[[#This Row],[Balance]]=0,"Full Payment","Deposit")</f>
        <v>Full Payment</v>
      </c>
      <c r="N345" s="43">
        <v>0</v>
      </c>
      <c r="O345" s="83">
        <v>45990</v>
      </c>
      <c r="P345" s="87" t="s">
        <v>1</v>
      </c>
    </row>
    <row r="346" spans="1:16" x14ac:dyDescent="0.3">
      <c r="A346" s="77" t="s">
        <v>101</v>
      </c>
      <c r="B346" s="80" t="s">
        <v>77</v>
      </c>
      <c r="C346" s="43">
        <v>25545.94</v>
      </c>
      <c r="D346" s="43"/>
      <c r="E346" s="43">
        <v>25545.94</v>
      </c>
      <c r="F346" s="80" t="s">
        <v>75</v>
      </c>
      <c r="G346" s="83">
        <v>46224</v>
      </c>
      <c r="H346" s="83">
        <v>46227</v>
      </c>
      <c r="I346" s="4">
        <v>3</v>
      </c>
      <c r="J346" s="80" t="str">
        <f>TEXT(tblPayments[[#This Row],[Arrival]],"mmm")</f>
        <v>Jul</v>
      </c>
      <c r="K346" s="80">
        <f>MONTH(tblPayments[[#This Row],[Arrival]])</f>
        <v>7</v>
      </c>
      <c r="L346" s="80">
        <f>YEAR(tblPayments[[#This Row],[Arrival]])</f>
        <v>2026</v>
      </c>
      <c r="M346" s="80" t="str">
        <f>IF(tblPayments[[#This Row],[Balance]]=0,"Full Payment","Deposit")</f>
        <v>Deposit</v>
      </c>
      <c r="N346" s="43"/>
      <c r="O346" s="83">
        <v>46002</v>
      </c>
      <c r="P346" s="87"/>
    </row>
    <row r="347" spans="1:16" x14ac:dyDescent="0.3">
      <c r="A347" s="77" t="s">
        <v>101</v>
      </c>
      <c r="B347" s="80" t="s">
        <v>77</v>
      </c>
      <c r="C347" s="43">
        <v>25098.799999999999</v>
      </c>
      <c r="D347" s="43"/>
      <c r="E347" s="43">
        <v>25098.799999999999</v>
      </c>
      <c r="F347" s="80" t="s">
        <v>75</v>
      </c>
      <c r="G347" s="83">
        <v>46224</v>
      </c>
      <c r="H347" s="83">
        <v>46231</v>
      </c>
      <c r="I347" s="4">
        <v>7</v>
      </c>
      <c r="J347" s="80" t="str">
        <f>TEXT(tblPayments[[#This Row],[Arrival]],"mmm")</f>
        <v>Jul</v>
      </c>
      <c r="K347" s="80">
        <f>MONTH(tblPayments[[#This Row],[Arrival]])</f>
        <v>7</v>
      </c>
      <c r="L347" s="80">
        <f>YEAR(tblPayments[[#This Row],[Arrival]])</f>
        <v>2026</v>
      </c>
      <c r="M347" s="80" t="str">
        <f>IF(tblPayments[[#This Row],[Balance]]=0,"Full Payment","Deposit")</f>
        <v>Deposit</v>
      </c>
      <c r="N347" s="43">
        <v>13009.64</v>
      </c>
      <c r="O347" s="83">
        <v>45883</v>
      </c>
      <c r="P347" s="87" t="s">
        <v>13</v>
      </c>
    </row>
    <row r="348" spans="1:16" x14ac:dyDescent="0.3">
      <c r="A348" s="77" t="s">
        <v>101</v>
      </c>
      <c r="B348" s="80" t="s">
        <v>77</v>
      </c>
      <c r="C348" s="43">
        <v>14227</v>
      </c>
      <c r="D348" s="43"/>
      <c r="E348" s="43">
        <v>14227</v>
      </c>
      <c r="F348" s="80" t="s">
        <v>75</v>
      </c>
      <c r="G348" s="83">
        <v>46225</v>
      </c>
      <c r="H348" s="83">
        <v>46233</v>
      </c>
      <c r="I348" s="4">
        <v>8</v>
      </c>
      <c r="J348" s="80" t="str">
        <f>TEXT(tblPayments[[#This Row],[Arrival]],"mmm")</f>
        <v>Jul</v>
      </c>
      <c r="K348" s="80">
        <f>MONTH(tblPayments[[#This Row],[Arrival]])</f>
        <v>7</v>
      </c>
      <c r="L348" s="80">
        <f>YEAR(tblPayments[[#This Row],[Arrival]])</f>
        <v>2026</v>
      </c>
      <c r="M348" s="80" t="str">
        <f>IF(tblPayments[[#This Row],[Balance]]=0,"Full Payment","Deposit")</f>
        <v>Deposit</v>
      </c>
      <c r="N348" s="43">
        <v>6721.6</v>
      </c>
      <c r="O348" s="83">
        <v>45990</v>
      </c>
      <c r="P348" s="87" t="s">
        <v>1</v>
      </c>
    </row>
    <row r="349" spans="1:16" x14ac:dyDescent="0.3">
      <c r="A349" s="77" t="s">
        <v>101</v>
      </c>
      <c r="B349" s="80" t="s">
        <v>77</v>
      </c>
      <c r="C349" s="43">
        <v>31200</v>
      </c>
      <c r="D349" s="43"/>
      <c r="E349" s="43">
        <v>31200</v>
      </c>
      <c r="F349" s="80" t="s">
        <v>75</v>
      </c>
      <c r="G349" s="83">
        <v>46228</v>
      </c>
      <c r="H349" s="83">
        <v>46250</v>
      </c>
      <c r="I349" s="4">
        <v>22</v>
      </c>
      <c r="J349" s="80" t="str">
        <f>TEXT(tblPayments[[#This Row],[Arrival]],"mmm")</f>
        <v>Jul</v>
      </c>
      <c r="K349" s="80">
        <f>MONTH(tblPayments[[#This Row],[Arrival]])</f>
        <v>7</v>
      </c>
      <c r="L349" s="80">
        <f>YEAR(tblPayments[[#This Row],[Arrival]])</f>
        <v>2026</v>
      </c>
      <c r="M349" s="80" t="str">
        <f>IF(tblPayments[[#This Row],[Balance]]=0,"Full Payment","Deposit")</f>
        <v>Deposit</v>
      </c>
      <c r="N349" s="43">
        <v>4060.76</v>
      </c>
      <c r="O349" s="83">
        <v>45391</v>
      </c>
      <c r="P349" s="87" t="s">
        <v>13</v>
      </c>
    </row>
    <row r="350" spans="1:16" x14ac:dyDescent="0.3">
      <c r="A350" s="77" t="s">
        <v>101</v>
      </c>
      <c r="B350" s="80" t="s">
        <v>77</v>
      </c>
      <c r="C350" s="43">
        <v>32942</v>
      </c>
      <c r="D350" s="43"/>
      <c r="E350" s="43">
        <v>32942</v>
      </c>
      <c r="F350" s="80" t="s">
        <v>75</v>
      </c>
      <c r="G350" s="83">
        <v>46228</v>
      </c>
      <c r="H350" s="83">
        <v>46242</v>
      </c>
      <c r="I350" s="4">
        <v>14</v>
      </c>
      <c r="J350" s="80" t="str">
        <f>TEXT(tblPayments[[#This Row],[Arrival]],"mmm")</f>
        <v>Jul</v>
      </c>
      <c r="K350" s="80">
        <f>MONTH(tblPayments[[#This Row],[Arrival]])</f>
        <v>7</v>
      </c>
      <c r="L350" s="80">
        <f>YEAR(tblPayments[[#This Row],[Arrival]])</f>
        <v>2026</v>
      </c>
      <c r="M350" s="80" t="str">
        <f>IF(tblPayments[[#This Row],[Balance]]=0,"Full Payment","Deposit")</f>
        <v>Deposit</v>
      </c>
      <c r="N350" s="43">
        <v>9502.64</v>
      </c>
      <c r="O350" s="83">
        <v>45928</v>
      </c>
      <c r="P350" s="87" t="s">
        <v>13</v>
      </c>
    </row>
    <row r="351" spans="1:16" x14ac:dyDescent="0.3">
      <c r="A351" s="77" t="s">
        <v>101</v>
      </c>
      <c r="B351" s="80" t="s">
        <v>77</v>
      </c>
      <c r="C351" s="43">
        <v>19870</v>
      </c>
      <c r="D351" s="43"/>
      <c r="E351" s="43">
        <v>19870</v>
      </c>
      <c r="F351" s="80" t="s">
        <v>75</v>
      </c>
      <c r="G351" s="83">
        <v>46228</v>
      </c>
      <c r="H351" s="83">
        <v>46235</v>
      </c>
      <c r="I351" s="4">
        <v>7</v>
      </c>
      <c r="J351" s="80" t="str">
        <f>TEXT(tblPayments[[#This Row],[Arrival]],"mmm")</f>
        <v>Jul</v>
      </c>
      <c r="K351" s="80">
        <f>MONTH(tblPayments[[#This Row],[Arrival]])</f>
        <v>7</v>
      </c>
      <c r="L351" s="80">
        <f>YEAR(tblPayments[[#This Row],[Arrival]])</f>
        <v>2026</v>
      </c>
      <c r="M351" s="80" t="str">
        <f>IF(tblPayments[[#This Row],[Balance]]=0,"Full Payment","Deposit")</f>
        <v>Deposit</v>
      </c>
      <c r="N351" s="43">
        <v>7762.51</v>
      </c>
      <c r="O351" s="83">
        <v>45500</v>
      </c>
      <c r="P351" s="87" t="s">
        <v>45</v>
      </c>
    </row>
    <row r="352" spans="1:16" x14ac:dyDescent="0.3">
      <c r="A352" s="77" t="s">
        <v>101</v>
      </c>
      <c r="B352" s="80" t="s">
        <v>77</v>
      </c>
      <c r="C352" s="43">
        <v>25390</v>
      </c>
      <c r="D352" s="43"/>
      <c r="E352" s="43">
        <v>25390</v>
      </c>
      <c r="F352" s="80" t="s">
        <v>75</v>
      </c>
      <c r="G352" s="83">
        <v>46228</v>
      </c>
      <c r="H352" s="83">
        <v>46238</v>
      </c>
      <c r="I352" s="4">
        <v>10</v>
      </c>
      <c r="J352" s="80" t="str">
        <f>TEXT(tblPayments[[#This Row],[Arrival]],"mmm")</f>
        <v>Jul</v>
      </c>
      <c r="K352" s="80">
        <f>MONTH(tblPayments[[#This Row],[Arrival]])</f>
        <v>7</v>
      </c>
      <c r="L352" s="80">
        <f>YEAR(tblPayments[[#This Row],[Arrival]])</f>
        <v>2026</v>
      </c>
      <c r="M352" s="80" t="str">
        <f>IF(tblPayments[[#This Row],[Balance]]=0,"Full Payment","Deposit")</f>
        <v>Deposit</v>
      </c>
      <c r="N352" s="43">
        <v>11221.8</v>
      </c>
      <c r="O352" s="83">
        <v>45916</v>
      </c>
      <c r="P352" s="87" t="s">
        <v>18</v>
      </c>
    </row>
    <row r="353" spans="1:16" x14ac:dyDescent="0.3">
      <c r="A353" s="77" t="s">
        <v>101</v>
      </c>
      <c r="B353" s="80" t="s">
        <v>77</v>
      </c>
      <c r="C353" s="43">
        <v>17520</v>
      </c>
      <c r="D353" s="43"/>
      <c r="E353" s="43">
        <v>17520</v>
      </c>
      <c r="F353" s="80" t="s">
        <v>75</v>
      </c>
      <c r="G353" s="83">
        <v>46229</v>
      </c>
      <c r="H353" s="83">
        <v>46234</v>
      </c>
      <c r="I353" s="4">
        <v>5</v>
      </c>
      <c r="J353" s="80" t="str">
        <f>TEXT(tblPayments[[#This Row],[Arrival]],"mmm")</f>
        <v>Jul</v>
      </c>
      <c r="K353" s="80">
        <f>MONTH(tblPayments[[#This Row],[Arrival]])</f>
        <v>7</v>
      </c>
      <c r="L353" s="80">
        <f>YEAR(tblPayments[[#This Row],[Arrival]])</f>
        <v>2026</v>
      </c>
      <c r="M353" s="80" t="str">
        <f>IF(tblPayments[[#This Row],[Balance]]=0,"Full Payment","Deposit")</f>
        <v>Deposit</v>
      </c>
      <c r="N353" s="43">
        <v>5578.85</v>
      </c>
      <c r="O353" s="83">
        <v>45817</v>
      </c>
      <c r="P353" s="87" t="s">
        <v>15</v>
      </c>
    </row>
    <row r="354" spans="1:16" x14ac:dyDescent="0.3">
      <c r="A354" s="77" t="s">
        <v>101</v>
      </c>
      <c r="B354" s="80" t="s">
        <v>77</v>
      </c>
      <c r="C354" s="43">
        <v>6356.8</v>
      </c>
      <c r="D354" s="43"/>
      <c r="E354" s="43">
        <v>6356.8</v>
      </c>
      <c r="F354" s="80" t="s">
        <v>75</v>
      </c>
      <c r="G354" s="83">
        <v>46231</v>
      </c>
      <c r="H354" s="83">
        <v>46233</v>
      </c>
      <c r="I354" s="4">
        <v>2</v>
      </c>
      <c r="J354" s="80" t="str">
        <f>TEXT(tblPayments[[#This Row],[Arrival]],"mmm")</f>
        <v>Jul</v>
      </c>
      <c r="K354" s="80">
        <f>MONTH(tblPayments[[#This Row],[Arrival]])</f>
        <v>7</v>
      </c>
      <c r="L354" s="80">
        <f>YEAR(tblPayments[[#This Row],[Arrival]])</f>
        <v>2026</v>
      </c>
      <c r="M354" s="80" t="str">
        <f>IF(tblPayments[[#This Row],[Balance]]=0,"Full Payment","Deposit")</f>
        <v>Deposit</v>
      </c>
      <c r="N354" s="43">
        <v>3717.04</v>
      </c>
      <c r="O354" s="83">
        <v>45883</v>
      </c>
      <c r="P354" s="87" t="s">
        <v>13</v>
      </c>
    </row>
    <row r="355" spans="1:16" x14ac:dyDescent="0.3">
      <c r="A355" s="77" t="s">
        <v>101</v>
      </c>
      <c r="B355" s="80" t="s">
        <v>77</v>
      </c>
      <c r="C355" s="43">
        <v>19926.400000000001</v>
      </c>
      <c r="D355" s="43"/>
      <c r="E355" s="43">
        <v>19926.400000000001</v>
      </c>
      <c r="F355" s="80" t="s">
        <v>75</v>
      </c>
      <c r="G355" s="83">
        <v>46233</v>
      </c>
      <c r="H355" s="83">
        <v>46240</v>
      </c>
      <c r="I355" s="4">
        <v>7</v>
      </c>
      <c r="J355" s="80" t="str">
        <f>TEXT(tblPayments[[#This Row],[Arrival]],"mmm")</f>
        <v>Jul</v>
      </c>
      <c r="K355" s="80">
        <f>MONTH(tblPayments[[#This Row],[Arrival]])</f>
        <v>7</v>
      </c>
      <c r="L355" s="80">
        <f>YEAR(tblPayments[[#This Row],[Arrival]])</f>
        <v>2026</v>
      </c>
      <c r="M355" s="80" t="str">
        <f>IF(tblPayments[[#This Row],[Balance]]=0,"Full Payment","Deposit")</f>
        <v>Deposit</v>
      </c>
      <c r="N355" s="43">
        <v>8278.34</v>
      </c>
      <c r="O355" s="83">
        <v>45905</v>
      </c>
      <c r="P355" s="87" t="s">
        <v>36</v>
      </c>
    </row>
    <row r="356" spans="1:16" x14ac:dyDescent="0.3">
      <c r="A356" s="77" t="s">
        <v>101</v>
      </c>
      <c r="B356" s="80" t="s">
        <v>77</v>
      </c>
      <c r="C356" s="43">
        <v>79348</v>
      </c>
      <c r="D356" s="43"/>
      <c r="E356" s="43">
        <v>79348</v>
      </c>
      <c r="F356" s="80" t="s">
        <v>75</v>
      </c>
      <c r="G356" s="83">
        <v>46235</v>
      </c>
      <c r="H356" s="83">
        <v>46244</v>
      </c>
      <c r="I356" s="4">
        <v>9</v>
      </c>
      <c r="J356" s="80" t="str">
        <f>TEXT(tblPayments[[#This Row],[Arrival]],"mmm")</f>
        <v>Aug</v>
      </c>
      <c r="K356" s="80">
        <f>MONTH(tblPayments[[#This Row],[Arrival]])</f>
        <v>8</v>
      </c>
      <c r="L356" s="80">
        <f>YEAR(tblPayments[[#This Row],[Arrival]])</f>
        <v>2026</v>
      </c>
      <c r="M356" s="80" t="str">
        <f>IF(tblPayments[[#This Row],[Balance]]=0,"Full Payment","Deposit")</f>
        <v>Deposit</v>
      </c>
      <c r="N356" s="43">
        <v>29737.8</v>
      </c>
      <c r="O356" s="83">
        <v>45993</v>
      </c>
      <c r="P356" s="87" t="s">
        <v>18</v>
      </c>
    </row>
    <row r="357" spans="1:16" x14ac:dyDescent="0.3">
      <c r="A357" s="77" t="s">
        <v>101</v>
      </c>
      <c r="B357" s="80" t="s">
        <v>77</v>
      </c>
      <c r="C357" s="43">
        <v>24275.94</v>
      </c>
      <c r="D357" s="43"/>
      <c r="E357" s="43">
        <v>24275.94</v>
      </c>
      <c r="F357" s="80" t="s">
        <v>75</v>
      </c>
      <c r="G357" s="83">
        <v>46235</v>
      </c>
      <c r="H357" s="83">
        <v>46242</v>
      </c>
      <c r="I357" s="4">
        <v>7</v>
      </c>
      <c r="J357" s="80" t="str">
        <f>TEXT(tblPayments[[#This Row],[Arrival]],"mmm")</f>
        <v>Aug</v>
      </c>
      <c r="K357" s="80">
        <f>MONTH(tblPayments[[#This Row],[Arrival]])</f>
        <v>8</v>
      </c>
      <c r="L357" s="80">
        <f>YEAR(tblPayments[[#This Row],[Arrival]])</f>
        <v>2026</v>
      </c>
      <c r="M357" s="80" t="str">
        <f>IF(tblPayments[[#This Row],[Balance]]=0,"Full Payment","Deposit")</f>
        <v>Deposit</v>
      </c>
      <c r="N357" s="43">
        <v>6262.9</v>
      </c>
      <c r="O357" s="83">
        <v>45898</v>
      </c>
      <c r="P357" s="87" t="s">
        <v>15</v>
      </c>
    </row>
    <row r="358" spans="1:16" x14ac:dyDescent="0.3">
      <c r="A358" s="77" t="s">
        <v>101</v>
      </c>
      <c r="B358" s="80" t="s">
        <v>77</v>
      </c>
      <c r="C358" s="43">
        <v>28828</v>
      </c>
      <c r="D358" s="43">
        <v>6000</v>
      </c>
      <c r="E358" s="43">
        <v>22828</v>
      </c>
      <c r="F358" s="80" t="s">
        <v>72</v>
      </c>
      <c r="G358" s="83">
        <v>46237</v>
      </c>
      <c r="H358" s="83">
        <v>46248</v>
      </c>
      <c r="I358" s="4">
        <v>11</v>
      </c>
      <c r="J358" s="80" t="str">
        <f>TEXT(tblPayments[[#This Row],[Arrival]],"mmm")</f>
        <v>Aug</v>
      </c>
      <c r="K358" s="80">
        <f>MONTH(tblPayments[[#This Row],[Arrival]])</f>
        <v>8</v>
      </c>
      <c r="L358" s="80">
        <f>YEAR(tblPayments[[#This Row],[Arrival]])</f>
        <v>2026</v>
      </c>
      <c r="M358" s="80" t="str">
        <f>IF(tblPayments[[#This Row],[Balance]]=0,"Full Payment","Deposit")</f>
        <v>Deposit</v>
      </c>
      <c r="N358" s="43">
        <v>19256.71</v>
      </c>
      <c r="O358" s="83">
        <v>45735</v>
      </c>
      <c r="P358" s="87" t="s">
        <v>2</v>
      </c>
    </row>
    <row r="359" spans="1:16" x14ac:dyDescent="0.3">
      <c r="A359" s="77" t="s">
        <v>101</v>
      </c>
      <c r="B359" s="80" t="s">
        <v>77</v>
      </c>
      <c r="C359" s="43">
        <v>11195</v>
      </c>
      <c r="D359" s="43"/>
      <c r="E359" s="43">
        <v>11195</v>
      </c>
      <c r="F359" s="80" t="s">
        <v>75</v>
      </c>
      <c r="G359" s="83">
        <v>46237</v>
      </c>
      <c r="H359" s="83">
        <v>46239</v>
      </c>
      <c r="I359" s="4">
        <v>2</v>
      </c>
      <c r="J359" s="80" t="str">
        <f>TEXT(tblPayments[[#This Row],[Arrival]],"mmm")</f>
        <v>Aug</v>
      </c>
      <c r="K359" s="80">
        <f>MONTH(tblPayments[[#This Row],[Arrival]])</f>
        <v>8</v>
      </c>
      <c r="L359" s="80">
        <f>YEAR(tblPayments[[#This Row],[Arrival]])</f>
        <v>2026</v>
      </c>
      <c r="M359" s="80" t="str">
        <f>IF(tblPayments[[#This Row],[Balance]]=0,"Full Payment","Deposit")</f>
        <v>Deposit</v>
      </c>
      <c r="N359" s="43">
        <v>2808.86</v>
      </c>
      <c r="O359" s="83"/>
      <c r="P359" s="87"/>
    </row>
    <row r="360" spans="1:16" x14ac:dyDescent="0.3">
      <c r="A360" s="77" t="s">
        <v>101</v>
      </c>
      <c r="B360" s="80" t="s">
        <v>77</v>
      </c>
      <c r="C360" s="43">
        <v>11195</v>
      </c>
      <c r="D360" s="43"/>
      <c r="E360" s="43">
        <v>11195</v>
      </c>
      <c r="F360" s="80" t="s">
        <v>75</v>
      </c>
      <c r="G360" s="83">
        <v>46239</v>
      </c>
      <c r="H360" s="83">
        <v>46241</v>
      </c>
      <c r="I360" s="4">
        <v>2</v>
      </c>
      <c r="J360" s="80" t="str">
        <f>TEXT(tblPayments[[#This Row],[Arrival]],"mmm")</f>
        <v>Aug</v>
      </c>
      <c r="K360" s="80">
        <f>MONTH(tblPayments[[#This Row],[Arrival]])</f>
        <v>8</v>
      </c>
      <c r="L360" s="80">
        <f>YEAR(tblPayments[[#This Row],[Arrival]])</f>
        <v>2026</v>
      </c>
      <c r="M360" s="80" t="str">
        <f>IF(tblPayments[[#This Row],[Balance]]=0,"Full Payment","Deposit")</f>
        <v>Deposit</v>
      </c>
      <c r="N360" s="43">
        <v>6596.74</v>
      </c>
      <c r="O360" s="83"/>
      <c r="P360" s="87"/>
    </row>
    <row r="361" spans="1:16" x14ac:dyDescent="0.3">
      <c r="A361" s="77" t="s">
        <v>101</v>
      </c>
      <c r="B361" s="80" t="s">
        <v>77</v>
      </c>
      <c r="C361" s="43">
        <v>30618</v>
      </c>
      <c r="D361" s="43"/>
      <c r="E361" s="43">
        <v>30618</v>
      </c>
      <c r="F361" s="80" t="s">
        <v>75</v>
      </c>
      <c r="G361" s="83">
        <v>46242</v>
      </c>
      <c r="H361" s="83">
        <v>46258</v>
      </c>
      <c r="I361" s="4">
        <v>16</v>
      </c>
      <c r="J361" s="80" t="str">
        <f>TEXT(tblPayments[[#This Row],[Arrival]],"mmm")</f>
        <v>Aug</v>
      </c>
      <c r="K361" s="80">
        <f>MONTH(tblPayments[[#This Row],[Arrival]])</f>
        <v>8</v>
      </c>
      <c r="L361" s="80">
        <f>YEAR(tblPayments[[#This Row],[Arrival]])</f>
        <v>2026</v>
      </c>
      <c r="M361" s="80" t="str">
        <f>IF(tblPayments[[#This Row],[Balance]]=0,"Full Payment","Deposit")</f>
        <v>Deposit</v>
      </c>
      <c r="N361" s="43">
        <v>12338.72</v>
      </c>
      <c r="O361" s="83">
        <v>45919</v>
      </c>
      <c r="P361" s="87" t="s">
        <v>1</v>
      </c>
    </row>
    <row r="362" spans="1:16" x14ac:dyDescent="0.3">
      <c r="A362" s="77" t="s">
        <v>101</v>
      </c>
      <c r="B362" s="80" t="s">
        <v>77</v>
      </c>
      <c r="C362" s="43">
        <v>48328.02</v>
      </c>
      <c r="D362" s="43"/>
      <c r="E362" s="43">
        <v>48328.02</v>
      </c>
      <c r="F362" s="80" t="s">
        <v>75</v>
      </c>
      <c r="G362" s="83">
        <v>46242</v>
      </c>
      <c r="H362" s="83">
        <v>46263</v>
      </c>
      <c r="I362" s="4">
        <v>21</v>
      </c>
      <c r="J362" s="80" t="str">
        <f>TEXT(tblPayments[[#This Row],[Arrival]],"mmm")</f>
        <v>Aug</v>
      </c>
      <c r="K362" s="80">
        <f>MONTH(tblPayments[[#This Row],[Arrival]])</f>
        <v>8</v>
      </c>
      <c r="L362" s="80">
        <f>YEAR(tblPayments[[#This Row],[Arrival]])</f>
        <v>2026</v>
      </c>
      <c r="M362" s="80" t="str">
        <f>IF(tblPayments[[#This Row],[Balance]]=0,"Full Payment","Deposit")</f>
        <v>Deposit</v>
      </c>
      <c r="N362" s="43">
        <v>31852.799999999999</v>
      </c>
      <c r="O362" s="83">
        <v>45940</v>
      </c>
      <c r="P362" s="87" t="s">
        <v>40</v>
      </c>
    </row>
    <row r="363" spans="1:16" x14ac:dyDescent="0.3">
      <c r="A363" s="77" t="s">
        <v>101</v>
      </c>
      <c r="B363" s="80" t="s">
        <v>77</v>
      </c>
      <c r="C363" s="43">
        <v>80823.399999999994</v>
      </c>
      <c r="D363" s="43"/>
      <c r="E363" s="43">
        <v>80823.399999999994</v>
      </c>
      <c r="F363" s="80" t="s">
        <v>75</v>
      </c>
      <c r="G363" s="83">
        <v>46243</v>
      </c>
      <c r="H363" s="83">
        <v>46257</v>
      </c>
      <c r="I363" s="4">
        <v>14</v>
      </c>
      <c r="J363" s="80" t="str">
        <f>TEXT(tblPayments[[#This Row],[Arrival]],"mmm")</f>
        <v>Aug</v>
      </c>
      <c r="K363" s="80">
        <f>MONTH(tblPayments[[#This Row],[Arrival]])</f>
        <v>8</v>
      </c>
      <c r="L363" s="80">
        <f>YEAR(tblPayments[[#This Row],[Arrival]])</f>
        <v>2026</v>
      </c>
      <c r="M363" s="80" t="str">
        <f>IF(tblPayments[[#This Row],[Balance]]=0,"Full Payment","Deposit")</f>
        <v>Deposit</v>
      </c>
      <c r="N363" s="43">
        <v>50727.6</v>
      </c>
      <c r="O363" s="83">
        <v>45911</v>
      </c>
      <c r="P363" s="87" t="s">
        <v>2</v>
      </c>
    </row>
    <row r="364" spans="1:16" x14ac:dyDescent="0.3">
      <c r="A364" s="77" t="s">
        <v>101</v>
      </c>
      <c r="B364" s="80" t="s">
        <v>77</v>
      </c>
      <c r="C364" s="43">
        <v>61357</v>
      </c>
      <c r="D364" s="43"/>
      <c r="E364" s="43">
        <v>61357</v>
      </c>
      <c r="F364" s="80" t="s">
        <v>75</v>
      </c>
      <c r="G364" s="83">
        <v>46244</v>
      </c>
      <c r="H364" s="83">
        <v>46255</v>
      </c>
      <c r="I364" s="4">
        <v>11</v>
      </c>
      <c r="J364" s="80" t="str">
        <f>TEXT(tblPayments[[#This Row],[Arrival]],"mmm")</f>
        <v>Aug</v>
      </c>
      <c r="K364" s="80">
        <f>MONTH(tblPayments[[#This Row],[Arrival]])</f>
        <v>8</v>
      </c>
      <c r="L364" s="80">
        <f>YEAR(tblPayments[[#This Row],[Arrival]])</f>
        <v>2026</v>
      </c>
      <c r="M364" s="80" t="str">
        <f>IF(tblPayments[[#This Row],[Balance]]=0,"Full Payment","Deposit")</f>
        <v>Deposit</v>
      </c>
      <c r="N364" s="43">
        <v>32943.35</v>
      </c>
      <c r="O364" s="83">
        <v>45960</v>
      </c>
      <c r="P364" s="87" t="s">
        <v>15</v>
      </c>
    </row>
    <row r="365" spans="1:16" x14ac:dyDescent="0.3">
      <c r="A365" s="77" t="s">
        <v>101</v>
      </c>
      <c r="B365" s="80" t="s">
        <v>77</v>
      </c>
      <c r="C365" s="43">
        <v>21540</v>
      </c>
      <c r="D365" s="43"/>
      <c r="E365" s="43">
        <v>21540</v>
      </c>
      <c r="F365" s="80" t="s">
        <v>75</v>
      </c>
      <c r="G365" s="83">
        <v>46245</v>
      </c>
      <c r="H365" s="83">
        <v>46250</v>
      </c>
      <c r="I365" s="4">
        <v>5</v>
      </c>
      <c r="J365" s="80" t="str">
        <f>TEXT(tblPayments[[#This Row],[Arrival]],"mmm")</f>
        <v>Aug</v>
      </c>
      <c r="K365" s="80">
        <f>MONTH(tblPayments[[#This Row],[Arrival]])</f>
        <v>8</v>
      </c>
      <c r="L365" s="80">
        <f>YEAR(tblPayments[[#This Row],[Arrival]])</f>
        <v>2026</v>
      </c>
      <c r="M365" s="80" t="str">
        <f>IF(tblPayments[[#This Row],[Balance]]=0,"Full Payment","Deposit")</f>
        <v>Deposit</v>
      </c>
      <c r="N365" s="43">
        <v>8702.4</v>
      </c>
      <c r="O365" s="83">
        <v>45990</v>
      </c>
      <c r="P365" s="87" t="s">
        <v>27</v>
      </c>
    </row>
    <row r="366" spans="1:16" x14ac:dyDescent="0.3">
      <c r="A366" s="77" t="s">
        <v>101</v>
      </c>
      <c r="B366" s="80" t="s">
        <v>77</v>
      </c>
      <c r="C366" s="43">
        <v>9625.26</v>
      </c>
      <c r="D366" s="43"/>
      <c r="E366" s="43">
        <v>9625.26</v>
      </c>
      <c r="F366" s="80" t="s">
        <v>75</v>
      </c>
      <c r="G366" s="83">
        <v>46245</v>
      </c>
      <c r="H366" s="83">
        <v>46249</v>
      </c>
      <c r="I366" s="4">
        <v>4</v>
      </c>
      <c r="J366" s="80" t="str">
        <f>TEXT(tblPayments[[#This Row],[Arrival]],"mmm")</f>
        <v>Aug</v>
      </c>
      <c r="K366" s="80">
        <f>MONTH(tblPayments[[#This Row],[Arrival]])</f>
        <v>8</v>
      </c>
      <c r="L366" s="80">
        <f>YEAR(tblPayments[[#This Row],[Arrival]])</f>
        <v>2026</v>
      </c>
      <c r="M366" s="80" t="str">
        <f>IF(tblPayments[[#This Row],[Balance]]=0,"Full Payment","Deposit")</f>
        <v>Deposit</v>
      </c>
      <c r="N366" s="43">
        <v>4406.28</v>
      </c>
      <c r="O366" s="83">
        <v>45965</v>
      </c>
      <c r="P366" s="87" t="s">
        <v>9</v>
      </c>
    </row>
    <row r="367" spans="1:16" x14ac:dyDescent="0.3">
      <c r="A367" s="77" t="s">
        <v>101</v>
      </c>
      <c r="B367" s="80" t="s">
        <v>77</v>
      </c>
      <c r="C367" s="43">
        <v>16674.900000000001</v>
      </c>
      <c r="D367" s="43"/>
      <c r="E367" s="43">
        <v>16674.900000000001</v>
      </c>
      <c r="F367" s="80" t="s">
        <v>75</v>
      </c>
      <c r="G367" s="83">
        <v>46246</v>
      </c>
      <c r="H367" s="83">
        <v>46249</v>
      </c>
      <c r="I367" s="4">
        <v>3</v>
      </c>
      <c r="J367" s="80" t="str">
        <f>TEXT(tblPayments[[#This Row],[Arrival]],"mmm")</f>
        <v>Aug</v>
      </c>
      <c r="K367" s="80">
        <f>MONTH(tblPayments[[#This Row],[Arrival]])</f>
        <v>8</v>
      </c>
      <c r="L367" s="80">
        <f>YEAR(tblPayments[[#This Row],[Arrival]])</f>
        <v>2026</v>
      </c>
      <c r="M367" s="80" t="str">
        <f>IF(tblPayments[[#This Row],[Balance]]=0,"Full Payment","Deposit")</f>
        <v>Deposit</v>
      </c>
      <c r="N367" s="43">
        <v>6366.3</v>
      </c>
      <c r="O367" s="83">
        <v>45966</v>
      </c>
      <c r="P367" s="87" t="s">
        <v>14</v>
      </c>
    </row>
    <row r="368" spans="1:16" x14ac:dyDescent="0.3">
      <c r="A368" s="77" t="s">
        <v>101</v>
      </c>
      <c r="B368" s="80" t="s">
        <v>77</v>
      </c>
      <c r="C368" s="43">
        <v>81789</v>
      </c>
      <c r="D368" s="43"/>
      <c r="E368" s="43">
        <v>81789</v>
      </c>
      <c r="F368" s="80" t="s">
        <v>75</v>
      </c>
      <c r="G368" s="83">
        <v>46246</v>
      </c>
      <c r="H368" s="83">
        <v>46260</v>
      </c>
      <c r="I368" s="4">
        <v>14</v>
      </c>
      <c r="J368" s="80" t="str">
        <f>TEXT(tblPayments[[#This Row],[Arrival]],"mmm")</f>
        <v>Aug</v>
      </c>
      <c r="K368" s="80">
        <f>MONTH(tblPayments[[#This Row],[Arrival]])</f>
        <v>8</v>
      </c>
      <c r="L368" s="80">
        <f>YEAR(tblPayments[[#This Row],[Arrival]])</f>
        <v>2026</v>
      </c>
      <c r="M368" s="80" t="str">
        <f>IF(tblPayments[[#This Row],[Balance]]=0,"Full Payment","Deposit")</f>
        <v>Deposit</v>
      </c>
      <c r="N368" s="43">
        <v>0</v>
      </c>
      <c r="O368" s="83">
        <v>45990</v>
      </c>
      <c r="P368" s="87" t="s">
        <v>9</v>
      </c>
    </row>
    <row r="369" spans="1:16" x14ac:dyDescent="0.3">
      <c r="A369" s="77" t="s">
        <v>101</v>
      </c>
      <c r="B369" s="80" t="s">
        <v>77</v>
      </c>
      <c r="C369" s="43"/>
      <c r="D369" s="43"/>
      <c r="E369" s="43"/>
      <c r="F369" s="80" t="s">
        <v>73</v>
      </c>
      <c r="G369" s="83">
        <v>46248</v>
      </c>
      <c r="H369" s="83">
        <v>46262</v>
      </c>
      <c r="I369" s="4">
        <v>14</v>
      </c>
      <c r="J369" s="80" t="str">
        <f>TEXT(tblPayments[[#This Row],[Arrival]],"mmm")</f>
        <v>Aug</v>
      </c>
      <c r="K369" s="80">
        <f>MONTH(tblPayments[[#This Row],[Arrival]])</f>
        <v>8</v>
      </c>
      <c r="L369" s="80">
        <f>YEAR(tblPayments[[#This Row],[Arrival]])</f>
        <v>2026</v>
      </c>
      <c r="M369" s="80" t="str">
        <f>IF(tblPayments[[#This Row],[Balance]]=0,"Full Payment","Deposit")</f>
        <v>Full Payment</v>
      </c>
      <c r="N369" s="43">
        <v>0</v>
      </c>
      <c r="O369" s="83">
        <v>45950</v>
      </c>
      <c r="P369" s="87" t="s">
        <v>1</v>
      </c>
    </row>
    <row r="370" spans="1:16" x14ac:dyDescent="0.3">
      <c r="A370" s="77" t="s">
        <v>101</v>
      </c>
      <c r="B370" s="80" t="s">
        <v>77</v>
      </c>
      <c r="C370" s="43">
        <v>16533.2</v>
      </c>
      <c r="D370" s="43"/>
      <c r="E370" s="43">
        <v>16533.2</v>
      </c>
      <c r="F370" s="80" t="s">
        <v>75</v>
      </c>
      <c r="G370" s="83">
        <v>46249</v>
      </c>
      <c r="H370" s="83">
        <v>46253</v>
      </c>
      <c r="I370" s="4">
        <v>4</v>
      </c>
      <c r="J370" s="80" t="str">
        <f>TEXT(tblPayments[[#This Row],[Arrival]],"mmm")</f>
        <v>Aug</v>
      </c>
      <c r="K370" s="80">
        <f>MONTH(tblPayments[[#This Row],[Arrival]])</f>
        <v>8</v>
      </c>
      <c r="L370" s="80">
        <f>YEAR(tblPayments[[#This Row],[Arrival]])</f>
        <v>2026</v>
      </c>
      <c r="M370" s="80" t="str">
        <f>IF(tblPayments[[#This Row],[Balance]]=0,"Full Payment","Deposit")</f>
        <v>Deposit</v>
      </c>
      <c r="N370" s="43">
        <v>8488.4</v>
      </c>
      <c r="O370" s="83">
        <v>45966</v>
      </c>
      <c r="P370" s="87" t="s">
        <v>14</v>
      </c>
    </row>
    <row r="371" spans="1:16" x14ac:dyDescent="0.3">
      <c r="A371" s="77" t="s">
        <v>101</v>
      </c>
      <c r="B371" s="80" t="s">
        <v>77</v>
      </c>
      <c r="C371" s="43">
        <v>90916.64</v>
      </c>
      <c r="D371" s="43">
        <v>22729.15</v>
      </c>
      <c r="E371" s="43">
        <v>68187.490000000005</v>
      </c>
      <c r="F371" s="80" t="s">
        <v>72</v>
      </c>
      <c r="G371" s="83">
        <v>46250</v>
      </c>
      <c r="H371" s="83">
        <v>46262</v>
      </c>
      <c r="I371" s="4">
        <v>12</v>
      </c>
      <c r="J371" s="80" t="str">
        <f>TEXT(tblPayments[[#This Row],[Arrival]],"mmm")</f>
        <v>Aug</v>
      </c>
      <c r="K371" s="80">
        <f>MONTH(tblPayments[[#This Row],[Arrival]])</f>
        <v>8</v>
      </c>
      <c r="L371" s="80">
        <f>YEAR(tblPayments[[#This Row],[Arrival]])</f>
        <v>2026</v>
      </c>
      <c r="M371" s="80" t="str">
        <f>IF(tblPayments[[#This Row],[Balance]]=0,"Full Payment","Deposit")</f>
        <v>Deposit</v>
      </c>
      <c r="N371" s="43">
        <v>49086.239999999998</v>
      </c>
      <c r="O371" s="83">
        <v>45992</v>
      </c>
      <c r="P371" s="87" t="s">
        <v>2</v>
      </c>
    </row>
    <row r="372" spans="1:16" x14ac:dyDescent="0.3">
      <c r="A372" s="77" t="s">
        <v>101</v>
      </c>
      <c r="B372" s="80" t="s">
        <v>77</v>
      </c>
      <c r="C372" s="43">
        <v>29990.76</v>
      </c>
      <c r="D372" s="43"/>
      <c r="E372" s="43">
        <v>29990.76</v>
      </c>
      <c r="F372" s="80" t="s">
        <v>75</v>
      </c>
      <c r="G372" s="83">
        <v>46254</v>
      </c>
      <c r="H372" s="83">
        <v>46261</v>
      </c>
      <c r="I372" s="4">
        <v>7</v>
      </c>
      <c r="J372" s="80" t="str">
        <f>TEXT(tblPayments[[#This Row],[Arrival]],"mmm")</f>
        <v>Aug</v>
      </c>
      <c r="K372" s="80">
        <f>MONTH(tblPayments[[#This Row],[Arrival]])</f>
        <v>8</v>
      </c>
      <c r="L372" s="80">
        <f>YEAR(tblPayments[[#This Row],[Arrival]])</f>
        <v>2026</v>
      </c>
      <c r="M372" s="80" t="str">
        <f>IF(tblPayments[[#This Row],[Balance]]=0,"Full Payment","Deposit")</f>
        <v>Deposit</v>
      </c>
      <c r="N372" s="43">
        <v>19285.490000000002</v>
      </c>
      <c r="O372" s="83">
        <v>45993</v>
      </c>
      <c r="P372" s="87" t="s">
        <v>34</v>
      </c>
    </row>
    <row r="373" spans="1:16" x14ac:dyDescent="0.3">
      <c r="A373" s="77" t="s">
        <v>101</v>
      </c>
      <c r="B373" s="80" t="s">
        <v>77</v>
      </c>
      <c r="C373" s="43">
        <v>14218</v>
      </c>
      <c r="D373" s="43"/>
      <c r="E373" s="43">
        <v>14218</v>
      </c>
      <c r="F373" s="80" t="s">
        <v>75</v>
      </c>
      <c r="G373" s="83">
        <v>46262</v>
      </c>
      <c r="H373" s="83">
        <v>46269</v>
      </c>
      <c r="I373" s="4">
        <v>7</v>
      </c>
      <c r="J373" s="80" t="str">
        <f>TEXT(tblPayments[[#This Row],[Arrival]],"mmm")</f>
        <v>Aug</v>
      </c>
      <c r="K373" s="80">
        <f>MONTH(tblPayments[[#This Row],[Arrival]])</f>
        <v>8</v>
      </c>
      <c r="L373" s="80">
        <f>YEAR(tblPayments[[#This Row],[Arrival]])</f>
        <v>2026</v>
      </c>
      <c r="M373" s="80" t="str">
        <f>IF(tblPayments[[#This Row],[Balance]]=0,"Full Payment","Deposit")</f>
        <v>Deposit</v>
      </c>
      <c r="N373" s="43">
        <v>6013.98</v>
      </c>
      <c r="O373" s="83">
        <v>45928</v>
      </c>
      <c r="P373" s="87" t="s">
        <v>13</v>
      </c>
    </row>
    <row r="374" spans="1:16" x14ac:dyDescent="0.3">
      <c r="A374" s="77" t="s">
        <v>101</v>
      </c>
      <c r="B374" s="80" t="s">
        <v>77</v>
      </c>
      <c r="C374" s="43">
        <v>26703</v>
      </c>
      <c r="D374" s="43"/>
      <c r="E374" s="43">
        <v>26703</v>
      </c>
      <c r="F374" s="80" t="s">
        <v>75</v>
      </c>
      <c r="G374" s="83">
        <v>46264</v>
      </c>
      <c r="H374" s="83">
        <v>46275</v>
      </c>
      <c r="I374" s="4">
        <v>11</v>
      </c>
      <c r="J374" s="80" t="str">
        <f>TEXT(tblPayments[[#This Row],[Arrival]],"mmm")</f>
        <v>Aug</v>
      </c>
      <c r="K374" s="80">
        <f>MONTH(tblPayments[[#This Row],[Arrival]])</f>
        <v>8</v>
      </c>
      <c r="L374" s="80">
        <f>YEAR(tblPayments[[#This Row],[Arrival]])</f>
        <v>2026</v>
      </c>
      <c r="M374" s="80" t="str">
        <f>IF(tblPayments[[#This Row],[Balance]]=0,"Full Payment","Deposit")</f>
        <v>Deposit</v>
      </c>
      <c r="N374" s="43">
        <v>7132.84</v>
      </c>
      <c r="O374" s="83">
        <v>45945</v>
      </c>
      <c r="P374" s="87" t="s">
        <v>9</v>
      </c>
    </row>
    <row r="375" spans="1:16" x14ac:dyDescent="0.3">
      <c r="A375" s="77" t="s">
        <v>101</v>
      </c>
      <c r="B375" s="80" t="s">
        <v>77</v>
      </c>
      <c r="C375" s="43">
        <v>18228</v>
      </c>
      <c r="D375" s="43">
        <v>3553.91</v>
      </c>
      <c r="E375" s="43">
        <v>14674.09</v>
      </c>
      <c r="F375" s="80" t="s">
        <v>72</v>
      </c>
      <c r="G375" s="83">
        <v>46266</v>
      </c>
      <c r="H375" s="83">
        <v>46280</v>
      </c>
      <c r="I375" s="4">
        <v>14</v>
      </c>
      <c r="J375" s="80" t="str">
        <f>TEXT(tblPayments[[#This Row],[Arrival]],"mmm")</f>
        <v>Sep</v>
      </c>
      <c r="K375" s="80">
        <f>MONTH(tblPayments[[#This Row],[Arrival]])</f>
        <v>9</v>
      </c>
      <c r="L375" s="80">
        <f>YEAR(tblPayments[[#This Row],[Arrival]])</f>
        <v>2026</v>
      </c>
      <c r="M375" s="80" t="str">
        <f>IF(tblPayments[[#This Row],[Balance]]=0,"Full Payment","Deposit")</f>
        <v>Deposit</v>
      </c>
      <c r="N375" s="43">
        <v>12264.98</v>
      </c>
      <c r="O375" s="83">
        <v>44466</v>
      </c>
      <c r="P375" s="87" t="s">
        <v>13</v>
      </c>
    </row>
    <row r="376" spans="1:16" x14ac:dyDescent="0.3">
      <c r="A376" s="77" t="s">
        <v>101</v>
      </c>
      <c r="B376" s="80" t="s">
        <v>77</v>
      </c>
      <c r="C376" s="43">
        <v>60205</v>
      </c>
      <c r="D376" s="43"/>
      <c r="E376" s="43">
        <v>60205</v>
      </c>
      <c r="F376" s="80" t="s">
        <v>75</v>
      </c>
      <c r="G376" s="83">
        <v>46269</v>
      </c>
      <c r="H376" s="83">
        <v>46279</v>
      </c>
      <c r="I376" s="4">
        <v>10</v>
      </c>
      <c r="J376" s="80" t="str">
        <f>TEXT(tblPayments[[#This Row],[Arrival]],"mmm")</f>
        <v>Sep</v>
      </c>
      <c r="K376" s="80">
        <f>MONTH(tblPayments[[#This Row],[Arrival]])</f>
        <v>9</v>
      </c>
      <c r="L376" s="80">
        <f>YEAR(tblPayments[[#This Row],[Arrival]])</f>
        <v>2026</v>
      </c>
      <c r="M376" s="80" t="str">
        <f>IF(tblPayments[[#This Row],[Balance]]=0,"Full Payment","Deposit")</f>
        <v>Deposit</v>
      </c>
      <c r="N376" s="43">
        <v>0</v>
      </c>
      <c r="O376" s="83">
        <v>45974</v>
      </c>
      <c r="P376" s="87" t="s">
        <v>1</v>
      </c>
    </row>
    <row r="377" spans="1:16" x14ac:dyDescent="0.3">
      <c r="A377" s="77" t="s">
        <v>101</v>
      </c>
      <c r="B377" s="80" t="s">
        <v>77</v>
      </c>
      <c r="C377" s="43">
        <v>4555</v>
      </c>
      <c r="D377" s="43"/>
      <c r="E377" s="43">
        <v>4555</v>
      </c>
      <c r="F377" s="80" t="s">
        <v>75</v>
      </c>
      <c r="G377" s="83">
        <v>46270</v>
      </c>
      <c r="H377" s="83">
        <v>46275</v>
      </c>
      <c r="I377" s="4">
        <v>5</v>
      </c>
      <c r="J377" s="80" t="str">
        <f>TEXT(tblPayments[[#This Row],[Arrival]],"mmm")</f>
        <v>Sep</v>
      </c>
      <c r="K377" s="80">
        <f>MONTH(tblPayments[[#This Row],[Arrival]])</f>
        <v>9</v>
      </c>
      <c r="L377" s="80">
        <f>YEAR(tblPayments[[#This Row],[Arrival]])</f>
        <v>2026</v>
      </c>
      <c r="M377" s="80" t="str">
        <f>IF(tblPayments[[#This Row],[Balance]]=0,"Full Payment","Deposit")</f>
        <v>Deposit</v>
      </c>
      <c r="N377" s="43">
        <v>906.2</v>
      </c>
      <c r="O377" s="83">
        <v>45967</v>
      </c>
      <c r="P377" s="87" t="s">
        <v>5</v>
      </c>
    </row>
    <row r="378" spans="1:16" x14ac:dyDescent="0.3">
      <c r="A378" s="77" t="s">
        <v>101</v>
      </c>
      <c r="B378" s="80" t="s">
        <v>77</v>
      </c>
      <c r="C378" s="43">
        <v>52304.28</v>
      </c>
      <c r="D378" s="43"/>
      <c r="E378" s="43">
        <v>52304.28</v>
      </c>
      <c r="F378" s="80" t="s">
        <v>75</v>
      </c>
      <c r="G378" s="83">
        <v>46280</v>
      </c>
      <c r="H378" s="83">
        <v>46284</v>
      </c>
      <c r="I378" s="4">
        <v>4</v>
      </c>
      <c r="J378" s="80" t="str">
        <f>TEXT(tblPayments[[#This Row],[Arrival]],"mmm")</f>
        <v>Sep</v>
      </c>
      <c r="K378" s="80">
        <f>MONTH(tblPayments[[#This Row],[Arrival]])</f>
        <v>9</v>
      </c>
      <c r="L378" s="80">
        <f>YEAR(tblPayments[[#This Row],[Arrival]])</f>
        <v>2026</v>
      </c>
      <c r="M378" s="80" t="str">
        <f>IF(tblPayments[[#This Row],[Balance]]=0,"Full Payment","Deposit")</f>
        <v>Deposit</v>
      </c>
      <c r="N378" s="43">
        <v>22683.360000000001</v>
      </c>
      <c r="O378" s="83">
        <v>45944</v>
      </c>
      <c r="P378" s="87" t="s">
        <v>21</v>
      </c>
    </row>
    <row r="379" spans="1:16" x14ac:dyDescent="0.3">
      <c r="A379" s="77" t="s">
        <v>101</v>
      </c>
      <c r="B379" s="80" t="s">
        <v>77</v>
      </c>
      <c r="C379" s="43">
        <v>24061.38</v>
      </c>
      <c r="D379" s="43"/>
      <c r="E379" s="43">
        <v>24061.38</v>
      </c>
      <c r="F379" s="80" t="s">
        <v>75</v>
      </c>
      <c r="G379" s="83">
        <v>46282</v>
      </c>
      <c r="H379" s="83">
        <v>46291</v>
      </c>
      <c r="I379" s="4">
        <v>9</v>
      </c>
      <c r="J379" s="80" t="str">
        <f>TEXT(tblPayments[[#This Row],[Arrival]],"mmm")</f>
        <v>Sep</v>
      </c>
      <c r="K379" s="80">
        <f>MONTH(tblPayments[[#This Row],[Arrival]])</f>
        <v>9</v>
      </c>
      <c r="L379" s="80">
        <f>YEAR(tblPayments[[#This Row],[Arrival]])</f>
        <v>2026</v>
      </c>
      <c r="M379" s="80" t="str">
        <f>IF(tblPayments[[#This Row],[Balance]]=0,"Full Payment","Deposit")</f>
        <v>Deposit</v>
      </c>
      <c r="N379" s="43">
        <v>10893.51</v>
      </c>
      <c r="O379" s="83">
        <v>45952</v>
      </c>
      <c r="P379" s="87" t="s">
        <v>38</v>
      </c>
    </row>
    <row r="380" spans="1:16" x14ac:dyDescent="0.3">
      <c r="A380" s="77" t="s">
        <v>101</v>
      </c>
      <c r="B380" s="80" t="s">
        <v>77</v>
      </c>
      <c r="C380" s="43"/>
      <c r="D380" s="43"/>
      <c r="E380" s="43"/>
      <c r="F380" s="80" t="s">
        <v>73</v>
      </c>
      <c r="G380" s="83">
        <v>46283</v>
      </c>
      <c r="H380" s="83">
        <v>46285</v>
      </c>
      <c r="I380" s="4">
        <v>2</v>
      </c>
      <c r="J380" s="80" t="str">
        <f>TEXT(tblPayments[[#This Row],[Arrival]],"mmm")</f>
        <v>Sep</v>
      </c>
      <c r="K380" s="80">
        <f>MONTH(tblPayments[[#This Row],[Arrival]])</f>
        <v>9</v>
      </c>
      <c r="L380" s="80">
        <f>YEAR(tblPayments[[#This Row],[Arrival]])</f>
        <v>2026</v>
      </c>
      <c r="M380" s="80" t="str">
        <f>IF(tblPayments[[#This Row],[Balance]]=0,"Full Payment","Deposit")</f>
        <v>Full Payment</v>
      </c>
      <c r="N380" s="43">
        <v>0</v>
      </c>
      <c r="O380" s="83">
        <v>45910</v>
      </c>
      <c r="P380" s="87" t="s">
        <v>38</v>
      </c>
    </row>
    <row r="381" spans="1:16" x14ac:dyDescent="0.3">
      <c r="A381" s="77" t="s">
        <v>101</v>
      </c>
      <c r="B381" s="80" t="s">
        <v>77</v>
      </c>
      <c r="C381" s="43">
        <v>77375.33</v>
      </c>
      <c r="D381" s="43"/>
      <c r="E381" s="43">
        <v>77375.33</v>
      </c>
      <c r="F381" s="80" t="s">
        <v>75</v>
      </c>
      <c r="G381" s="83">
        <v>46285</v>
      </c>
      <c r="H381" s="83">
        <v>46300</v>
      </c>
      <c r="I381" s="4">
        <v>15</v>
      </c>
      <c r="J381" s="80" t="str">
        <f>TEXT(tblPayments[[#This Row],[Arrival]],"mmm")</f>
        <v>Sep</v>
      </c>
      <c r="K381" s="80">
        <f>MONTH(tblPayments[[#This Row],[Arrival]])</f>
        <v>9</v>
      </c>
      <c r="L381" s="80">
        <f>YEAR(tblPayments[[#This Row],[Arrival]])</f>
        <v>2026</v>
      </c>
      <c r="M381" s="80" t="str">
        <f>IF(tblPayments[[#This Row],[Balance]]=0,"Full Payment","Deposit")</f>
        <v>Deposit</v>
      </c>
      <c r="N381" s="43">
        <v>49416.15</v>
      </c>
      <c r="O381" s="83">
        <v>45814</v>
      </c>
      <c r="P381" s="87" t="s">
        <v>2</v>
      </c>
    </row>
    <row r="382" spans="1:16" x14ac:dyDescent="0.3">
      <c r="A382" s="77" t="s">
        <v>101</v>
      </c>
      <c r="B382" s="80" t="s">
        <v>77</v>
      </c>
      <c r="C382" s="43">
        <v>11999.6</v>
      </c>
      <c r="D382" s="43"/>
      <c r="E382" s="43">
        <v>11999.6</v>
      </c>
      <c r="F382" s="80" t="s">
        <v>75</v>
      </c>
      <c r="G382" s="83">
        <v>46285</v>
      </c>
      <c r="H382" s="83">
        <v>46292</v>
      </c>
      <c r="I382" s="4">
        <v>7</v>
      </c>
      <c r="J382" s="80" t="str">
        <f>TEXT(tblPayments[[#This Row],[Arrival]],"mmm")</f>
        <v>Sep</v>
      </c>
      <c r="K382" s="80">
        <f>MONTH(tblPayments[[#This Row],[Arrival]])</f>
        <v>9</v>
      </c>
      <c r="L382" s="80">
        <f>YEAR(tblPayments[[#This Row],[Arrival]])</f>
        <v>2026</v>
      </c>
      <c r="M382" s="80" t="str">
        <f>IF(tblPayments[[#This Row],[Balance]]=0,"Full Payment","Deposit")</f>
        <v>Deposit</v>
      </c>
      <c r="N382" s="43">
        <v>4562.25</v>
      </c>
      <c r="O382" s="83">
        <v>45996</v>
      </c>
      <c r="P382" s="87" t="s">
        <v>14</v>
      </c>
    </row>
    <row r="383" spans="1:16" x14ac:dyDescent="0.3">
      <c r="A383" s="77" t="s">
        <v>101</v>
      </c>
      <c r="B383" s="80" t="s">
        <v>77</v>
      </c>
      <c r="C383" s="43">
        <v>11052.74</v>
      </c>
      <c r="D383" s="43"/>
      <c r="E383" s="43">
        <v>11052.74</v>
      </c>
      <c r="F383" s="80" t="s">
        <v>75</v>
      </c>
      <c r="G383" s="83">
        <v>46285</v>
      </c>
      <c r="H383" s="83">
        <v>46288</v>
      </c>
      <c r="I383" s="4">
        <v>3</v>
      </c>
      <c r="J383" s="80" t="str">
        <f>TEXT(tblPayments[[#This Row],[Arrival]],"mmm")</f>
        <v>Sep</v>
      </c>
      <c r="K383" s="80">
        <f>MONTH(tblPayments[[#This Row],[Arrival]])</f>
        <v>9</v>
      </c>
      <c r="L383" s="80">
        <f>YEAR(tblPayments[[#This Row],[Arrival]])</f>
        <v>2026</v>
      </c>
      <c r="M383" s="80" t="str">
        <f>IF(tblPayments[[#This Row],[Balance]]=0,"Full Payment","Deposit")</f>
        <v>Deposit</v>
      </c>
      <c r="N383" s="43">
        <v>5363.04</v>
      </c>
      <c r="O383" s="83">
        <v>45893</v>
      </c>
      <c r="P383" s="87" t="s">
        <v>38</v>
      </c>
    </row>
    <row r="384" spans="1:16" x14ac:dyDescent="0.3">
      <c r="A384" s="77" t="s">
        <v>101</v>
      </c>
      <c r="B384" s="80" t="s">
        <v>77</v>
      </c>
      <c r="C384" s="43">
        <v>34325.81</v>
      </c>
      <c r="D384" s="43"/>
      <c r="E384" s="43">
        <v>34325.81</v>
      </c>
      <c r="F384" s="80" t="s">
        <v>80</v>
      </c>
      <c r="G384" s="83">
        <v>46287</v>
      </c>
      <c r="H384" s="83">
        <v>46297</v>
      </c>
      <c r="I384" s="4">
        <v>10</v>
      </c>
      <c r="J384" s="80" t="str">
        <f>TEXT(tblPayments[[#This Row],[Arrival]],"mmm")</f>
        <v>Sep</v>
      </c>
      <c r="K384" s="80">
        <f>MONTH(tblPayments[[#This Row],[Arrival]])</f>
        <v>9</v>
      </c>
      <c r="L384" s="80">
        <f>YEAR(tblPayments[[#This Row],[Arrival]])</f>
        <v>2026</v>
      </c>
      <c r="M384" s="80" t="str">
        <f>IF(tblPayments[[#This Row],[Balance]]=0,"Full Payment","Deposit")</f>
        <v>Deposit</v>
      </c>
      <c r="N384" s="43">
        <v>25019.7</v>
      </c>
      <c r="O384" s="83">
        <v>45960</v>
      </c>
      <c r="P384" s="87" t="s">
        <v>2</v>
      </c>
    </row>
    <row r="385" spans="1:16" x14ac:dyDescent="0.3">
      <c r="A385" s="77" t="s">
        <v>101</v>
      </c>
      <c r="B385" s="80" t="s">
        <v>77</v>
      </c>
      <c r="C385" s="43">
        <v>15953</v>
      </c>
      <c r="D385" s="43"/>
      <c r="E385" s="43">
        <v>15953</v>
      </c>
      <c r="F385" s="80" t="s">
        <v>75</v>
      </c>
      <c r="G385" s="83">
        <v>46292</v>
      </c>
      <c r="H385" s="83">
        <v>46299</v>
      </c>
      <c r="I385" s="4">
        <v>7</v>
      </c>
      <c r="J385" s="80" t="str">
        <f>TEXT(tblPayments[[#This Row],[Arrival]],"mmm")</f>
        <v>Sep</v>
      </c>
      <c r="K385" s="80">
        <f>MONTH(tblPayments[[#This Row],[Arrival]])</f>
        <v>9</v>
      </c>
      <c r="L385" s="80">
        <f>YEAR(tblPayments[[#This Row],[Arrival]])</f>
        <v>2026</v>
      </c>
      <c r="M385" s="80" t="str">
        <f>IF(tblPayments[[#This Row],[Balance]]=0,"Full Payment","Deposit")</f>
        <v>Deposit</v>
      </c>
      <c r="N385" s="43">
        <v>7063</v>
      </c>
      <c r="O385" s="83">
        <v>45923</v>
      </c>
      <c r="P385" s="87" t="s">
        <v>13</v>
      </c>
    </row>
    <row r="386" spans="1:16" x14ac:dyDescent="0.3">
      <c r="A386" s="77" t="s">
        <v>101</v>
      </c>
      <c r="B386" s="80" t="s">
        <v>77</v>
      </c>
      <c r="C386" s="43">
        <v>10092</v>
      </c>
      <c r="D386" s="43"/>
      <c r="E386" s="43">
        <v>10092</v>
      </c>
      <c r="F386" s="80" t="s">
        <v>75</v>
      </c>
      <c r="G386" s="83">
        <v>46297</v>
      </c>
      <c r="H386" s="83">
        <v>46301</v>
      </c>
      <c r="I386" s="4">
        <v>4</v>
      </c>
      <c r="J386" s="80" t="str">
        <f>TEXT(tblPayments[[#This Row],[Arrival]],"mmm")</f>
        <v>Oct</v>
      </c>
      <c r="K386" s="80">
        <f>MONTH(tblPayments[[#This Row],[Arrival]])</f>
        <v>10</v>
      </c>
      <c r="L386" s="80">
        <f>YEAR(tblPayments[[#This Row],[Arrival]])</f>
        <v>2026</v>
      </c>
      <c r="M386" s="80" t="str">
        <f>IF(tblPayments[[#This Row],[Balance]]=0,"Full Payment","Deposit")</f>
        <v>Deposit</v>
      </c>
      <c r="N386" s="43">
        <v>4599.84</v>
      </c>
      <c r="O386" s="83">
        <v>45948</v>
      </c>
      <c r="P386" s="87" t="s">
        <v>38</v>
      </c>
    </row>
    <row r="387" spans="1:16" x14ac:dyDescent="0.3">
      <c r="A387" s="77" t="s">
        <v>101</v>
      </c>
      <c r="B387" s="80" t="s">
        <v>77</v>
      </c>
      <c r="C387" s="43"/>
      <c r="D387" s="43"/>
      <c r="E387" s="43"/>
      <c r="F387" s="80" t="s">
        <v>74</v>
      </c>
      <c r="G387" s="83">
        <v>46299</v>
      </c>
      <c r="H387" s="83">
        <v>46313</v>
      </c>
      <c r="I387" s="4">
        <v>14</v>
      </c>
      <c r="J387" s="80" t="str">
        <f>TEXT(tblPayments[[#This Row],[Arrival]],"mmm")</f>
        <v>Oct</v>
      </c>
      <c r="K387" s="80">
        <f>MONTH(tblPayments[[#This Row],[Arrival]])</f>
        <v>10</v>
      </c>
      <c r="L387" s="80">
        <f>YEAR(tblPayments[[#This Row],[Arrival]])</f>
        <v>2026</v>
      </c>
      <c r="M387" s="80" t="str">
        <f>IF(tblPayments[[#This Row],[Balance]]=0,"Full Payment","Deposit")</f>
        <v>Full Payment</v>
      </c>
      <c r="N387" s="43">
        <v>74514.44</v>
      </c>
      <c r="O387" s="83"/>
      <c r="P387" s="87"/>
    </row>
    <row r="388" spans="1:16" x14ac:dyDescent="0.3">
      <c r="A388" s="77" t="s">
        <v>101</v>
      </c>
      <c r="B388" s="80" t="s">
        <v>77</v>
      </c>
      <c r="C388" s="43"/>
      <c r="D388" s="43"/>
      <c r="E388" s="43"/>
      <c r="F388" s="80" t="s">
        <v>73</v>
      </c>
      <c r="G388" s="83">
        <v>46305</v>
      </c>
      <c r="H388" s="83">
        <v>46341</v>
      </c>
      <c r="I388" s="4">
        <v>36</v>
      </c>
      <c r="J388" s="80" t="str">
        <f>TEXT(tblPayments[[#This Row],[Arrival]],"mmm")</f>
        <v>Oct</v>
      </c>
      <c r="K388" s="80">
        <f>MONTH(tblPayments[[#This Row],[Arrival]])</f>
        <v>10</v>
      </c>
      <c r="L388" s="80">
        <f>YEAR(tblPayments[[#This Row],[Arrival]])</f>
        <v>2026</v>
      </c>
      <c r="M388" s="80" t="str">
        <f>IF(tblPayments[[#This Row],[Balance]]=0,"Full Payment","Deposit")</f>
        <v>Full Payment</v>
      </c>
      <c r="N388" s="43">
        <v>0</v>
      </c>
      <c r="O388" s="83">
        <v>45961</v>
      </c>
      <c r="P388" s="87" t="s">
        <v>13</v>
      </c>
    </row>
    <row r="389" spans="1:16" x14ac:dyDescent="0.3">
      <c r="A389" s="77" t="s">
        <v>101</v>
      </c>
      <c r="B389" s="80" t="s">
        <v>77</v>
      </c>
      <c r="C389" s="43">
        <v>15250</v>
      </c>
      <c r="D389" s="43"/>
      <c r="E389" s="43">
        <v>15250</v>
      </c>
      <c r="F389" s="80" t="s">
        <v>75</v>
      </c>
      <c r="G389" s="83">
        <v>46307</v>
      </c>
      <c r="H389" s="83">
        <v>46314</v>
      </c>
      <c r="I389" s="4">
        <v>7</v>
      </c>
      <c r="J389" s="80" t="str">
        <f>TEXT(tblPayments[[#This Row],[Arrival]],"mmm")</f>
        <v>Oct</v>
      </c>
      <c r="K389" s="80">
        <f>MONTH(tblPayments[[#This Row],[Arrival]])</f>
        <v>10</v>
      </c>
      <c r="L389" s="80">
        <f>YEAR(tblPayments[[#This Row],[Arrival]])</f>
        <v>2026</v>
      </c>
      <c r="M389" s="80" t="str">
        <f>IF(tblPayments[[#This Row],[Balance]]=0,"Full Payment","Deposit")</f>
        <v>Deposit</v>
      </c>
      <c r="N389" s="43">
        <v>3064.46</v>
      </c>
      <c r="O389" s="83">
        <v>45946</v>
      </c>
      <c r="P389" s="87" t="s">
        <v>24</v>
      </c>
    </row>
    <row r="390" spans="1:16" x14ac:dyDescent="0.3">
      <c r="A390" s="77" t="s">
        <v>101</v>
      </c>
      <c r="B390" s="80" t="s">
        <v>76</v>
      </c>
      <c r="C390" s="43">
        <v>45487.54</v>
      </c>
      <c r="D390" s="43">
        <v>11371.88</v>
      </c>
      <c r="E390" s="43">
        <v>34115.660000000003</v>
      </c>
      <c r="F390" s="80" t="s">
        <v>72</v>
      </c>
      <c r="G390" s="83">
        <v>46313</v>
      </c>
      <c r="H390" s="83">
        <v>46319</v>
      </c>
      <c r="I390" s="4">
        <v>6</v>
      </c>
      <c r="J390" s="80" t="str">
        <f>TEXT(tblPayments[[#This Row],[Arrival]],"mmm")</f>
        <v>Oct</v>
      </c>
      <c r="K390" s="80">
        <f>MONTH(tblPayments[[#This Row],[Arrival]])</f>
        <v>10</v>
      </c>
      <c r="L390" s="80">
        <f>YEAR(tblPayments[[#This Row],[Arrival]])</f>
        <v>2026</v>
      </c>
      <c r="M390" s="80" t="str">
        <f>IF(tblPayments[[#This Row],[Balance]]=0,"Full Payment","Deposit")</f>
        <v>Deposit</v>
      </c>
      <c r="N390" s="43">
        <v>27289.8</v>
      </c>
      <c r="O390" s="83">
        <v>45985</v>
      </c>
      <c r="P390" s="87" t="s">
        <v>13</v>
      </c>
    </row>
    <row r="391" spans="1:16" x14ac:dyDescent="0.3">
      <c r="A391" s="77" t="s">
        <v>101</v>
      </c>
      <c r="B391" s="80" t="s">
        <v>76</v>
      </c>
      <c r="C391" s="43">
        <v>133624</v>
      </c>
      <c r="D391" s="43">
        <v>33406</v>
      </c>
      <c r="E391" s="43">
        <v>100218</v>
      </c>
      <c r="F391" s="80" t="s">
        <v>72</v>
      </c>
      <c r="G391" s="83">
        <v>46313</v>
      </c>
      <c r="H391" s="83">
        <v>46324</v>
      </c>
      <c r="I391" s="4">
        <v>11</v>
      </c>
      <c r="J391" s="80" t="str">
        <f>TEXT(tblPayments[[#This Row],[Arrival]],"mmm")</f>
        <v>Oct</v>
      </c>
      <c r="K391" s="80">
        <f>MONTH(tblPayments[[#This Row],[Arrival]])</f>
        <v>10</v>
      </c>
      <c r="L391" s="80">
        <f>YEAR(tblPayments[[#This Row],[Arrival]])</f>
        <v>2026</v>
      </c>
      <c r="M391" s="80" t="str">
        <f>IF(tblPayments[[#This Row],[Balance]]=0,"Full Payment","Deposit")</f>
        <v>Deposit</v>
      </c>
      <c r="N391" s="43">
        <v>68671.240000000005</v>
      </c>
      <c r="O391" s="83">
        <v>45904</v>
      </c>
      <c r="P391" s="87" t="s">
        <v>13</v>
      </c>
    </row>
    <row r="392" spans="1:16" x14ac:dyDescent="0.3">
      <c r="A392" s="77" t="s">
        <v>101</v>
      </c>
      <c r="B392" s="80" t="s">
        <v>76</v>
      </c>
      <c r="C392" s="43">
        <v>41000</v>
      </c>
      <c r="D392" s="43">
        <v>4100</v>
      </c>
      <c r="E392" s="43">
        <v>36900</v>
      </c>
      <c r="F392" s="80" t="s">
        <v>72</v>
      </c>
      <c r="G392" s="83">
        <v>46313</v>
      </c>
      <c r="H392" s="83">
        <v>46327</v>
      </c>
      <c r="I392" s="4">
        <v>14</v>
      </c>
      <c r="J392" s="80" t="str">
        <f>TEXT(tblPayments[[#This Row],[Arrival]],"mmm")</f>
        <v>Oct</v>
      </c>
      <c r="K392" s="80">
        <f>MONTH(tblPayments[[#This Row],[Arrival]])</f>
        <v>10</v>
      </c>
      <c r="L392" s="80">
        <f>YEAR(tblPayments[[#This Row],[Arrival]])</f>
        <v>2026</v>
      </c>
      <c r="M392" s="80" t="str">
        <f>IF(tblPayments[[#This Row],[Balance]]=0,"Full Payment","Deposit")</f>
        <v>Deposit</v>
      </c>
      <c r="N392" s="43">
        <v>24474.18</v>
      </c>
      <c r="O392" s="83">
        <v>45701</v>
      </c>
      <c r="P392" s="87" t="s">
        <v>12</v>
      </c>
    </row>
    <row r="393" spans="1:16" x14ac:dyDescent="0.3">
      <c r="A393" s="77" t="s">
        <v>101</v>
      </c>
      <c r="B393" s="80" t="s">
        <v>76</v>
      </c>
      <c r="C393" s="43"/>
      <c r="D393" s="43"/>
      <c r="E393" s="43"/>
      <c r="F393" s="80" t="s">
        <v>73</v>
      </c>
      <c r="G393" s="83">
        <v>46327</v>
      </c>
      <c r="H393" s="83">
        <v>46329</v>
      </c>
      <c r="I393" s="4">
        <v>2</v>
      </c>
      <c r="J393" s="80" t="str">
        <f>TEXT(tblPayments[[#This Row],[Arrival]],"mmm")</f>
        <v>Nov</v>
      </c>
      <c r="K393" s="80">
        <f>MONTH(tblPayments[[#This Row],[Arrival]])</f>
        <v>11</v>
      </c>
      <c r="L393" s="80">
        <f>YEAR(tblPayments[[#This Row],[Arrival]])</f>
        <v>2026</v>
      </c>
      <c r="M393" s="80" t="str">
        <f>IF(tblPayments[[#This Row],[Balance]]=0,"Full Payment","Deposit")</f>
        <v>Full Payment</v>
      </c>
      <c r="N393" s="43">
        <v>0</v>
      </c>
      <c r="O393" s="83">
        <v>45915</v>
      </c>
      <c r="P393" s="87" t="s">
        <v>6</v>
      </c>
    </row>
    <row r="394" spans="1:16" x14ac:dyDescent="0.3">
      <c r="A394" s="77" t="s">
        <v>101</v>
      </c>
      <c r="B394" s="80" t="s">
        <v>77</v>
      </c>
      <c r="C394" s="43">
        <v>39048.589999999997</v>
      </c>
      <c r="D394" s="43"/>
      <c r="E394" s="43">
        <v>39048.589999999997</v>
      </c>
      <c r="F394" s="80" t="s">
        <v>75</v>
      </c>
      <c r="G394" s="83">
        <v>46330</v>
      </c>
      <c r="H394" s="83">
        <v>46342</v>
      </c>
      <c r="I394" s="4">
        <v>12</v>
      </c>
      <c r="J394" s="80" t="str">
        <f>TEXT(tblPayments[[#This Row],[Arrival]],"mmm")</f>
        <v>Nov</v>
      </c>
      <c r="K394" s="80">
        <f>MONTH(tblPayments[[#This Row],[Arrival]])</f>
        <v>11</v>
      </c>
      <c r="L394" s="80">
        <f>YEAR(tblPayments[[#This Row],[Arrival]])</f>
        <v>2026</v>
      </c>
      <c r="M394" s="80" t="str">
        <f>IF(tblPayments[[#This Row],[Balance]]=0,"Full Payment","Deposit")</f>
        <v>Deposit</v>
      </c>
      <c r="N394" s="43">
        <v>26404.560000000001</v>
      </c>
      <c r="O394" s="83">
        <v>46001</v>
      </c>
      <c r="P394" s="87" t="s">
        <v>26</v>
      </c>
    </row>
    <row r="395" spans="1:16" x14ac:dyDescent="0.3">
      <c r="A395" s="77" t="s">
        <v>101</v>
      </c>
      <c r="B395" s="80" t="s">
        <v>77</v>
      </c>
      <c r="C395" s="43">
        <v>46963.34</v>
      </c>
      <c r="D395" s="43"/>
      <c r="E395" s="43">
        <v>46963.34</v>
      </c>
      <c r="F395" s="80" t="s">
        <v>75</v>
      </c>
      <c r="G395" s="83">
        <v>46334</v>
      </c>
      <c r="H395" s="83">
        <v>46352</v>
      </c>
      <c r="I395" s="4">
        <v>18</v>
      </c>
      <c r="J395" s="80" t="str">
        <f>TEXT(tblPayments[[#This Row],[Arrival]],"mmm")</f>
        <v>Nov</v>
      </c>
      <c r="K395" s="80">
        <f>MONTH(tblPayments[[#This Row],[Arrival]])</f>
        <v>11</v>
      </c>
      <c r="L395" s="80">
        <f>YEAR(tblPayments[[#This Row],[Arrival]])</f>
        <v>2026</v>
      </c>
      <c r="M395" s="80" t="str">
        <f>IF(tblPayments[[#This Row],[Balance]]=0,"Full Payment","Deposit")</f>
        <v>Deposit</v>
      </c>
      <c r="N395" s="43">
        <v>24871.32</v>
      </c>
      <c r="O395" s="83">
        <v>45989</v>
      </c>
      <c r="P395" s="87" t="s">
        <v>17</v>
      </c>
    </row>
    <row r="396" spans="1:16" x14ac:dyDescent="0.3">
      <c r="A396" s="77" t="s">
        <v>101</v>
      </c>
      <c r="B396" s="80" t="s">
        <v>77</v>
      </c>
      <c r="C396" s="43">
        <v>47206</v>
      </c>
      <c r="D396" s="43"/>
      <c r="E396" s="43">
        <v>47206</v>
      </c>
      <c r="F396" s="80" t="s">
        <v>75</v>
      </c>
      <c r="G396" s="83">
        <v>46338</v>
      </c>
      <c r="H396" s="83">
        <v>46348</v>
      </c>
      <c r="I396" s="4">
        <v>10</v>
      </c>
      <c r="J396" s="80" t="str">
        <f>TEXT(tblPayments[[#This Row],[Arrival]],"mmm")</f>
        <v>Nov</v>
      </c>
      <c r="K396" s="80">
        <f>MONTH(tblPayments[[#This Row],[Arrival]])</f>
        <v>11</v>
      </c>
      <c r="L396" s="80">
        <f>YEAR(tblPayments[[#This Row],[Arrival]])</f>
        <v>2026</v>
      </c>
      <c r="M396" s="80" t="str">
        <f>IF(tblPayments[[#This Row],[Balance]]=0,"Full Payment","Deposit")</f>
        <v>Deposit</v>
      </c>
      <c r="N396" s="43">
        <v>27065</v>
      </c>
      <c r="O396" s="83">
        <v>45995</v>
      </c>
      <c r="P396" s="87" t="s">
        <v>2</v>
      </c>
    </row>
    <row r="397" spans="1:16" x14ac:dyDescent="0.3">
      <c r="A397" s="77" t="s">
        <v>101</v>
      </c>
      <c r="B397" s="80" t="s">
        <v>77</v>
      </c>
      <c r="C397" s="43">
        <v>36163.879999999997</v>
      </c>
      <c r="D397" s="43">
        <v>9040.9699999999993</v>
      </c>
      <c r="E397" s="43">
        <v>27122.91</v>
      </c>
      <c r="F397" s="80" t="s">
        <v>72</v>
      </c>
      <c r="G397" s="83">
        <v>46341</v>
      </c>
      <c r="H397" s="83">
        <v>46355</v>
      </c>
      <c r="I397" s="4">
        <v>14</v>
      </c>
      <c r="J397" s="80" t="str">
        <f>TEXT(tblPayments[[#This Row],[Arrival]],"mmm")</f>
        <v>Nov</v>
      </c>
      <c r="K397" s="80">
        <f>MONTH(tblPayments[[#This Row],[Arrival]])</f>
        <v>11</v>
      </c>
      <c r="L397" s="80">
        <f>YEAR(tblPayments[[#This Row],[Arrival]])</f>
        <v>2026</v>
      </c>
      <c r="M397" s="80" t="str">
        <f>IF(tblPayments[[#This Row],[Balance]]=0,"Full Payment","Deposit")</f>
        <v>Deposit</v>
      </c>
      <c r="N397" s="43">
        <v>18626.3</v>
      </c>
      <c r="O397" s="83">
        <v>45991</v>
      </c>
      <c r="P397" s="87" t="s">
        <v>13</v>
      </c>
    </row>
    <row r="398" spans="1:16" x14ac:dyDescent="0.3">
      <c r="A398" s="77" t="s">
        <v>101</v>
      </c>
      <c r="B398" s="80" t="s">
        <v>77</v>
      </c>
      <c r="C398" s="43">
        <v>35816.25</v>
      </c>
      <c r="D398" s="43"/>
      <c r="E398" s="43">
        <v>35816.25</v>
      </c>
      <c r="F398" s="80" t="s">
        <v>75</v>
      </c>
      <c r="G398" s="83">
        <v>46344</v>
      </c>
      <c r="H398" s="83">
        <v>46369</v>
      </c>
      <c r="I398" s="4">
        <v>25</v>
      </c>
      <c r="J398" s="80" t="str">
        <f>TEXT(tblPayments[[#This Row],[Arrival]],"mmm")</f>
        <v>Nov</v>
      </c>
      <c r="K398" s="80">
        <f>MONTH(tblPayments[[#This Row],[Arrival]])</f>
        <v>11</v>
      </c>
      <c r="L398" s="80">
        <f>YEAR(tblPayments[[#This Row],[Arrival]])</f>
        <v>2026</v>
      </c>
      <c r="M398" s="80" t="str">
        <f>IF(tblPayments[[#This Row],[Balance]]=0,"Full Payment","Deposit")</f>
        <v>Deposit</v>
      </c>
      <c r="N398" s="43">
        <v>0</v>
      </c>
      <c r="O398" s="83">
        <v>45677</v>
      </c>
      <c r="P398" s="87" t="s">
        <v>17</v>
      </c>
    </row>
    <row r="399" spans="1:16" x14ac:dyDescent="0.3">
      <c r="A399" s="77" t="s">
        <v>101</v>
      </c>
      <c r="B399" s="80" t="s">
        <v>77</v>
      </c>
      <c r="C399" s="43">
        <v>139600</v>
      </c>
      <c r="D399" s="43">
        <v>27500</v>
      </c>
      <c r="E399" s="43">
        <v>112100</v>
      </c>
      <c r="F399" s="80" t="s">
        <v>72</v>
      </c>
      <c r="G399" s="83">
        <v>46347</v>
      </c>
      <c r="H399" s="83">
        <v>46357</v>
      </c>
      <c r="I399" s="4">
        <v>10</v>
      </c>
      <c r="J399" s="80" t="str">
        <f>TEXT(tblPayments[[#This Row],[Arrival]],"mmm")</f>
        <v>Nov</v>
      </c>
      <c r="K399" s="80">
        <f>MONTH(tblPayments[[#This Row],[Arrival]])</f>
        <v>11</v>
      </c>
      <c r="L399" s="80">
        <f>YEAR(tblPayments[[#This Row],[Arrival]])</f>
        <v>2026</v>
      </c>
      <c r="M399" s="80" t="str">
        <f>IF(tblPayments[[#This Row],[Balance]]=0,"Full Payment","Deposit")</f>
        <v>Deposit</v>
      </c>
      <c r="N399" s="43">
        <v>29658.1</v>
      </c>
      <c r="O399" s="83">
        <v>45932</v>
      </c>
      <c r="P399" s="87" t="s">
        <v>15</v>
      </c>
    </row>
    <row r="400" spans="1:16" x14ac:dyDescent="0.3">
      <c r="A400" s="77" t="s">
        <v>101</v>
      </c>
      <c r="B400" s="80" t="s">
        <v>77</v>
      </c>
      <c r="C400" s="43">
        <v>69190</v>
      </c>
      <c r="D400" s="43"/>
      <c r="E400" s="43">
        <v>69190</v>
      </c>
      <c r="F400" s="80" t="s">
        <v>75</v>
      </c>
      <c r="G400" s="83">
        <v>46358</v>
      </c>
      <c r="H400" s="83">
        <v>46368</v>
      </c>
      <c r="I400" s="4">
        <v>10</v>
      </c>
      <c r="J400" s="80" t="str">
        <f>TEXT(tblPayments[[#This Row],[Arrival]],"mmm")</f>
        <v>Dec</v>
      </c>
      <c r="K400" s="80">
        <f>MONTH(tblPayments[[#This Row],[Arrival]])</f>
        <v>12</v>
      </c>
      <c r="L400" s="80">
        <f>YEAR(tblPayments[[#This Row],[Arrival]])</f>
        <v>2026</v>
      </c>
      <c r="M400" s="80" t="str">
        <f>IF(tblPayments[[#This Row],[Balance]]=0,"Full Payment","Deposit")</f>
        <v>Deposit</v>
      </c>
      <c r="N400" s="43">
        <v>0</v>
      </c>
      <c r="O400" s="83">
        <v>45930</v>
      </c>
      <c r="P400" s="87" t="s">
        <v>2</v>
      </c>
    </row>
    <row r="401" spans="1:16" x14ac:dyDescent="0.3">
      <c r="A401" s="77" t="s">
        <v>101</v>
      </c>
      <c r="B401" s="80" t="s">
        <v>77</v>
      </c>
      <c r="C401" s="43">
        <v>40829.300000000003</v>
      </c>
      <c r="D401" s="43"/>
      <c r="E401" s="43">
        <v>40829.300000000003</v>
      </c>
      <c r="F401" s="80" t="s">
        <v>75</v>
      </c>
      <c r="G401" s="83">
        <v>46359</v>
      </c>
      <c r="H401" s="83">
        <v>46363</v>
      </c>
      <c r="I401" s="4">
        <v>4</v>
      </c>
      <c r="J401" s="80" t="str">
        <f>TEXT(tblPayments[[#This Row],[Arrival]],"mmm")</f>
        <v>Dec</v>
      </c>
      <c r="K401" s="80">
        <f>MONTH(tblPayments[[#This Row],[Arrival]])</f>
        <v>12</v>
      </c>
      <c r="L401" s="80">
        <f>YEAR(tblPayments[[#This Row],[Arrival]])</f>
        <v>2026</v>
      </c>
      <c r="M401" s="80" t="str">
        <f>IF(tblPayments[[#This Row],[Balance]]=0,"Full Payment","Deposit")</f>
        <v>Deposit</v>
      </c>
      <c r="N401" s="43">
        <v>0</v>
      </c>
      <c r="O401" s="83">
        <v>45533</v>
      </c>
      <c r="P401" s="87" t="s">
        <v>15</v>
      </c>
    </row>
    <row r="402" spans="1:16" x14ac:dyDescent="0.3">
      <c r="A402" s="77" t="s">
        <v>101</v>
      </c>
      <c r="B402" s="80" t="s">
        <v>77</v>
      </c>
      <c r="C402" s="43">
        <v>40829.300000000003</v>
      </c>
      <c r="D402" s="43"/>
      <c r="E402" s="43">
        <v>40829.300000000003</v>
      </c>
      <c r="F402" s="80" t="s">
        <v>75</v>
      </c>
      <c r="G402" s="83">
        <v>46366</v>
      </c>
      <c r="H402" s="83">
        <v>46371</v>
      </c>
      <c r="I402" s="4">
        <v>5</v>
      </c>
      <c r="J402" s="80" t="str">
        <f>TEXT(tblPayments[[#This Row],[Arrival]],"mmm")</f>
        <v>Dec</v>
      </c>
      <c r="K402" s="80">
        <f>MONTH(tblPayments[[#This Row],[Arrival]])</f>
        <v>12</v>
      </c>
      <c r="L402" s="80">
        <f>YEAR(tblPayments[[#This Row],[Arrival]])</f>
        <v>2026</v>
      </c>
      <c r="M402" s="80" t="str">
        <f>IF(tblPayments[[#This Row],[Balance]]=0,"Full Payment","Deposit")</f>
        <v>Deposit</v>
      </c>
      <c r="N402" s="43">
        <v>26451.3</v>
      </c>
      <c r="O402" s="83">
        <v>45972</v>
      </c>
      <c r="P402" s="87" t="s">
        <v>2</v>
      </c>
    </row>
    <row r="403" spans="1:16" x14ac:dyDescent="0.3">
      <c r="A403" s="77" t="s">
        <v>101</v>
      </c>
      <c r="B403" s="80" t="s">
        <v>77</v>
      </c>
      <c r="C403" s="43">
        <v>195732</v>
      </c>
      <c r="D403" s="43">
        <v>48933</v>
      </c>
      <c r="E403" s="43">
        <v>146799</v>
      </c>
      <c r="F403" s="80" t="s">
        <v>72</v>
      </c>
      <c r="G403" s="83">
        <v>46374</v>
      </c>
      <c r="H403" s="83">
        <v>46384</v>
      </c>
      <c r="I403" s="4">
        <v>10</v>
      </c>
      <c r="J403" s="80" t="str">
        <f>TEXT(tblPayments[[#This Row],[Arrival]],"mmm")</f>
        <v>Dec</v>
      </c>
      <c r="K403" s="80">
        <f>MONTH(tblPayments[[#This Row],[Arrival]])</f>
        <v>12</v>
      </c>
      <c r="L403" s="80">
        <f>YEAR(tblPayments[[#This Row],[Arrival]])</f>
        <v>2026</v>
      </c>
      <c r="M403" s="80" t="str">
        <f>IF(tblPayments[[#This Row],[Balance]]=0,"Full Payment","Deposit")</f>
        <v>Deposit</v>
      </c>
      <c r="N403" s="43">
        <v>130130.78</v>
      </c>
      <c r="O403" s="83">
        <v>45981</v>
      </c>
      <c r="P403" s="87" t="s">
        <v>2</v>
      </c>
    </row>
    <row r="404" spans="1:16" x14ac:dyDescent="0.3">
      <c r="A404" s="77" t="s">
        <v>101</v>
      </c>
      <c r="B404" s="80" t="s">
        <v>77</v>
      </c>
      <c r="C404" s="43"/>
      <c r="D404" s="43"/>
      <c r="E404" s="43"/>
      <c r="F404" s="80" t="s">
        <v>73</v>
      </c>
      <c r="G404" s="83">
        <v>46376</v>
      </c>
      <c r="H404" s="83">
        <v>46396</v>
      </c>
      <c r="I404" s="4">
        <v>20</v>
      </c>
      <c r="J404" s="80" t="str">
        <f>TEXT(tblPayments[[#This Row],[Arrival]],"mmm")</f>
        <v>Dec</v>
      </c>
      <c r="K404" s="80">
        <f>MONTH(tblPayments[[#This Row],[Arrival]])</f>
        <v>12</v>
      </c>
      <c r="L404" s="80">
        <f>YEAR(tblPayments[[#This Row],[Arrival]])</f>
        <v>2026</v>
      </c>
      <c r="M404" s="80" t="str">
        <f>IF(tblPayments[[#This Row],[Balance]]=0,"Full Payment","Deposit")</f>
        <v>Full Payment</v>
      </c>
      <c r="N404" s="43">
        <v>0</v>
      </c>
      <c r="O404" s="83">
        <v>45876</v>
      </c>
      <c r="P404" s="87" t="s">
        <v>24</v>
      </c>
    </row>
    <row r="405" spans="1:16" x14ac:dyDescent="0.3">
      <c r="A405" s="77" t="s">
        <v>101</v>
      </c>
      <c r="B405" s="80" t="s">
        <v>76</v>
      </c>
      <c r="C405" s="43">
        <v>321650</v>
      </c>
      <c r="D405" s="43">
        <v>166662.98000000001</v>
      </c>
      <c r="E405" s="43">
        <v>154987.01999999999</v>
      </c>
      <c r="F405" s="80" t="s">
        <v>72</v>
      </c>
      <c r="G405" s="83">
        <v>46376</v>
      </c>
      <c r="H405" s="83">
        <v>46391</v>
      </c>
      <c r="I405" s="4">
        <v>15</v>
      </c>
      <c r="J405" s="80" t="str">
        <f>TEXT(tblPayments[[#This Row],[Arrival]],"mmm")</f>
        <v>Dec</v>
      </c>
      <c r="K405" s="80">
        <f>MONTH(tblPayments[[#This Row],[Arrival]])</f>
        <v>12</v>
      </c>
      <c r="L405" s="80">
        <f>YEAR(tblPayments[[#This Row],[Arrival]])</f>
        <v>2026</v>
      </c>
      <c r="M405" s="80" t="str">
        <f>IF(tblPayments[[#This Row],[Balance]]=0,"Full Payment","Deposit")</f>
        <v>Deposit</v>
      </c>
      <c r="N405" s="43">
        <v>212683.2</v>
      </c>
      <c r="O405" s="83">
        <v>45709</v>
      </c>
      <c r="P405" s="87" t="s">
        <v>17</v>
      </c>
    </row>
    <row r="406" spans="1:16" x14ac:dyDescent="0.3">
      <c r="A406" s="77"/>
      <c r="B406" s="80"/>
      <c r="C406" s="43"/>
      <c r="D406" s="43"/>
      <c r="E406" s="43"/>
      <c r="F406" s="80"/>
      <c r="G406" s="83"/>
      <c r="H406" s="83"/>
      <c r="I406" s="4"/>
      <c r="J406" s="80" t="str">
        <f>TEXT(tblPayments[[#This Row],[Arrival]],"mmm")</f>
        <v>Jan</v>
      </c>
      <c r="K406" s="80">
        <f>MONTH(tblPayments[[#This Row],[Arrival]])</f>
        <v>1</v>
      </c>
      <c r="L406" s="80">
        <f>YEAR(tblPayments[[#This Row],[Arrival]])</f>
        <v>1900</v>
      </c>
      <c r="M406" s="80" t="str">
        <f>IF(tblPayments[[#This Row],[Balance]]=0,"Full Payment","Deposit")</f>
        <v>Full Payment</v>
      </c>
      <c r="N406" s="43"/>
      <c r="O406" s="83"/>
      <c r="P406" s="87"/>
    </row>
    <row r="407" spans="1:16" x14ac:dyDescent="0.3">
      <c r="A407" s="77"/>
      <c r="B407" s="80"/>
      <c r="C407" s="43"/>
      <c r="D407" s="43"/>
      <c r="E407" s="43"/>
      <c r="F407" s="80"/>
      <c r="G407" s="83"/>
      <c r="H407" s="83"/>
      <c r="I407" s="4"/>
      <c r="J407" s="80" t="str">
        <f>TEXT(tblPayments[[#This Row],[Arrival]],"mmm")</f>
        <v>Jan</v>
      </c>
      <c r="K407" s="80">
        <f>MONTH(tblPayments[[#This Row],[Arrival]])</f>
        <v>1</v>
      </c>
      <c r="L407" s="80">
        <f>YEAR(tblPayments[[#This Row],[Arrival]])</f>
        <v>1900</v>
      </c>
      <c r="M407" s="80" t="str">
        <f>IF(tblPayments[[#This Row],[Balance]]=0,"Full Payment","Deposit")</f>
        <v>Full Payment</v>
      </c>
      <c r="N407" s="43"/>
      <c r="O407" s="83"/>
      <c r="P407" s="87"/>
    </row>
    <row r="408" spans="1:16" x14ac:dyDescent="0.3">
      <c r="A408" s="77"/>
      <c r="B408" s="80"/>
      <c r="C408" s="43"/>
      <c r="D408" s="43"/>
      <c r="E408" s="43"/>
      <c r="F408" s="80"/>
      <c r="G408" s="83"/>
      <c r="H408" s="83"/>
      <c r="I408" s="4"/>
      <c r="J408" s="80" t="str">
        <f>TEXT(tblPayments[[#This Row],[Arrival]],"mmm")</f>
        <v>Jan</v>
      </c>
      <c r="K408" s="80">
        <f>MONTH(tblPayments[[#This Row],[Arrival]])</f>
        <v>1</v>
      </c>
      <c r="L408" s="80">
        <f>YEAR(tblPayments[[#This Row],[Arrival]])</f>
        <v>1900</v>
      </c>
      <c r="M408" s="80" t="str">
        <f>IF(tblPayments[[#This Row],[Balance]]=0,"Full Payment","Deposit")</f>
        <v>Full Payment</v>
      </c>
      <c r="N408" s="43"/>
      <c r="O408" s="83"/>
      <c r="P408" s="87"/>
    </row>
    <row r="409" spans="1:16" x14ac:dyDescent="0.3">
      <c r="A409" s="77"/>
      <c r="B409" s="80"/>
      <c r="C409" s="43"/>
      <c r="D409" s="43"/>
      <c r="E409" s="43"/>
      <c r="F409" s="80"/>
      <c r="G409" s="83"/>
      <c r="H409" s="83"/>
      <c r="I409" s="4"/>
      <c r="J409" s="80" t="str">
        <f>TEXT(tblPayments[[#This Row],[Arrival]],"mmm")</f>
        <v>Jan</v>
      </c>
      <c r="K409" s="80">
        <f>MONTH(tblPayments[[#This Row],[Arrival]])</f>
        <v>1</v>
      </c>
      <c r="L409" s="80">
        <f>YEAR(tblPayments[[#This Row],[Arrival]])</f>
        <v>1900</v>
      </c>
      <c r="M409" s="80" t="str">
        <f>IF(tblPayments[[#This Row],[Balance]]=0,"Full Payment","Deposit")</f>
        <v>Full Payment</v>
      </c>
      <c r="N409" s="43"/>
      <c r="O409" s="83"/>
      <c r="P409" s="87"/>
    </row>
    <row r="410" spans="1:16" x14ac:dyDescent="0.3">
      <c r="A410" s="77"/>
      <c r="B410" s="80"/>
      <c r="C410" s="43"/>
      <c r="D410" s="43"/>
      <c r="E410" s="43"/>
      <c r="F410" s="80"/>
      <c r="G410" s="83"/>
      <c r="H410" s="83"/>
      <c r="I410" s="4"/>
      <c r="J410" s="80" t="str">
        <f>TEXT(tblPayments[[#This Row],[Arrival]],"mmm")</f>
        <v>Jan</v>
      </c>
      <c r="K410" s="80">
        <f>MONTH(tblPayments[[#This Row],[Arrival]])</f>
        <v>1</v>
      </c>
      <c r="L410" s="80">
        <f>YEAR(tblPayments[[#This Row],[Arrival]])</f>
        <v>1900</v>
      </c>
      <c r="M410" s="80" t="str">
        <f>IF(tblPayments[[#This Row],[Balance]]=0,"Full Payment","Deposit")</f>
        <v>Full Payment</v>
      </c>
      <c r="N410" s="43"/>
      <c r="O410" s="83"/>
      <c r="P410" s="87"/>
    </row>
    <row r="411" spans="1:16" x14ac:dyDescent="0.3">
      <c r="A411" s="77"/>
      <c r="B411" s="80"/>
      <c r="C411" s="43"/>
      <c r="D411" s="43"/>
      <c r="E411" s="43"/>
      <c r="F411" s="80"/>
      <c r="G411" s="83"/>
      <c r="H411" s="83"/>
      <c r="I411" s="4"/>
      <c r="J411" s="80" t="str">
        <f>TEXT(tblPayments[[#This Row],[Arrival]],"mmm")</f>
        <v>Jan</v>
      </c>
      <c r="K411" s="80">
        <f>MONTH(tblPayments[[#This Row],[Arrival]])</f>
        <v>1</v>
      </c>
      <c r="L411" s="80">
        <f>YEAR(tblPayments[[#This Row],[Arrival]])</f>
        <v>1900</v>
      </c>
      <c r="M411" s="80" t="str">
        <f>IF(tblPayments[[#This Row],[Balance]]=0,"Full Payment","Deposit")</f>
        <v>Full Payment</v>
      </c>
      <c r="N411" s="43"/>
      <c r="O411" s="83"/>
      <c r="P411" s="87"/>
    </row>
    <row r="412" spans="1:16" x14ac:dyDescent="0.3">
      <c r="A412" s="77"/>
      <c r="B412" s="80"/>
      <c r="C412" s="43"/>
      <c r="D412" s="43"/>
      <c r="E412" s="43"/>
      <c r="F412" s="80"/>
      <c r="G412" s="83"/>
      <c r="H412" s="83"/>
      <c r="I412" s="4"/>
      <c r="J412" s="80" t="str">
        <f>TEXT(tblPayments[[#This Row],[Arrival]],"mmm")</f>
        <v>Jan</v>
      </c>
      <c r="K412" s="80">
        <f>MONTH(tblPayments[[#This Row],[Arrival]])</f>
        <v>1</v>
      </c>
      <c r="L412" s="80">
        <f>YEAR(tblPayments[[#This Row],[Arrival]])</f>
        <v>1900</v>
      </c>
      <c r="M412" s="80" t="str">
        <f>IF(tblPayments[[#This Row],[Balance]]=0,"Full Payment","Deposit")</f>
        <v>Full Payment</v>
      </c>
      <c r="N412" s="43"/>
      <c r="O412" s="83"/>
      <c r="P412" s="87"/>
    </row>
    <row r="413" spans="1:16" x14ac:dyDescent="0.3">
      <c r="A413" s="77"/>
      <c r="B413" s="80"/>
      <c r="C413" s="43"/>
      <c r="D413" s="43"/>
      <c r="E413" s="43"/>
      <c r="F413" s="80"/>
      <c r="G413" s="83"/>
      <c r="H413" s="83"/>
      <c r="I413" s="4"/>
      <c r="J413" s="80" t="str">
        <f>TEXT(tblPayments[[#This Row],[Arrival]],"mmm")</f>
        <v>Jan</v>
      </c>
      <c r="K413" s="80">
        <f>MONTH(tblPayments[[#This Row],[Arrival]])</f>
        <v>1</v>
      </c>
      <c r="L413" s="80">
        <f>YEAR(tblPayments[[#This Row],[Arrival]])</f>
        <v>1900</v>
      </c>
      <c r="M413" s="80" t="str">
        <f>IF(tblPayments[[#This Row],[Balance]]=0,"Full Payment","Deposit")</f>
        <v>Full Payment</v>
      </c>
      <c r="N413" s="43"/>
      <c r="O413" s="83"/>
      <c r="P413" s="87"/>
    </row>
    <row r="414" spans="1:16" x14ac:dyDescent="0.3">
      <c r="A414" s="77"/>
      <c r="B414" s="80"/>
      <c r="C414" s="43"/>
      <c r="D414" s="43"/>
      <c r="E414" s="43"/>
      <c r="F414" s="80"/>
      <c r="G414" s="83"/>
      <c r="H414" s="83"/>
      <c r="I414" s="4"/>
      <c r="J414" s="80" t="str">
        <f>TEXT(tblPayments[[#This Row],[Arrival]],"mmm")</f>
        <v>Jan</v>
      </c>
      <c r="K414" s="80">
        <f>MONTH(tblPayments[[#This Row],[Arrival]])</f>
        <v>1</v>
      </c>
      <c r="L414" s="80">
        <f>YEAR(tblPayments[[#This Row],[Arrival]])</f>
        <v>1900</v>
      </c>
      <c r="M414" s="80" t="str">
        <f>IF(tblPayments[[#This Row],[Balance]]=0,"Full Payment","Deposit")</f>
        <v>Full Payment</v>
      </c>
      <c r="N414" s="43"/>
      <c r="O414" s="83"/>
      <c r="P414" s="87"/>
    </row>
    <row r="415" spans="1:16" x14ac:dyDescent="0.3">
      <c r="A415" s="77"/>
      <c r="B415" s="80"/>
      <c r="C415" s="43"/>
      <c r="D415" s="43"/>
      <c r="E415" s="43"/>
      <c r="F415" s="80"/>
      <c r="G415" s="83"/>
      <c r="H415" s="83"/>
      <c r="I415" s="4"/>
      <c r="J415" s="80" t="str">
        <f>TEXT(tblPayments[[#This Row],[Arrival]],"mmm")</f>
        <v>Jan</v>
      </c>
      <c r="K415" s="80">
        <f>MONTH(tblPayments[[#This Row],[Arrival]])</f>
        <v>1</v>
      </c>
      <c r="L415" s="80">
        <f>YEAR(tblPayments[[#This Row],[Arrival]])</f>
        <v>1900</v>
      </c>
      <c r="M415" s="80" t="str">
        <f>IF(tblPayments[[#This Row],[Balance]]=0,"Full Payment","Deposit")</f>
        <v>Full Payment</v>
      </c>
      <c r="N415" s="43"/>
      <c r="O415" s="83"/>
      <c r="P415" s="87"/>
    </row>
    <row r="416" spans="1:16" x14ac:dyDescent="0.3">
      <c r="A416" s="77"/>
      <c r="B416" s="80"/>
      <c r="C416" s="43"/>
      <c r="D416" s="43"/>
      <c r="E416" s="43"/>
      <c r="F416" s="80"/>
      <c r="G416" s="83"/>
      <c r="H416" s="83"/>
      <c r="I416" s="4"/>
      <c r="J416" s="80" t="str">
        <f>TEXT(tblPayments[[#This Row],[Arrival]],"mmm")</f>
        <v>Jan</v>
      </c>
      <c r="K416" s="80">
        <f>MONTH(tblPayments[[#This Row],[Arrival]])</f>
        <v>1</v>
      </c>
      <c r="L416" s="80">
        <f>YEAR(tblPayments[[#This Row],[Arrival]])</f>
        <v>1900</v>
      </c>
      <c r="M416" s="80" t="str">
        <f>IF(tblPayments[[#This Row],[Balance]]=0,"Full Payment","Deposit")</f>
        <v>Full Payment</v>
      </c>
      <c r="N416" s="43"/>
      <c r="O416" s="83"/>
      <c r="P416" s="87"/>
    </row>
    <row r="417" spans="1:16" x14ac:dyDescent="0.3">
      <c r="A417" s="77"/>
      <c r="B417" s="80"/>
      <c r="C417" s="43"/>
      <c r="D417" s="43"/>
      <c r="E417" s="43"/>
      <c r="F417" s="80"/>
      <c r="G417" s="83"/>
      <c r="H417" s="83"/>
      <c r="I417" s="4"/>
      <c r="J417" s="80" t="str">
        <f>TEXT(tblPayments[[#This Row],[Arrival]],"mmm")</f>
        <v>Jan</v>
      </c>
      <c r="K417" s="80">
        <f>MONTH(tblPayments[[#This Row],[Arrival]])</f>
        <v>1</v>
      </c>
      <c r="L417" s="80">
        <f>YEAR(tblPayments[[#This Row],[Arrival]])</f>
        <v>1900</v>
      </c>
      <c r="M417" s="80" t="str">
        <f>IF(tblPayments[[#This Row],[Balance]]=0,"Full Payment","Deposit")</f>
        <v>Full Payment</v>
      </c>
      <c r="N417" s="43"/>
      <c r="O417" s="83"/>
      <c r="P417" s="87"/>
    </row>
    <row r="418" spans="1:16" x14ac:dyDescent="0.3">
      <c r="A418" s="77"/>
      <c r="B418" s="80"/>
      <c r="C418" s="43"/>
      <c r="D418" s="43"/>
      <c r="E418" s="43"/>
      <c r="F418" s="80"/>
      <c r="G418" s="83"/>
      <c r="H418" s="83"/>
      <c r="I418" s="4"/>
      <c r="J418" s="80" t="str">
        <f>TEXT(tblPayments[[#This Row],[Arrival]],"mmm")</f>
        <v>Jan</v>
      </c>
      <c r="K418" s="80">
        <f>MONTH(tblPayments[[#This Row],[Arrival]])</f>
        <v>1</v>
      </c>
      <c r="L418" s="80">
        <f>YEAR(tblPayments[[#This Row],[Arrival]])</f>
        <v>1900</v>
      </c>
      <c r="M418" s="80" t="str">
        <f>IF(tblPayments[[#This Row],[Balance]]=0,"Full Payment","Deposit")</f>
        <v>Full Payment</v>
      </c>
      <c r="N418" s="43"/>
      <c r="O418" s="83"/>
      <c r="P418" s="87"/>
    </row>
    <row r="419" spans="1:16" x14ac:dyDescent="0.3">
      <c r="A419" s="77"/>
      <c r="B419" s="80"/>
      <c r="C419" s="43"/>
      <c r="D419" s="43"/>
      <c r="E419" s="43"/>
      <c r="F419" s="80"/>
      <c r="G419" s="83"/>
      <c r="H419" s="83"/>
      <c r="I419" s="4"/>
      <c r="J419" s="80" t="str">
        <f>TEXT(tblPayments[[#This Row],[Arrival]],"mmm")</f>
        <v>Jan</v>
      </c>
      <c r="K419" s="80">
        <f>MONTH(tblPayments[[#This Row],[Arrival]])</f>
        <v>1</v>
      </c>
      <c r="L419" s="80">
        <f>YEAR(tblPayments[[#This Row],[Arrival]])</f>
        <v>1900</v>
      </c>
      <c r="M419" s="80" t="str">
        <f>IF(tblPayments[[#This Row],[Balance]]=0,"Full Payment","Deposit")</f>
        <v>Full Payment</v>
      </c>
      <c r="N419" s="43"/>
      <c r="O419" s="83"/>
      <c r="P419" s="87"/>
    </row>
    <row r="420" spans="1:16" x14ac:dyDescent="0.3">
      <c r="A420" s="77"/>
      <c r="B420" s="80"/>
      <c r="C420" s="43"/>
      <c r="D420" s="43"/>
      <c r="E420" s="43"/>
      <c r="F420" s="80"/>
      <c r="G420" s="83"/>
      <c r="H420" s="83"/>
      <c r="I420" s="4"/>
      <c r="J420" s="80" t="str">
        <f>TEXT(tblPayments[[#This Row],[Arrival]],"mmm")</f>
        <v>Jan</v>
      </c>
      <c r="K420" s="80">
        <f>MONTH(tblPayments[[#This Row],[Arrival]])</f>
        <v>1</v>
      </c>
      <c r="L420" s="80">
        <f>YEAR(tblPayments[[#This Row],[Arrival]])</f>
        <v>1900</v>
      </c>
      <c r="M420" s="80" t="str">
        <f>IF(tblPayments[[#This Row],[Balance]]=0,"Full Payment","Deposit")</f>
        <v>Full Payment</v>
      </c>
      <c r="N420" s="43"/>
      <c r="O420" s="83"/>
      <c r="P420" s="87"/>
    </row>
    <row r="421" spans="1:16" x14ac:dyDescent="0.3">
      <c r="A421" s="77"/>
      <c r="B421" s="80"/>
      <c r="C421" s="43"/>
      <c r="D421" s="43"/>
      <c r="E421" s="43"/>
      <c r="F421" s="80"/>
      <c r="G421" s="83"/>
      <c r="H421" s="83"/>
      <c r="I421" s="4"/>
      <c r="J421" s="80" t="str">
        <f>TEXT(tblPayments[[#This Row],[Arrival]],"mmm")</f>
        <v>Jan</v>
      </c>
      <c r="K421" s="80">
        <f>MONTH(tblPayments[[#This Row],[Arrival]])</f>
        <v>1</v>
      </c>
      <c r="L421" s="80">
        <f>YEAR(tblPayments[[#This Row],[Arrival]])</f>
        <v>1900</v>
      </c>
      <c r="M421" s="80" t="str">
        <f>IF(tblPayments[[#This Row],[Balance]]=0,"Full Payment","Deposit")</f>
        <v>Full Payment</v>
      </c>
      <c r="N421" s="43"/>
      <c r="O421" s="83"/>
      <c r="P421" s="87"/>
    </row>
    <row r="422" spans="1:16" x14ac:dyDescent="0.3">
      <c r="A422" s="77"/>
      <c r="B422" s="80"/>
      <c r="C422" s="43"/>
      <c r="D422" s="43"/>
      <c r="E422" s="43"/>
      <c r="F422" s="80"/>
      <c r="G422" s="83"/>
      <c r="H422" s="83"/>
      <c r="I422" s="4"/>
      <c r="J422" s="80" t="str">
        <f>TEXT(tblPayments[[#This Row],[Arrival]],"mmm")</f>
        <v>Jan</v>
      </c>
      <c r="K422" s="80">
        <f>MONTH(tblPayments[[#This Row],[Arrival]])</f>
        <v>1</v>
      </c>
      <c r="L422" s="80">
        <f>YEAR(tblPayments[[#This Row],[Arrival]])</f>
        <v>1900</v>
      </c>
      <c r="M422" s="80" t="str">
        <f>IF(tblPayments[[#This Row],[Balance]]=0,"Full Payment","Deposit")</f>
        <v>Full Payment</v>
      </c>
      <c r="N422" s="43"/>
      <c r="O422" s="83"/>
      <c r="P422" s="87"/>
    </row>
    <row r="423" spans="1:16" x14ac:dyDescent="0.3">
      <c r="A423" s="77"/>
      <c r="B423" s="80"/>
      <c r="C423" s="43"/>
      <c r="D423" s="43"/>
      <c r="E423" s="43"/>
      <c r="F423" s="80"/>
      <c r="G423" s="83"/>
      <c r="H423" s="83"/>
      <c r="I423" s="4"/>
      <c r="J423" s="80" t="str">
        <f>TEXT(tblPayments[[#This Row],[Arrival]],"mmm")</f>
        <v>Jan</v>
      </c>
      <c r="K423" s="80">
        <f>MONTH(tblPayments[[#This Row],[Arrival]])</f>
        <v>1</v>
      </c>
      <c r="L423" s="80">
        <f>YEAR(tblPayments[[#This Row],[Arrival]])</f>
        <v>1900</v>
      </c>
      <c r="M423" s="80" t="str">
        <f>IF(tblPayments[[#This Row],[Balance]]=0,"Full Payment","Deposit")</f>
        <v>Full Payment</v>
      </c>
      <c r="N423" s="43"/>
      <c r="O423" s="83"/>
      <c r="P423" s="87"/>
    </row>
    <row r="424" spans="1:16" x14ac:dyDescent="0.3">
      <c r="A424" s="77"/>
      <c r="B424" s="80"/>
      <c r="C424" s="43"/>
      <c r="D424" s="43"/>
      <c r="E424" s="43"/>
      <c r="F424" s="80"/>
      <c r="G424" s="83"/>
      <c r="H424" s="83"/>
      <c r="I424" s="4"/>
      <c r="J424" s="80" t="str">
        <f>TEXT(tblPayments[[#This Row],[Arrival]],"mmm")</f>
        <v>Jan</v>
      </c>
      <c r="K424" s="80">
        <f>MONTH(tblPayments[[#This Row],[Arrival]])</f>
        <v>1</v>
      </c>
      <c r="L424" s="80">
        <f>YEAR(tblPayments[[#This Row],[Arrival]])</f>
        <v>1900</v>
      </c>
      <c r="M424" s="80" t="str">
        <f>IF(tblPayments[[#This Row],[Balance]]=0,"Full Payment","Deposit")</f>
        <v>Full Payment</v>
      </c>
      <c r="N424" s="43"/>
      <c r="O424" s="83"/>
      <c r="P424" s="87"/>
    </row>
    <row r="425" spans="1:16" x14ac:dyDescent="0.3">
      <c r="A425" s="77"/>
      <c r="B425" s="80"/>
      <c r="C425" s="43"/>
      <c r="D425" s="43"/>
      <c r="E425" s="43"/>
      <c r="F425" s="80"/>
      <c r="G425" s="83"/>
      <c r="H425" s="83"/>
      <c r="I425" s="4"/>
      <c r="J425" s="80" t="str">
        <f>TEXT(tblPayments[[#This Row],[Arrival]],"mmm")</f>
        <v>Jan</v>
      </c>
      <c r="K425" s="80">
        <f>MONTH(tblPayments[[#This Row],[Arrival]])</f>
        <v>1</v>
      </c>
      <c r="L425" s="80">
        <f>YEAR(tblPayments[[#This Row],[Arrival]])</f>
        <v>1900</v>
      </c>
      <c r="M425" s="80" t="str">
        <f>IF(tblPayments[[#This Row],[Balance]]=0,"Full Payment","Deposit")</f>
        <v>Full Payment</v>
      </c>
      <c r="N425" s="43"/>
      <c r="O425" s="83"/>
      <c r="P425" s="87"/>
    </row>
    <row r="426" spans="1:16" x14ac:dyDescent="0.3">
      <c r="A426" s="77"/>
      <c r="B426" s="80"/>
      <c r="C426" s="43"/>
      <c r="D426" s="43"/>
      <c r="E426" s="43"/>
      <c r="F426" s="80"/>
      <c r="G426" s="83"/>
      <c r="H426" s="83"/>
      <c r="I426" s="4"/>
      <c r="J426" s="80" t="str">
        <f>TEXT(tblPayments[[#This Row],[Arrival]],"mmm")</f>
        <v>Jan</v>
      </c>
      <c r="K426" s="80">
        <f>MONTH(tblPayments[[#This Row],[Arrival]])</f>
        <v>1</v>
      </c>
      <c r="L426" s="80">
        <f>YEAR(tblPayments[[#This Row],[Arrival]])</f>
        <v>1900</v>
      </c>
      <c r="M426" s="80" t="str">
        <f>IF(tblPayments[[#This Row],[Balance]]=0,"Full Payment","Deposit")</f>
        <v>Full Payment</v>
      </c>
      <c r="N426" s="43"/>
      <c r="O426" s="83"/>
      <c r="P426" s="87"/>
    </row>
    <row r="427" spans="1:16" x14ac:dyDescent="0.3">
      <c r="A427" s="77"/>
      <c r="B427" s="80"/>
      <c r="C427" s="43"/>
      <c r="D427" s="43"/>
      <c r="E427" s="43"/>
      <c r="F427" s="80"/>
      <c r="G427" s="83"/>
      <c r="H427" s="83"/>
      <c r="I427" s="4"/>
      <c r="J427" s="80" t="str">
        <f>TEXT(tblPayments[[#This Row],[Arrival]],"mmm")</f>
        <v>Jan</v>
      </c>
      <c r="K427" s="80">
        <f>MONTH(tblPayments[[#This Row],[Arrival]])</f>
        <v>1</v>
      </c>
      <c r="L427" s="80">
        <f>YEAR(tblPayments[[#This Row],[Arrival]])</f>
        <v>1900</v>
      </c>
      <c r="M427" s="80" t="str">
        <f>IF(tblPayments[[#This Row],[Balance]]=0,"Full Payment","Deposit")</f>
        <v>Full Payment</v>
      </c>
      <c r="N427" s="43"/>
      <c r="O427" s="83"/>
      <c r="P427" s="87"/>
    </row>
    <row r="428" spans="1:16" x14ac:dyDescent="0.3">
      <c r="A428" s="77"/>
      <c r="B428" s="80"/>
      <c r="C428" s="43"/>
      <c r="D428" s="43"/>
      <c r="E428" s="43"/>
      <c r="F428" s="80"/>
      <c r="G428" s="83"/>
      <c r="H428" s="83"/>
      <c r="I428" s="4"/>
      <c r="J428" s="80" t="str">
        <f>TEXT(tblPayments[[#This Row],[Arrival]],"mmm")</f>
        <v>Jan</v>
      </c>
      <c r="K428" s="80">
        <f>MONTH(tblPayments[[#This Row],[Arrival]])</f>
        <v>1</v>
      </c>
      <c r="L428" s="80">
        <f>YEAR(tblPayments[[#This Row],[Arrival]])</f>
        <v>1900</v>
      </c>
      <c r="M428" s="80" t="str">
        <f>IF(tblPayments[[#This Row],[Balance]]=0,"Full Payment","Deposit")</f>
        <v>Full Payment</v>
      </c>
      <c r="N428" s="43"/>
      <c r="O428" s="83"/>
      <c r="P428" s="87"/>
    </row>
    <row r="429" spans="1:16" x14ac:dyDescent="0.3">
      <c r="A429" s="77" t="s">
        <v>102</v>
      </c>
      <c r="B429" s="80" t="s">
        <v>76</v>
      </c>
      <c r="C429" s="43">
        <v>13788.38</v>
      </c>
      <c r="D429" s="43">
        <v>13788.38</v>
      </c>
      <c r="E429" s="43"/>
      <c r="F429" s="80" t="s">
        <v>70</v>
      </c>
      <c r="G429" s="83">
        <v>46023</v>
      </c>
      <c r="H429" s="83">
        <v>46024</v>
      </c>
      <c r="I429" s="4">
        <v>1</v>
      </c>
      <c r="J429" s="80" t="str">
        <f>TEXT(tblPayments[[#This Row],[Arrival]],"mmm")</f>
        <v>Jan</v>
      </c>
      <c r="K429" s="80">
        <f>MONTH(tblPayments[[#This Row],[Arrival]])</f>
        <v>1</v>
      </c>
      <c r="L429" s="80">
        <f>YEAR(tblPayments[[#This Row],[Arrival]])</f>
        <v>2026</v>
      </c>
      <c r="M429" s="80" t="str">
        <f>IF(tblPayments[[#This Row],[Balance]]=0,"Full Payment","Deposit")</f>
        <v>Full Payment</v>
      </c>
      <c r="N429" s="43">
        <v>7349.19</v>
      </c>
      <c r="O429" s="83">
        <v>45912</v>
      </c>
      <c r="P429" s="87" t="s">
        <v>14</v>
      </c>
    </row>
    <row r="430" spans="1:16" x14ac:dyDescent="0.3">
      <c r="A430" s="77" t="s">
        <v>102</v>
      </c>
      <c r="B430" s="80" t="s">
        <v>76</v>
      </c>
      <c r="C430" s="43">
        <v>96137.600000000006</v>
      </c>
      <c r="D430" s="43">
        <v>96137.600000000006</v>
      </c>
      <c r="E430" s="43"/>
      <c r="F430" s="80" t="s">
        <v>70</v>
      </c>
      <c r="G430" s="83">
        <v>46023</v>
      </c>
      <c r="H430" s="83">
        <v>46027</v>
      </c>
      <c r="I430" s="4">
        <v>4</v>
      </c>
      <c r="J430" s="80" t="str">
        <f>TEXT(tblPayments[[#This Row],[Arrival]],"mmm")</f>
        <v>Jan</v>
      </c>
      <c r="K430" s="80">
        <f>MONTH(tblPayments[[#This Row],[Arrival]])</f>
        <v>1</v>
      </c>
      <c r="L430" s="80">
        <f>YEAR(tblPayments[[#This Row],[Arrival]])</f>
        <v>2026</v>
      </c>
      <c r="M430" s="80" t="str">
        <f>IF(tblPayments[[#This Row],[Balance]]=0,"Full Payment","Deposit")</f>
        <v>Full Payment</v>
      </c>
      <c r="N430" s="43">
        <v>66161.16</v>
      </c>
      <c r="O430" s="83">
        <v>45794</v>
      </c>
      <c r="P430" s="87" t="s">
        <v>14</v>
      </c>
    </row>
    <row r="431" spans="1:16" x14ac:dyDescent="0.3">
      <c r="A431" s="77" t="s">
        <v>102</v>
      </c>
      <c r="B431" s="80" t="s">
        <v>76</v>
      </c>
      <c r="C431" s="43">
        <v>79580</v>
      </c>
      <c r="D431" s="43">
        <v>79580</v>
      </c>
      <c r="E431" s="43"/>
      <c r="F431" s="80" t="s">
        <v>70</v>
      </c>
      <c r="G431" s="83">
        <v>46023</v>
      </c>
      <c r="H431" s="83">
        <v>46027</v>
      </c>
      <c r="I431" s="4">
        <v>4</v>
      </c>
      <c r="J431" s="80" t="str">
        <f>TEXT(tblPayments[[#This Row],[Arrival]],"mmm")</f>
        <v>Jan</v>
      </c>
      <c r="K431" s="80">
        <f>MONTH(tblPayments[[#This Row],[Arrival]])</f>
        <v>1</v>
      </c>
      <c r="L431" s="80">
        <f>YEAR(tblPayments[[#This Row],[Arrival]])</f>
        <v>2026</v>
      </c>
      <c r="M431" s="80" t="str">
        <f>IF(tblPayments[[#This Row],[Balance]]=0,"Full Payment","Deposit")</f>
        <v>Full Payment</v>
      </c>
      <c r="N431" s="43">
        <v>48593.64</v>
      </c>
      <c r="O431" s="83">
        <v>45724</v>
      </c>
      <c r="P431" s="87" t="s">
        <v>15</v>
      </c>
    </row>
    <row r="432" spans="1:16" x14ac:dyDescent="0.3">
      <c r="A432" s="77" t="s">
        <v>102</v>
      </c>
      <c r="B432" s="80" t="s">
        <v>76</v>
      </c>
      <c r="C432" s="43">
        <v>31054.799999999999</v>
      </c>
      <c r="D432" s="43">
        <v>31054.799999999999</v>
      </c>
      <c r="E432" s="43"/>
      <c r="F432" s="80" t="s">
        <v>70</v>
      </c>
      <c r="G432" s="83">
        <v>46024</v>
      </c>
      <c r="H432" s="83">
        <v>46028</v>
      </c>
      <c r="I432" s="4">
        <v>4</v>
      </c>
      <c r="J432" s="80" t="str">
        <f>TEXT(tblPayments[[#This Row],[Arrival]],"mmm")</f>
        <v>Jan</v>
      </c>
      <c r="K432" s="80">
        <f>MONTH(tblPayments[[#This Row],[Arrival]])</f>
        <v>1</v>
      </c>
      <c r="L432" s="80">
        <f>YEAR(tblPayments[[#This Row],[Arrival]])</f>
        <v>2026</v>
      </c>
      <c r="M432" s="80" t="str">
        <f>IF(tblPayments[[#This Row],[Balance]]=0,"Full Payment","Deposit")</f>
        <v>Full Payment</v>
      </c>
      <c r="N432" s="43">
        <v>21277.4</v>
      </c>
      <c r="O432" s="83">
        <v>45699</v>
      </c>
      <c r="P432" s="87" t="s">
        <v>15</v>
      </c>
    </row>
    <row r="433" spans="1:16" x14ac:dyDescent="0.3">
      <c r="A433" s="77" t="s">
        <v>102</v>
      </c>
      <c r="B433" s="80" t="s">
        <v>76</v>
      </c>
      <c r="C433" s="43">
        <v>142945.63</v>
      </c>
      <c r="D433" s="43">
        <v>142945.63</v>
      </c>
      <c r="E433" s="43"/>
      <c r="F433" s="80" t="s">
        <v>70</v>
      </c>
      <c r="G433" s="83">
        <v>46025</v>
      </c>
      <c r="H433" s="83">
        <v>46032</v>
      </c>
      <c r="I433" s="4">
        <v>7</v>
      </c>
      <c r="J433" s="80" t="str">
        <f>TEXT(tblPayments[[#This Row],[Arrival]],"mmm")</f>
        <v>Jan</v>
      </c>
      <c r="K433" s="80">
        <f>MONTH(tblPayments[[#This Row],[Arrival]])</f>
        <v>1</v>
      </c>
      <c r="L433" s="80">
        <f>YEAR(tblPayments[[#This Row],[Arrival]])</f>
        <v>2026</v>
      </c>
      <c r="M433" s="80" t="str">
        <f>IF(tblPayments[[#This Row],[Balance]]=0,"Full Payment","Deposit")</f>
        <v>Full Payment</v>
      </c>
      <c r="N433" s="43">
        <v>81000.78</v>
      </c>
      <c r="O433" s="83">
        <v>45978</v>
      </c>
      <c r="P433" s="87" t="s">
        <v>27</v>
      </c>
    </row>
    <row r="434" spans="1:16" x14ac:dyDescent="0.3">
      <c r="A434" s="77" t="s">
        <v>102</v>
      </c>
      <c r="B434" s="80" t="s">
        <v>76</v>
      </c>
      <c r="C434" s="43">
        <v>104286</v>
      </c>
      <c r="D434" s="43">
        <v>104286</v>
      </c>
      <c r="E434" s="43"/>
      <c r="F434" s="80" t="s">
        <v>70</v>
      </c>
      <c r="G434" s="83">
        <v>46026</v>
      </c>
      <c r="H434" s="83">
        <v>46033</v>
      </c>
      <c r="I434" s="4">
        <v>7</v>
      </c>
      <c r="J434" s="80" t="str">
        <f>TEXT(tblPayments[[#This Row],[Arrival]],"mmm")</f>
        <v>Jan</v>
      </c>
      <c r="K434" s="80">
        <f>MONTH(tblPayments[[#This Row],[Arrival]])</f>
        <v>1</v>
      </c>
      <c r="L434" s="80">
        <f>YEAR(tblPayments[[#This Row],[Arrival]])</f>
        <v>2026</v>
      </c>
      <c r="M434" s="80" t="str">
        <f>IF(tblPayments[[#This Row],[Balance]]=0,"Full Payment","Deposit")</f>
        <v>Full Payment</v>
      </c>
      <c r="N434" s="43">
        <v>76173.3</v>
      </c>
      <c r="O434" s="83">
        <v>45953</v>
      </c>
      <c r="P434" s="87" t="s">
        <v>15</v>
      </c>
    </row>
    <row r="435" spans="1:16" x14ac:dyDescent="0.3">
      <c r="A435" s="77" t="s">
        <v>102</v>
      </c>
      <c r="B435" s="80" t="s">
        <v>76</v>
      </c>
      <c r="C435" s="43">
        <v>108000</v>
      </c>
      <c r="D435" s="43">
        <v>108000</v>
      </c>
      <c r="E435" s="43"/>
      <c r="F435" s="80" t="s">
        <v>70</v>
      </c>
      <c r="G435" s="83">
        <v>46026</v>
      </c>
      <c r="H435" s="83">
        <v>46034</v>
      </c>
      <c r="I435" s="4">
        <v>8</v>
      </c>
      <c r="J435" s="80" t="str">
        <f>TEXT(tblPayments[[#This Row],[Arrival]],"mmm")</f>
        <v>Jan</v>
      </c>
      <c r="K435" s="80">
        <f>MONTH(tblPayments[[#This Row],[Arrival]])</f>
        <v>1</v>
      </c>
      <c r="L435" s="80">
        <f>YEAR(tblPayments[[#This Row],[Arrival]])</f>
        <v>2026</v>
      </c>
      <c r="M435" s="80" t="str">
        <f>IF(tblPayments[[#This Row],[Balance]]=0,"Full Payment","Deposit")</f>
        <v>Full Payment</v>
      </c>
      <c r="N435" s="43">
        <v>77793.279999999999</v>
      </c>
      <c r="O435" s="83">
        <v>45982</v>
      </c>
      <c r="P435" s="87" t="s">
        <v>1</v>
      </c>
    </row>
    <row r="436" spans="1:16" x14ac:dyDescent="0.3">
      <c r="A436" s="77" t="s">
        <v>102</v>
      </c>
      <c r="B436" s="80" t="s">
        <v>76</v>
      </c>
      <c r="C436" s="43">
        <v>64812.480000000003</v>
      </c>
      <c r="D436" s="43">
        <v>64812.480000000003</v>
      </c>
      <c r="E436" s="43"/>
      <c r="F436" s="80" t="s">
        <v>70</v>
      </c>
      <c r="G436" s="83">
        <v>46029</v>
      </c>
      <c r="H436" s="83">
        <v>46033</v>
      </c>
      <c r="I436" s="4">
        <v>4</v>
      </c>
      <c r="J436" s="80" t="str">
        <f>TEXT(tblPayments[[#This Row],[Arrival]],"mmm")</f>
        <v>Jan</v>
      </c>
      <c r="K436" s="80">
        <f>MONTH(tblPayments[[#This Row],[Arrival]])</f>
        <v>1</v>
      </c>
      <c r="L436" s="80">
        <f>YEAR(tblPayments[[#This Row],[Arrival]])</f>
        <v>2026</v>
      </c>
      <c r="M436" s="80" t="str">
        <f>IF(tblPayments[[#This Row],[Balance]]=0,"Full Payment","Deposit")</f>
        <v>Full Payment</v>
      </c>
      <c r="N436" s="43">
        <v>56040.44</v>
      </c>
      <c r="O436" s="83">
        <v>45978</v>
      </c>
      <c r="P436" s="87" t="s">
        <v>9</v>
      </c>
    </row>
    <row r="437" spans="1:16" x14ac:dyDescent="0.3">
      <c r="A437" s="77" t="s">
        <v>102</v>
      </c>
      <c r="B437" s="80" t="s">
        <v>76</v>
      </c>
      <c r="C437" s="43">
        <v>100000</v>
      </c>
      <c r="D437" s="43">
        <v>25187.52</v>
      </c>
      <c r="E437" s="43">
        <v>74812.486999999994</v>
      </c>
      <c r="F437" s="80" t="s">
        <v>72</v>
      </c>
      <c r="G437" s="83">
        <v>46029</v>
      </c>
      <c r="H437" s="83">
        <v>46033</v>
      </c>
      <c r="I437" s="4">
        <v>4</v>
      </c>
      <c r="J437" s="80" t="str">
        <f>TEXT(tblPayments[[#This Row],[Arrival]],"mmm")</f>
        <v>Jan</v>
      </c>
      <c r="K437" s="80">
        <f>MONTH(tblPayments[[#This Row],[Arrival]])</f>
        <v>1</v>
      </c>
      <c r="L437" s="80">
        <f>YEAR(tblPayments[[#This Row],[Arrival]])</f>
        <v>2026</v>
      </c>
      <c r="M437" s="80" t="str">
        <f>IF(tblPayments[[#This Row],[Balance]]=0,"Full Payment","Deposit")</f>
        <v>Deposit</v>
      </c>
      <c r="N437" s="43">
        <v>55927.519999999997</v>
      </c>
      <c r="O437" s="83">
        <v>45978</v>
      </c>
      <c r="P437" s="87" t="s">
        <v>9</v>
      </c>
    </row>
    <row r="438" spans="1:16" x14ac:dyDescent="0.3">
      <c r="A438" s="77" t="s">
        <v>102</v>
      </c>
      <c r="B438" s="80" t="s">
        <v>77</v>
      </c>
      <c r="C438" s="43">
        <v>34931.980000000003</v>
      </c>
      <c r="D438" s="43">
        <v>34931.980000000003</v>
      </c>
      <c r="E438" s="43"/>
      <c r="F438" s="80" t="s">
        <v>70</v>
      </c>
      <c r="G438" s="83">
        <v>46029</v>
      </c>
      <c r="H438" s="83">
        <v>46036</v>
      </c>
      <c r="I438" s="4">
        <v>7</v>
      </c>
      <c r="J438" s="80" t="str">
        <f>TEXT(tblPayments[[#This Row],[Arrival]],"mmm")</f>
        <v>Jan</v>
      </c>
      <c r="K438" s="80">
        <f>MONTH(tblPayments[[#This Row],[Arrival]])</f>
        <v>1</v>
      </c>
      <c r="L438" s="80">
        <f>YEAR(tblPayments[[#This Row],[Arrival]])</f>
        <v>2026</v>
      </c>
      <c r="M438" s="80" t="str">
        <f>IF(tblPayments[[#This Row],[Balance]]=0,"Full Payment","Deposit")</f>
        <v>Full Payment</v>
      </c>
      <c r="N438" s="43">
        <v>22855.49</v>
      </c>
      <c r="O438" s="83">
        <v>45824</v>
      </c>
      <c r="P438" s="87" t="s">
        <v>1</v>
      </c>
    </row>
    <row r="439" spans="1:16" x14ac:dyDescent="0.3">
      <c r="A439" s="77" t="s">
        <v>102</v>
      </c>
      <c r="B439" s="80" t="s">
        <v>77</v>
      </c>
      <c r="C439" s="43">
        <v>53611.66</v>
      </c>
      <c r="D439" s="43"/>
      <c r="E439" s="43">
        <v>53611.66</v>
      </c>
      <c r="F439" s="80" t="s">
        <v>75</v>
      </c>
      <c r="G439" s="83">
        <v>46029</v>
      </c>
      <c r="H439" s="83">
        <v>46043</v>
      </c>
      <c r="I439" s="4">
        <v>14</v>
      </c>
      <c r="J439" s="80" t="str">
        <f>TEXT(tblPayments[[#This Row],[Arrival]],"mmm")</f>
        <v>Jan</v>
      </c>
      <c r="K439" s="80">
        <f>MONTH(tblPayments[[#This Row],[Arrival]])</f>
        <v>1</v>
      </c>
      <c r="L439" s="80">
        <f>YEAR(tblPayments[[#This Row],[Arrival]])</f>
        <v>2026</v>
      </c>
      <c r="M439" s="80" t="str">
        <f>IF(tblPayments[[#This Row],[Balance]]=0,"Full Payment","Deposit")</f>
        <v>Deposit</v>
      </c>
      <c r="N439" s="43">
        <v>32521.86</v>
      </c>
      <c r="O439" s="83">
        <v>45999</v>
      </c>
      <c r="P439" s="87" t="s">
        <v>2</v>
      </c>
    </row>
    <row r="440" spans="1:16" x14ac:dyDescent="0.3">
      <c r="A440" s="77" t="s">
        <v>102</v>
      </c>
      <c r="B440" s="80" t="s">
        <v>77</v>
      </c>
      <c r="C440" s="43">
        <v>54341.599999999999</v>
      </c>
      <c r="D440" s="43">
        <v>54341.599999999999</v>
      </c>
      <c r="E440" s="43"/>
      <c r="F440" s="80" t="s">
        <v>70</v>
      </c>
      <c r="G440" s="83">
        <v>46029</v>
      </c>
      <c r="H440" s="83">
        <v>46034</v>
      </c>
      <c r="I440" s="4">
        <v>5</v>
      </c>
      <c r="J440" s="80" t="str">
        <f>TEXT(tblPayments[[#This Row],[Arrival]],"mmm")</f>
        <v>Jan</v>
      </c>
      <c r="K440" s="80">
        <f>MONTH(tblPayments[[#This Row],[Arrival]])</f>
        <v>1</v>
      </c>
      <c r="L440" s="80">
        <f>YEAR(tblPayments[[#This Row],[Arrival]])</f>
        <v>2026</v>
      </c>
      <c r="M440" s="80" t="str">
        <f>IF(tblPayments[[#This Row],[Balance]]=0,"Full Payment","Deposit")</f>
        <v>Full Payment</v>
      </c>
      <c r="N440" s="43">
        <v>28503.95</v>
      </c>
      <c r="O440" s="83">
        <v>45938</v>
      </c>
      <c r="P440" s="87" t="s">
        <v>38</v>
      </c>
    </row>
    <row r="441" spans="1:16" x14ac:dyDescent="0.3">
      <c r="A441" s="77" t="s">
        <v>102</v>
      </c>
      <c r="B441" s="80" t="s">
        <v>77</v>
      </c>
      <c r="C441" s="43">
        <v>28757.119999999999</v>
      </c>
      <c r="D441" s="43">
        <v>28757.119999999999</v>
      </c>
      <c r="E441" s="43"/>
      <c r="F441" s="80" t="s">
        <v>70</v>
      </c>
      <c r="G441" s="83">
        <v>46030</v>
      </c>
      <c r="H441" s="83">
        <v>46034</v>
      </c>
      <c r="I441" s="4">
        <v>4</v>
      </c>
      <c r="J441" s="80" t="str">
        <f>TEXT(tblPayments[[#This Row],[Arrival]],"mmm")</f>
        <v>Jan</v>
      </c>
      <c r="K441" s="80">
        <f>MONTH(tblPayments[[#This Row],[Arrival]])</f>
        <v>1</v>
      </c>
      <c r="L441" s="80">
        <f>YEAR(tblPayments[[#This Row],[Arrival]])</f>
        <v>2026</v>
      </c>
      <c r="M441" s="80" t="str">
        <f>IF(tblPayments[[#This Row],[Balance]]=0,"Full Payment","Deposit")</f>
        <v>Full Payment</v>
      </c>
      <c r="N441" s="43">
        <v>20483.16</v>
      </c>
      <c r="O441" s="83">
        <v>45962</v>
      </c>
      <c r="P441" s="87" t="s">
        <v>14</v>
      </c>
    </row>
    <row r="442" spans="1:16" x14ac:dyDescent="0.3">
      <c r="A442" s="77" t="s">
        <v>102</v>
      </c>
      <c r="B442" s="80" t="s">
        <v>77</v>
      </c>
      <c r="C442" s="43">
        <v>44845.14</v>
      </c>
      <c r="D442" s="43">
        <v>44845.14</v>
      </c>
      <c r="E442" s="43"/>
      <c r="F442" s="80" t="s">
        <v>70</v>
      </c>
      <c r="G442" s="83">
        <v>46031</v>
      </c>
      <c r="H442" s="83">
        <v>46038</v>
      </c>
      <c r="I442" s="4">
        <v>7</v>
      </c>
      <c r="J442" s="80" t="str">
        <f>TEXT(tblPayments[[#This Row],[Arrival]],"mmm")</f>
        <v>Jan</v>
      </c>
      <c r="K442" s="80">
        <f>MONTH(tblPayments[[#This Row],[Arrival]])</f>
        <v>1</v>
      </c>
      <c r="L442" s="80">
        <f>YEAR(tblPayments[[#This Row],[Arrival]])</f>
        <v>2026</v>
      </c>
      <c r="M442" s="80" t="str">
        <f>IF(tblPayments[[#This Row],[Balance]]=0,"Full Payment","Deposit")</f>
        <v>Full Payment</v>
      </c>
      <c r="N442" s="43">
        <v>28744.73</v>
      </c>
      <c r="O442" s="83">
        <v>45721</v>
      </c>
      <c r="P442" s="87" t="s">
        <v>15</v>
      </c>
    </row>
    <row r="443" spans="1:16" x14ac:dyDescent="0.3">
      <c r="A443" s="77" t="s">
        <v>102</v>
      </c>
      <c r="B443" s="80" t="s">
        <v>77</v>
      </c>
      <c r="C443" s="43">
        <v>63370.87</v>
      </c>
      <c r="D443" s="43">
        <v>63370.87</v>
      </c>
      <c r="E443" s="43"/>
      <c r="F443" s="80" t="s">
        <v>70</v>
      </c>
      <c r="G443" s="83">
        <v>46032</v>
      </c>
      <c r="H443" s="83">
        <v>46039</v>
      </c>
      <c r="I443" s="4">
        <v>7</v>
      </c>
      <c r="J443" s="80" t="str">
        <f>TEXT(tblPayments[[#This Row],[Arrival]],"mmm")</f>
        <v>Jan</v>
      </c>
      <c r="K443" s="80">
        <f>MONTH(tblPayments[[#This Row],[Arrival]])</f>
        <v>1</v>
      </c>
      <c r="L443" s="80">
        <f>YEAR(tblPayments[[#This Row],[Arrival]])</f>
        <v>2026</v>
      </c>
      <c r="M443" s="80" t="str">
        <f>IF(tblPayments[[#This Row],[Balance]]=0,"Full Payment","Deposit")</f>
        <v>Full Payment</v>
      </c>
      <c r="N443" s="43">
        <v>42746.34</v>
      </c>
      <c r="O443" s="83">
        <v>45992</v>
      </c>
      <c r="P443" s="87" t="s">
        <v>26</v>
      </c>
    </row>
    <row r="444" spans="1:16" x14ac:dyDescent="0.3">
      <c r="A444" s="77" t="s">
        <v>102</v>
      </c>
      <c r="B444" s="80" t="s">
        <v>77</v>
      </c>
      <c r="C444" s="43">
        <v>27132</v>
      </c>
      <c r="D444" s="43">
        <v>27132</v>
      </c>
      <c r="E444" s="43"/>
      <c r="F444" s="80" t="s">
        <v>70</v>
      </c>
      <c r="G444" s="83">
        <v>46033</v>
      </c>
      <c r="H444" s="83">
        <v>46038</v>
      </c>
      <c r="I444" s="4">
        <v>5</v>
      </c>
      <c r="J444" s="80" t="str">
        <f>TEXT(tblPayments[[#This Row],[Arrival]],"mmm")</f>
        <v>Jan</v>
      </c>
      <c r="K444" s="80">
        <f>MONTH(tblPayments[[#This Row],[Arrival]])</f>
        <v>1</v>
      </c>
      <c r="L444" s="80">
        <f>YEAR(tblPayments[[#This Row],[Arrival]])</f>
        <v>2026</v>
      </c>
      <c r="M444" s="80" t="str">
        <f>IF(tblPayments[[#This Row],[Balance]]=0,"Full Payment","Deposit")</f>
        <v>Full Payment</v>
      </c>
      <c r="N444" s="43">
        <v>16744.5</v>
      </c>
      <c r="O444" s="83">
        <v>45918</v>
      </c>
      <c r="P444" s="87" t="s">
        <v>26</v>
      </c>
    </row>
    <row r="445" spans="1:16" x14ac:dyDescent="0.3">
      <c r="A445" s="77" t="s">
        <v>102</v>
      </c>
      <c r="B445" s="80" t="s">
        <v>77</v>
      </c>
      <c r="C445" s="43">
        <v>19220</v>
      </c>
      <c r="D445" s="43">
        <v>19220</v>
      </c>
      <c r="E445" s="43"/>
      <c r="F445" s="80" t="s">
        <v>70</v>
      </c>
      <c r="G445" s="83">
        <v>46033</v>
      </c>
      <c r="H445" s="83">
        <v>46038</v>
      </c>
      <c r="I445" s="4">
        <v>5</v>
      </c>
      <c r="J445" s="80" t="str">
        <f>TEXT(tblPayments[[#This Row],[Arrival]],"mmm")</f>
        <v>Jan</v>
      </c>
      <c r="K445" s="80">
        <f>MONTH(tblPayments[[#This Row],[Arrival]])</f>
        <v>1</v>
      </c>
      <c r="L445" s="80">
        <f>YEAR(tblPayments[[#This Row],[Arrival]])</f>
        <v>2026</v>
      </c>
      <c r="M445" s="80" t="str">
        <f>IF(tblPayments[[#This Row],[Balance]]=0,"Full Payment","Deposit")</f>
        <v>Full Payment</v>
      </c>
      <c r="N445" s="43">
        <v>12315.45</v>
      </c>
      <c r="O445" s="83">
        <v>45947</v>
      </c>
      <c r="P445" s="87" t="s">
        <v>41</v>
      </c>
    </row>
    <row r="446" spans="1:16" x14ac:dyDescent="0.3">
      <c r="A446" s="77" t="s">
        <v>102</v>
      </c>
      <c r="B446" s="80" t="s">
        <v>77</v>
      </c>
      <c r="C446" s="43">
        <v>24522.32</v>
      </c>
      <c r="D446" s="43">
        <v>24522.32</v>
      </c>
      <c r="E446" s="43"/>
      <c r="F446" s="80" t="s">
        <v>70</v>
      </c>
      <c r="G446" s="83">
        <v>46033</v>
      </c>
      <c r="H446" s="83">
        <v>46040</v>
      </c>
      <c r="I446" s="4">
        <v>7</v>
      </c>
      <c r="J446" s="80" t="str">
        <f>TEXT(tblPayments[[#This Row],[Arrival]],"mmm")</f>
        <v>Jan</v>
      </c>
      <c r="K446" s="80">
        <f>MONTH(tblPayments[[#This Row],[Arrival]])</f>
        <v>1</v>
      </c>
      <c r="L446" s="80">
        <f>YEAR(tblPayments[[#This Row],[Arrival]])</f>
        <v>2026</v>
      </c>
      <c r="M446" s="80" t="str">
        <f>IF(tblPayments[[#This Row],[Balance]]=0,"Full Payment","Deposit")</f>
        <v>Full Payment</v>
      </c>
      <c r="N446" s="43">
        <v>15906.81</v>
      </c>
      <c r="O446" s="83">
        <v>45967</v>
      </c>
      <c r="P446" s="87" t="s">
        <v>15</v>
      </c>
    </row>
    <row r="447" spans="1:16" x14ac:dyDescent="0.3">
      <c r="A447" s="77" t="s">
        <v>102</v>
      </c>
      <c r="B447" s="80" t="s">
        <v>77</v>
      </c>
      <c r="C447" s="43">
        <v>31975.68</v>
      </c>
      <c r="D447" s="43">
        <v>31975.68</v>
      </c>
      <c r="E447" s="43"/>
      <c r="F447" s="80" t="s">
        <v>81</v>
      </c>
      <c r="G447" s="83">
        <v>46033</v>
      </c>
      <c r="H447" s="83">
        <v>46037</v>
      </c>
      <c r="I447" s="4">
        <v>4</v>
      </c>
      <c r="J447" s="80" t="str">
        <f>TEXT(tblPayments[[#This Row],[Arrival]],"mmm")</f>
        <v>Jan</v>
      </c>
      <c r="K447" s="80">
        <f>MONTH(tblPayments[[#This Row],[Arrival]])</f>
        <v>1</v>
      </c>
      <c r="L447" s="80">
        <f>YEAR(tblPayments[[#This Row],[Arrival]])</f>
        <v>2026</v>
      </c>
      <c r="M447" s="80" t="str">
        <f>IF(tblPayments[[#This Row],[Balance]]=0,"Full Payment","Deposit")</f>
        <v>Full Payment</v>
      </c>
      <c r="N447" s="43">
        <v>18803.16</v>
      </c>
      <c r="O447" s="83">
        <v>45919</v>
      </c>
      <c r="P447" s="87" t="s">
        <v>2</v>
      </c>
    </row>
    <row r="448" spans="1:16" x14ac:dyDescent="0.3">
      <c r="A448" s="77" t="s">
        <v>102</v>
      </c>
      <c r="B448" s="80" t="s">
        <v>77</v>
      </c>
      <c r="C448" s="43">
        <v>77066</v>
      </c>
      <c r="D448" s="43"/>
      <c r="E448" s="43">
        <v>77066</v>
      </c>
      <c r="F448" s="80" t="s">
        <v>75</v>
      </c>
      <c r="G448" s="83">
        <v>46034</v>
      </c>
      <c r="H448" s="83">
        <v>46041</v>
      </c>
      <c r="I448" s="4">
        <v>7</v>
      </c>
      <c r="J448" s="80" t="str">
        <f>TEXT(tblPayments[[#This Row],[Arrival]],"mmm")</f>
        <v>Jan</v>
      </c>
      <c r="K448" s="80">
        <f>MONTH(tblPayments[[#This Row],[Arrival]])</f>
        <v>1</v>
      </c>
      <c r="L448" s="80">
        <f>YEAR(tblPayments[[#This Row],[Arrival]])</f>
        <v>2026</v>
      </c>
      <c r="M448" s="80" t="str">
        <f>IF(tblPayments[[#This Row],[Balance]]=0,"Full Payment","Deposit")</f>
        <v>Deposit</v>
      </c>
      <c r="N448" s="43">
        <v>53197.48</v>
      </c>
      <c r="O448" s="83">
        <v>45702</v>
      </c>
      <c r="P448" s="87" t="s">
        <v>38</v>
      </c>
    </row>
    <row r="449" spans="1:16" x14ac:dyDescent="0.3">
      <c r="A449" s="77" t="s">
        <v>102</v>
      </c>
      <c r="B449" s="80" t="s">
        <v>77</v>
      </c>
      <c r="C449" s="43"/>
      <c r="D449" s="43"/>
      <c r="E449" s="43"/>
      <c r="F449" s="80" t="s">
        <v>74</v>
      </c>
      <c r="G449" s="83">
        <v>46034</v>
      </c>
      <c r="H449" s="83">
        <v>46038</v>
      </c>
      <c r="I449" s="4">
        <v>4</v>
      </c>
      <c r="J449" s="80" t="str">
        <f>TEXT(tblPayments[[#This Row],[Arrival]],"mmm")</f>
        <v>Jan</v>
      </c>
      <c r="K449" s="80">
        <f>MONTH(tblPayments[[#This Row],[Arrival]])</f>
        <v>1</v>
      </c>
      <c r="L449" s="80">
        <f>YEAR(tblPayments[[#This Row],[Arrival]])</f>
        <v>2026</v>
      </c>
      <c r="M449" s="80" t="str">
        <f>IF(tblPayments[[#This Row],[Balance]]=0,"Full Payment","Deposit")</f>
        <v>Full Payment</v>
      </c>
      <c r="N449" s="43">
        <v>10531.12</v>
      </c>
      <c r="O449" s="83">
        <v>45998</v>
      </c>
      <c r="P449" s="87" t="s">
        <v>31</v>
      </c>
    </row>
    <row r="450" spans="1:16" x14ac:dyDescent="0.3">
      <c r="A450" s="77" t="s">
        <v>102</v>
      </c>
      <c r="B450" s="80" t="s">
        <v>77</v>
      </c>
      <c r="C450" s="43"/>
      <c r="D450" s="43"/>
      <c r="E450" s="43"/>
      <c r="F450" s="80" t="s">
        <v>74</v>
      </c>
      <c r="G450" s="83">
        <v>46034</v>
      </c>
      <c r="H450" s="83">
        <v>46038</v>
      </c>
      <c r="I450" s="4">
        <v>4</v>
      </c>
      <c r="J450" s="80" t="str">
        <f>TEXT(tblPayments[[#This Row],[Arrival]],"mmm")</f>
        <v>Jan</v>
      </c>
      <c r="K450" s="80">
        <f>MONTH(tblPayments[[#This Row],[Arrival]])</f>
        <v>1</v>
      </c>
      <c r="L450" s="80">
        <f>YEAR(tblPayments[[#This Row],[Arrival]])</f>
        <v>2026</v>
      </c>
      <c r="M450" s="80" t="str">
        <f>IF(tblPayments[[#This Row],[Balance]]=0,"Full Payment","Deposit")</f>
        <v>Full Payment</v>
      </c>
      <c r="N450" s="43">
        <v>10531.12</v>
      </c>
      <c r="O450" s="83">
        <v>46000</v>
      </c>
      <c r="P450" s="87" t="s">
        <v>31</v>
      </c>
    </row>
    <row r="451" spans="1:16" x14ac:dyDescent="0.3">
      <c r="A451" s="77" t="s">
        <v>102</v>
      </c>
      <c r="B451" s="80" t="s">
        <v>77</v>
      </c>
      <c r="C451" s="43">
        <v>5402.98</v>
      </c>
      <c r="D451" s="43"/>
      <c r="E451" s="43">
        <v>5402.98</v>
      </c>
      <c r="F451" s="80" t="s">
        <v>80</v>
      </c>
      <c r="G451" s="83">
        <v>46034</v>
      </c>
      <c r="H451" s="83">
        <v>46035</v>
      </c>
      <c r="I451" s="4">
        <v>1</v>
      </c>
      <c r="J451" s="80" t="str">
        <f>TEXT(tblPayments[[#This Row],[Arrival]],"mmm")</f>
        <v>Jan</v>
      </c>
      <c r="K451" s="80">
        <f>MONTH(tblPayments[[#This Row],[Arrival]])</f>
        <v>1</v>
      </c>
      <c r="L451" s="80">
        <f>YEAR(tblPayments[[#This Row],[Arrival]])</f>
        <v>2026</v>
      </c>
      <c r="M451" s="80" t="str">
        <f>IF(tblPayments[[#This Row],[Balance]]=0,"Full Payment","Deposit")</f>
        <v>Deposit</v>
      </c>
      <c r="N451" s="43">
        <v>2021.5</v>
      </c>
      <c r="O451" s="83">
        <v>45996</v>
      </c>
      <c r="P451" s="87"/>
    </row>
    <row r="452" spans="1:16" x14ac:dyDescent="0.3">
      <c r="A452" s="77" t="s">
        <v>102</v>
      </c>
      <c r="B452" s="80" t="s">
        <v>77</v>
      </c>
      <c r="C452" s="43">
        <v>92486</v>
      </c>
      <c r="D452" s="43"/>
      <c r="E452" s="43">
        <v>92486</v>
      </c>
      <c r="F452" s="80" t="s">
        <v>75</v>
      </c>
      <c r="G452" s="83">
        <v>46034</v>
      </c>
      <c r="H452" s="83">
        <v>46041</v>
      </c>
      <c r="I452" s="4">
        <v>7</v>
      </c>
      <c r="J452" s="80" t="str">
        <f>TEXT(tblPayments[[#This Row],[Arrival]],"mmm")</f>
        <v>Jan</v>
      </c>
      <c r="K452" s="80">
        <f>MONTH(tblPayments[[#This Row],[Arrival]])</f>
        <v>1</v>
      </c>
      <c r="L452" s="80">
        <f>YEAR(tblPayments[[#This Row],[Arrival]])</f>
        <v>2026</v>
      </c>
      <c r="M452" s="80" t="str">
        <f>IF(tblPayments[[#This Row],[Balance]]=0,"Full Payment","Deposit")</f>
        <v>Deposit</v>
      </c>
      <c r="N452" s="43">
        <v>66948.98</v>
      </c>
      <c r="O452" s="83">
        <v>45654</v>
      </c>
      <c r="P452" s="87" t="s">
        <v>38</v>
      </c>
    </row>
    <row r="453" spans="1:16" x14ac:dyDescent="0.3">
      <c r="A453" s="77" t="s">
        <v>102</v>
      </c>
      <c r="B453" s="80" t="s">
        <v>77</v>
      </c>
      <c r="C453" s="43">
        <v>32887.300000000003</v>
      </c>
      <c r="D453" s="43"/>
      <c r="E453" s="43">
        <v>32887.300000000003</v>
      </c>
      <c r="F453" s="80" t="s">
        <v>75</v>
      </c>
      <c r="G453" s="83">
        <v>46034</v>
      </c>
      <c r="H453" s="83">
        <v>46041</v>
      </c>
      <c r="I453" s="4">
        <v>7</v>
      </c>
      <c r="J453" s="80" t="str">
        <f>TEXT(tblPayments[[#This Row],[Arrival]],"mmm")</f>
        <v>Jan</v>
      </c>
      <c r="K453" s="80">
        <f>MONTH(tblPayments[[#This Row],[Arrival]])</f>
        <v>1</v>
      </c>
      <c r="L453" s="80">
        <f>YEAR(tblPayments[[#This Row],[Arrival]])</f>
        <v>2026</v>
      </c>
      <c r="M453" s="80" t="str">
        <f>IF(tblPayments[[#This Row],[Balance]]=0,"Full Payment","Deposit")</f>
        <v>Deposit</v>
      </c>
      <c r="N453" s="43">
        <v>22290.31</v>
      </c>
      <c r="O453" s="83">
        <v>45702</v>
      </c>
      <c r="P453" s="87" t="s">
        <v>38</v>
      </c>
    </row>
    <row r="454" spans="1:16" x14ac:dyDescent="0.3">
      <c r="A454" s="77" t="s">
        <v>102</v>
      </c>
      <c r="B454" s="80" t="s">
        <v>77</v>
      </c>
      <c r="C454" s="43">
        <v>32887.25</v>
      </c>
      <c r="D454" s="43"/>
      <c r="E454" s="43">
        <v>32887.25</v>
      </c>
      <c r="F454" s="80" t="s">
        <v>75</v>
      </c>
      <c r="G454" s="83">
        <v>46034</v>
      </c>
      <c r="H454" s="83">
        <v>46041</v>
      </c>
      <c r="I454" s="4">
        <v>7</v>
      </c>
      <c r="J454" s="80" t="str">
        <f>TEXT(tblPayments[[#This Row],[Arrival]],"mmm")</f>
        <v>Jan</v>
      </c>
      <c r="K454" s="80">
        <f>MONTH(tblPayments[[#This Row],[Arrival]])</f>
        <v>1</v>
      </c>
      <c r="L454" s="80">
        <f>YEAR(tblPayments[[#This Row],[Arrival]])</f>
        <v>2026</v>
      </c>
      <c r="M454" s="80" t="str">
        <f>IF(tblPayments[[#This Row],[Balance]]=0,"Full Payment","Deposit")</f>
        <v>Deposit</v>
      </c>
      <c r="N454" s="43">
        <v>22290.31</v>
      </c>
      <c r="O454" s="83">
        <v>45707</v>
      </c>
      <c r="P454" s="87" t="s">
        <v>38</v>
      </c>
    </row>
    <row r="455" spans="1:16" x14ac:dyDescent="0.3">
      <c r="A455" s="77" t="s">
        <v>102</v>
      </c>
      <c r="B455" s="80" t="s">
        <v>77</v>
      </c>
      <c r="C455" s="43">
        <v>23719.16</v>
      </c>
      <c r="D455" s="43">
        <v>23719.16</v>
      </c>
      <c r="E455" s="43"/>
      <c r="F455" s="80" t="s">
        <v>70</v>
      </c>
      <c r="G455" s="83">
        <v>46035</v>
      </c>
      <c r="H455" s="83">
        <v>46040</v>
      </c>
      <c r="I455" s="4">
        <v>5</v>
      </c>
      <c r="J455" s="80" t="str">
        <f>TEXT(tblPayments[[#This Row],[Arrival]],"mmm")</f>
        <v>Jan</v>
      </c>
      <c r="K455" s="80">
        <f>MONTH(tblPayments[[#This Row],[Arrival]])</f>
        <v>1</v>
      </c>
      <c r="L455" s="80">
        <f>YEAR(tblPayments[[#This Row],[Arrival]])</f>
        <v>2026</v>
      </c>
      <c r="M455" s="80" t="str">
        <f>IF(tblPayments[[#This Row],[Balance]]=0,"Full Payment","Deposit")</f>
        <v>Full Payment</v>
      </c>
      <c r="N455" s="43">
        <v>15529.6</v>
      </c>
      <c r="O455" s="83">
        <v>45986</v>
      </c>
      <c r="P455" s="87" t="s">
        <v>12</v>
      </c>
    </row>
    <row r="456" spans="1:16" x14ac:dyDescent="0.3">
      <c r="A456" s="77" t="s">
        <v>102</v>
      </c>
      <c r="B456" s="80" t="s">
        <v>77</v>
      </c>
      <c r="C456" s="43">
        <v>10491.53</v>
      </c>
      <c r="D456" s="43"/>
      <c r="E456" s="43">
        <v>10491.53</v>
      </c>
      <c r="F456" s="80" t="s">
        <v>75</v>
      </c>
      <c r="G456" s="83">
        <v>46035</v>
      </c>
      <c r="H456" s="83">
        <v>46042</v>
      </c>
      <c r="I456" s="4">
        <v>7</v>
      </c>
      <c r="J456" s="80" t="str">
        <f>TEXT(tblPayments[[#This Row],[Arrival]],"mmm")</f>
        <v>Jan</v>
      </c>
      <c r="K456" s="80">
        <f>MONTH(tblPayments[[#This Row],[Arrival]])</f>
        <v>1</v>
      </c>
      <c r="L456" s="80">
        <f>YEAR(tblPayments[[#This Row],[Arrival]])</f>
        <v>2026</v>
      </c>
      <c r="M456" s="80" t="str">
        <f>IF(tblPayments[[#This Row],[Balance]]=0,"Full Payment","Deposit")</f>
        <v>Deposit</v>
      </c>
      <c r="N456" s="43">
        <v>0</v>
      </c>
      <c r="O456" s="83">
        <v>45895</v>
      </c>
      <c r="P456" s="87" t="s">
        <v>9</v>
      </c>
    </row>
    <row r="457" spans="1:16" x14ac:dyDescent="0.3">
      <c r="A457" s="77" t="s">
        <v>102</v>
      </c>
      <c r="B457" s="80" t="s">
        <v>77</v>
      </c>
      <c r="C457" s="43">
        <v>16044</v>
      </c>
      <c r="D457" s="43">
        <v>4011</v>
      </c>
      <c r="E457" s="43">
        <v>12033</v>
      </c>
      <c r="F457" s="80" t="s">
        <v>72</v>
      </c>
      <c r="G457" s="83">
        <v>46035</v>
      </c>
      <c r="H457" s="83">
        <v>46039</v>
      </c>
      <c r="I457" s="4">
        <v>4</v>
      </c>
      <c r="J457" s="80" t="str">
        <f>TEXT(tblPayments[[#This Row],[Arrival]],"mmm")</f>
        <v>Jan</v>
      </c>
      <c r="K457" s="80">
        <f>MONTH(tblPayments[[#This Row],[Arrival]])</f>
        <v>1</v>
      </c>
      <c r="L457" s="80">
        <f>YEAR(tblPayments[[#This Row],[Arrival]])</f>
        <v>2026</v>
      </c>
      <c r="M457" s="80" t="str">
        <f>IF(tblPayments[[#This Row],[Balance]]=0,"Full Payment","Deposit")</f>
        <v>Deposit</v>
      </c>
      <c r="N457" s="43">
        <v>7379.42</v>
      </c>
      <c r="O457" s="83">
        <v>45973</v>
      </c>
      <c r="P457" s="87" t="s">
        <v>31</v>
      </c>
    </row>
    <row r="458" spans="1:16" x14ac:dyDescent="0.3">
      <c r="A458" s="77" t="s">
        <v>102</v>
      </c>
      <c r="B458" s="80" t="s">
        <v>77</v>
      </c>
      <c r="C458" s="43">
        <v>16744</v>
      </c>
      <c r="D458" s="43">
        <v>4186</v>
      </c>
      <c r="E458" s="43">
        <v>12558</v>
      </c>
      <c r="F458" s="80" t="s">
        <v>72</v>
      </c>
      <c r="G458" s="83">
        <v>46035</v>
      </c>
      <c r="H458" s="83">
        <v>46039</v>
      </c>
      <c r="I458" s="4">
        <v>4</v>
      </c>
      <c r="J458" s="80" t="str">
        <f>TEXT(tblPayments[[#This Row],[Arrival]],"mmm")</f>
        <v>Jan</v>
      </c>
      <c r="K458" s="80">
        <f>MONTH(tblPayments[[#This Row],[Arrival]])</f>
        <v>1</v>
      </c>
      <c r="L458" s="80">
        <f>YEAR(tblPayments[[#This Row],[Arrival]])</f>
        <v>2026</v>
      </c>
      <c r="M458" s="80" t="str">
        <f>IF(tblPayments[[#This Row],[Balance]]=0,"Full Payment","Deposit")</f>
        <v>Deposit</v>
      </c>
      <c r="N458" s="43">
        <v>7913.62</v>
      </c>
      <c r="O458" s="83">
        <v>45975</v>
      </c>
      <c r="P458" s="87" t="s">
        <v>31</v>
      </c>
    </row>
    <row r="459" spans="1:16" x14ac:dyDescent="0.3">
      <c r="A459" s="77" t="s">
        <v>102</v>
      </c>
      <c r="B459" s="80" t="s">
        <v>77</v>
      </c>
      <c r="C459" s="43">
        <v>12547.66</v>
      </c>
      <c r="D459" s="43"/>
      <c r="E459" s="43">
        <v>12547.66</v>
      </c>
      <c r="F459" s="80" t="s">
        <v>75</v>
      </c>
      <c r="G459" s="83">
        <v>46036</v>
      </c>
      <c r="H459" s="83">
        <v>46038</v>
      </c>
      <c r="I459" s="4">
        <v>2</v>
      </c>
      <c r="J459" s="80" t="str">
        <f>TEXT(tblPayments[[#This Row],[Arrival]],"mmm")</f>
        <v>Jan</v>
      </c>
      <c r="K459" s="80">
        <f>MONTH(tblPayments[[#This Row],[Arrival]])</f>
        <v>1</v>
      </c>
      <c r="L459" s="80">
        <f>YEAR(tblPayments[[#This Row],[Arrival]])</f>
        <v>2026</v>
      </c>
      <c r="M459" s="80" t="str">
        <f>IF(tblPayments[[#This Row],[Balance]]=0,"Full Payment","Deposit")</f>
        <v>Deposit</v>
      </c>
      <c r="N459" s="43">
        <v>6211.58</v>
      </c>
      <c r="O459" s="83">
        <v>45980</v>
      </c>
      <c r="P459" s="87" t="s">
        <v>58</v>
      </c>
    </row>
    <row r="460" spans="1:16" x14ac:dyDescent="0.3">
      <c r="A460" s="77" t="s">
        <v>102</v>
      </c>
      <c r="B460" s="80" t="s">
        <v>77</v>
      </c>
      <c r="C460" s="43">
        <v>14276</v>
      </c>
      <c r="D460" s="43">
        <v>3569</v>
      </c>
      <c r="E460" s="43">
        <v>10707</v>
      </c>
      <c r="F460" s="80" t="s">
        <v>72</v>
      </c>
      <c r="G460" s="83">
        <v>46036</v>
      </c>
      <c r="H460" s="83">
        <v>46040</v>
      </c>
      <c r="I460" s="4">
        <v>4</v>
      </c>
      <c r="J460" s="80" t="str">
        <f>TEXT(tblPayments[[#This Row],[Arrival]],"mmm")</f>
        <v>Jan</v>
      </c>
      <c r="K460" s="80">
        <f>MONTH(tblPayments[[#This Row],[Arrival]])</f>
        <v>1</v>
      </c>
      <c r="L460" s="80">
        <f>YEAR(tblPayments[[#This Row],[Arrival]])</f>
        <v>2026</v>
      </c>
      <c r="M460" s="80" t="str">
        <f>IF(tblPayments[[#This Row],[Balance]]=0,"Full Payment","Deposit")</f>
        <v>Deposit</v>
      </c>
      <c r="N460" s="43">
        <v>8593.64</v>
      </c>
      <c r="O460" s="83">
        <v>45947</v>
      </c>
      <c r="P460" s="87" t="s">
        <v>31</v>
      </c>
    </row>
    <row r="461" spans="1:16" x14ac:dyDescent="0.3">
      <c r="A461" s="77" t="s">
        <v>102</v>
      </c>
      <c r="B461" s="80" t="s">
        <v>77</v>
      </c>
      <c r="C461" s="43">
        <v>28288.400000000001</v>
      </c>
      <c r="D461" s="43"/>
      <c r="E461" s="43">
        <v>28288.400000000001</v>
      </c>
      <c r="F461" s="80" t="s">
        <v>75</v>
      </c>
      <c r="G461" s="83">
        <v>46036</v>
      </c>
      <c r="H461" s="83">
        <v>46043</v>
      </c>
      <c r="I461" s="4">
        <v>7</v>
      </c>
      <c r="J461" s="80" t="str">
        <f>TEXT(tblPayments[[#This Row],[Arrival]],"mmm")</f>
        <v>Jan</v>
      </c>
      <c r="K461" s="80">
        <f>MONTH(tblPayments[[#This Row],[Arrival]])</f>
        <v>1</v>
      </c>
      <c r="L461" s="80">
        <f>YEAR(tblPayments[[#This Row],[Arrival]])</f>
        <v>2026</v>
      </c>
      <c r="M461" s="80" t="str">
        <f>IF(tblPayments[[#This Row],[Balance]]=0,"Full Payment","Deposit")</f>
        <v>Deposit</v>
      </c>
      <c r="N461" s="43">
        <v>17820.46</v>
      </c>
      <c r="O461" s="83">
        <v>45902</v>
      </c>
      <c r="P461" s="87" t="s">
        <v>41</v>
      </c>
    </row>
    <row r="462" spans="1:16" x14ac:dyDescent="0.3">
      <c r="A462" s="77" t="s">
        <v>102</v>
      </c>
      <c r="B462" s="80" t="s">
        <v>77</v>
      </c>
      <c r="C462" s="43">
        <v>13655.36</v>
      </c>
      <c r="D462" s="43">
        <v>11055.36</v>
      </c>
      <c r="E462" s="43">
        <v>2600</v>
      </c>
      <c r="F462" s="80" t="s">
        <v>72</v>
      </c>
      <c r="G462" s="83">
        <v>46036</v>
      </c>
      <c r="H462" s="83">
        <v>46038</v>
      </c>
      <c r="I462" s="4">
        <v>2</v>
      </c>
      <c r="J462" s="80" t="str">
        <f>TEXT(tblPayments[[#This Row],[Arrival]],"mmm")</f>
        <v>Jan</v>
      </c>
      <c r="K462" s="80">
        <f>MONTH(tblPayments[[#This Row],[Arrival]])</f>
        <v>1</v>
      </c>
      <c r="L462" s="80">
        <f>YEAR(tblPayments[[#This Row],[Arrival]])</f>
        <v>2026</v>
      </c>
      <c r="M462" s="80" t="str">
        <f>IF(tblPayments[[#This Row],[Balance]]=0,"Full Payment","Deposit")</f>
        <v>Deposit</v>
      </c>
      <c r="N462" s="43">
        <v>8201.58</v>
      </c>
      <c r="O462" s="83">
        <v>45939</v>
      </c>
      <c r="P462" s="87" t="s">
        <v>44</v>
      </c>
    </row>
    <row r="463" spans="1:16" x14ac:dyDescent="0.3">
      <c r="A463" s="77" t="s">
        <v>102</v>
      </c>
      <c r="B463" s="80" t="s">
        <v>77</v>
      </c>
      <c r="C463" s="43">
        <v>15446</v>
      </c>
      <c r="D463" s="43">
        <v>3861</v>
      </c>
      <c r="E463" s="43">
        <v>11585</v>
      </c>
      <c r="F463" s="80" t="s">
        <v>72</v>
      </c>
      <c r="G463" s="83">
        <v>46036</v>
      </c>
      <c r="H463" s="83">
        <v>46040</v>
      </c>
      <c r="I463" s="4">
        <v>4</v>
      </c>
      <c r="J463" s="80" t="str">
        <f>TEXT(tblPayments[[#This Row],[Arrival]],"mmm")</f>
        <v>Jan</v>
      </c>
      <c r="K463" s="80">
        <f>MONTH(tblPayments[[#This Row],[Arrival]])</f>
        <v>1</v>
      </c>
      <c r="L463" s="80">
        <f>YEAR(tblPayments[[#This Row],[Arrival]])</f>
        <v>2026</v>
      </c>
      <c r="M463" s="80" t="str">
        <f>IF(tblPayments[[#This Row],[Balance]]=0,"Full Payment","Deposit")</f>
        <v>Deposit</v>
      </c>
      <c r="N463" s="43">
        <v>7577.84</v>
      </c>
      <c r="O463" s="83">
        <v>45969</v>
      </c>
      <c r="P463" s="87" t="s">
        <v>31</v>
      </c>
    </row>
    <row r="464" spans="1:16" x14ac:dyDescent="0.3">
      <c r="A464" s="77" t="s">
        <v>102</v>
      </c>
      <c r="B464" s="80" t="s">
        <v>77</v>
      </c>
      <c r="C464" s="43">
        <v>102038.43</v>
      </c>
      <c r="D464" s="43">
        <v>102038.43</v>
      </c>
      <c r="E464" s="43"/>
      <c r="F464" s="80" t="s">
        <v>70</v>
      </c>
      <c r="G464" s="83">
        <v>46037</v>
      </c>
      <c r="H464" s="83">
        <v>46044</v>
      </c>
      <c r="I464" s="4">
        <v>7</v>
      </c>
      <c r="J464" s="80" t="str">
        <f>TEXT(tblPayments[[#This Row],[Arrival]],"mmm")</f>
        <v>Jan</v>
      </c>
      <c r="K464" s="80">
        <f>MONTH(tblPayments[[#This Row],[Arrival]])</f>
        <v>1</v>
      </c>
      <c r="L464" s="80">
        <f>YEAR(tblPayments[[#This Row],[Arrival]])</f>
        <v>2026</v>
      </c>
      <c r="M464" s="80" t="str">
        <f>IF(tblPayments[[#This Row],[Balance]]=0,"Full Payment","Deposit")</f>
        <v>Full Payment</v>
      </c>
      <c r="N464" s="43">
        <v>75122.460000000006</v>
      </c>
      <c r="O464" s="83">
        <v>45980</v>
      </c>
      <c r="P464" s="87" t="s">
        <v>38</v>
      </c>
    </row>
    <row r="465" spans="1:16" x14ac:dyDescent="0.3">
      <c r="A465" s="77" t="s">
        <v>102</v>
      </c>
      <c r="B465" s="80" t="s">
        <v>77</v>
      </c>
      <c r="C465" s="43">
        <v>61778.720000000001</v>
      </c>
      <c r="D465" s="43">
        <v>9542.5</v>
      </c>
      <c r="E465" s="43">
        <v>52236.22</v>
      </c>
      <c r="F465" s="80" t="s">
        <v>72</v>
      </c>
      <c r="G465" s="83">
        <v>46037</v>
      </c>
      <c r="H465" s="83">
        <v>46044</v>
      </c>
      <c r="I465" s="4">
        <v>7</v>
      </c>
      <c r="J465" s="80" t="str">
        <f>TEXT(tblPayments[[#This Row],[Arrival]],"mmm")</f>
        <v>Jan</v>
      </c>
      <c r="K465" s="80">
        <f>MONTH(tblPayments[[#This Row],[Arrival]])</f>
        <v>1</v>
      </c>
      <c r="L465" s="80">
        <f>YEAR(tblPayments[[#This Row],[Arrival]])</f>
        <v>2026</v>
      </c>
      <c r="M465" s="80" t="str">
        <f>IF(tblPayments[[#This Row],[Balance]]=0,"Full Payment","Deposit")</f>
        <v>Deposit</v>
      </c>
      <c r="N465" s="43">
        <v>39983.79</v>
      </c>
      <c r="O465" s="83">
        <v>45944</v>
      </c>
      <c r="P465" s="87" t="s">
        <v>38</v>
      </c>
    </row>
    <row r="466" spans="1:16" x14ac:dyDescent="0.3">
      <c r="A466" s="77" t="s">
        <v>102</v>
      </c>
      <c r="B466" s="80" t="s">
        <v>77</v>
      </c>
      <c r="C466" s="43">
        <v>23095</v>
      </c>
      <c r="D466" s="43"/>
      <c r="E466" s="43">
        <v>23095</v>
      </c>
      <c r="F466" s="80" t="s">
        <v>75</v>
      </c>
      <c r="G466" s="83">
        <v>46037</v>
      </c>
      <c r="H466" s="83">
        <v>46042</v>
      </c>
      <c r="I466" s="4">
        <v>5</v>
      </c>
      <c r="J466" s="80" t="str">
        <f>TEXT(tblPayments[[#This Row],[Arrival]],"mmm")</f>
        <v>Jan</v>
      </c>
      <c r="K466" s="80">
        <f>MONTH(tblPayments[[#This Row],[Arrival]])</f>
        <v>1</v>
      </c>
      <c r="L466" s="80">
        <f>YEAR(tblPayments[[#This Row],[Arrival]])</f>
        <v>2026</v>
      </c>
      <c r="M466" s="80" t="str">
        <f>IF(tblPayments[[#This Row],[Balance]]=0,"Full Payment","Deposit")</f>
        <v>Deposit</v>
      </c>
      <c r="N466" s="43">
        <v>0</v>
      </c>
      <c r="O466" s="83">
        <v>45984</v>
      </c>
      <c r="P466" s="87" t="s">
        <v>34</v>
      </c>
    </row>
    <row r="467" spans="1:16" x14ac:dyDescent="0.3">
      <c r="A467" s="77" t="s">
        <v>102</v>
      </c>
      <c r="B467" s="80"/>
      <c r="C467" s="43"/>
      <c r="D467" s="43"/>
      <c r="E467" s="43"/>
      <c r="F467" s="80"/>
      <c r="G467" s="83">
        <v>46037</v>
      </c>
      <c r="H467" s="83">
        <v>46041</v>
      </c>
      <c r="I467" s="4">
        <v>4</v>
      </c>
      <c r="J467" s="80" t="str">
        <f>TEXT(tblPayments[[#This Row],[Arrival]],"mmm")</f>
        <v>Jan</v>
      </c>
      <c r="K467" s="80">
        <f>MONTH(tblPayments[[#This Row],[Arrival]])</f>
        <v>1</v>
      </c>
      <c r="L467" s="80">
        <f>YEAR(tblPayments[[#This Row],[Arrival]])</f>
        <v>2026</v>
      </c>
      <c r="M467" s="80" t="str">
        <f>IF(tblPayments[[#This Row],[Balance]]=0,"Full Payment","Deposit")</f>
        <v>Full Payment</v>
      </c>
      <c r="N467" s="43"/>
      <c r="O467" s="83"/>
      <c r="P467" s="87"/>
    </row>
    <row r="468" spans="1:16" x14ac:dyDescent="0.3">
      <c r="A468" s="77" t="s">
        <v>102</v>
      </c>
      <c r="B468" s="80"/>
      <c r="C468" s="43"/>
      <c r="D468" s="43"/>
      <c r="E468" s="43"/>
      <c r="F468" s="80"/>
      <c r="G468" s="83">
        <v>46037</v>
      </c>
      <c r="H468" s="83">
        <v>46041</v>
      </c>
      <c r="I468" s="4">
        <v>4</v>
      </c>
      <c r="J468" s="80" t="str">
        <f>TEXT(tblPayments[[#This Row],[Arrival]],"mmm")</f>
        <v>Jan</v>
      </c>
      <c r="K468" s="80">
        <f>MONTH(tblPayments[[#This Row],[Arrival]])</f>
        <v>1</v>
      </c>
      <c r="L468" s="80">
        <f>YEAR(tblPayments[[#This Row],[Arrival]])</f>
        <v>2026</v>
      </c>
      <c r="M468" s="80" t="str">
        <f>IF(tblPayments[[#This Row],[Balance]]=0,"Full Payment","Deposit")</f>
        <v>Full Payment</v>
      </c>
      <c r="N468" s="43"/>
      <c r="O468" s="83"/>
      <c r="P468" s="87"/>
    </row>
    <row r="469" spans="1:16" x14ac:dyDescent="0.3">
      <c r="A469" s="77" t="s">
        <v>102</v>
      </c>
      <c r="B469" s="80" t="s">
        <v>77</v>
      </c>
      <c r="C469" s="43">
        <v>31998.34</v>
      </c>
      <c r="D469" s="43">
        <v>16144.25</v>
      </c>
      <c r="E469" s="43">
        <v>15854.09</v>
      </c>
      <c r="F469" s="80" t="s">
        <v>75</v>
      </c>
      <c r="G469" s="83">
        <v>46038</v>
      </c>
      <c r="H469" s="83">
        <v>46042</v>
      </c>
      <c r="I469" s="4">
        <v>4</v>
      </c>
      <c r="J469" s="80" t="str">
        <f>TEXT(tblPayments[[#This Row],[Arrival]],"mmm")</f>
        <v>Jan</v>
      </c>
      <c r="K469" s="80">
        <f>MONTH(tblPayments[[#This Row],[Arrival]])</f>
        <v>1</v>
      </c>
      <c r="L469" s="80">
        <f>YEAR(tblPayments[[#This Row],[Arrival]])</f>
        <v>2026</v>
      </c>
      <c r="M469" s="80" t="str">
        <f>IF(tblPayments[[#This Row],[Balance]]=0,"Full Payment","Deposit")</f>
        <v>Deposit</v>
      </c>
      <c r="N469" s="43">
        <v>15129.9</v>
      </c>
      <c r="O469" s="83">
        <v>45860</v>
      </c>
      <c r="P469" s="87" t="s">
        <v>33</v>
      </c>
    </row>
    <row r="470" spans="1:16" x14ac:dyDescent="0.3">
      <c r="A470" s="77" t="s">
        <v>102</v>
      </c>
      <c r="B470" s="80" t="s">
        <v>77</v>
      </c>
      <c r="C470" s="43">
        <v>25216</v>
      </c>
      <c r="D470" s="43"/>
      <c r="E470" s="43">
        <v>25216</v>
      </c>
      <c r="F470" s="80" t="s">
        <v>75</v>
      </c>
      <c r="G470" s="83">
        <v>46038</v>
      </c>
      <c r="H470" s="83">
        <v>46042</v>
      </c>
      <c r="I470" s="4">
        <v>4</v>
      </c>
      <c r="J470" s="80" t="str">
        <f>TEXT(tblPayments[[#This Row],[Arrival]],"mmm")</f>
        <v>Jan</v>
      </c>
      <c r="K470" s="80">
        <f>MONTH(tblPayments[[#This Row],[Arrival]])</f>
        <v>1</v>
      </c>
      <c r="L470" s="80">
        <f>YEAR(tblPayments[[#This Row],[Arrival]])</f>
        <v>2026</v>
      </c>
      <c r="M470" s="80" t="str">
        <f>IF(tblPayments[[#This Row],[Balance]]=0,"Full Payment","Deposit")</f>
        <v>Deposit</v>
      </c>
      <c r="N470" s="43">
        <v>13557.12</v>
      </c>
      <c r="O470" s="83">
        <v>45567</v>
      </c>
      <c r="P470" s="87" t="s">
        <v>26</v>
      </c>
    </row>
    <row r="471" spans="1:16" x14ac:dyDescent="0.3">
      <c r="A471" s="77" t="s">
        <v>102</v>
      </c>
      <c r="B471" s="80" t="s">
        <v>77</v>
      </c>
      <c r="C471" s="43">
        <v>23719.15</v>
      </c>
      <c r="D471" s="43"/>
      <c r="E471" s="43">
        <v>23719.15</v>
      </c>
      <c r="F471" s="80" t="s">
        <v>75</v>
      </c>
      <c r="G471" s="83">
        <v>46038</v>
      </c>
      <c r="H471" s="83">
        <v>46043</v>
      </c>
      <c r="I471" s="4">
        <v>5</v>
      </c>
      <c r="J471" s="80" t="str">
        <f>TEXT(tblPayments[[#This Row],[Arrival]],"mmm")</f>
        <v>Jan</v>
      </c>
      <c r="K471" s="80">
        <f>MONTH(tblPayments[[#This Row],[Arrival]])</f>
        <v>1</v>
      </c>
      <c r="L471" s="80">
        <f>YEAR(tblPayments[[#This Row],[Arrival]])</f>
        <v>2026</v>
      </c>
      <c r="M471" s="80" t="str">
        <f>IF(tblPayments[[#This Row],[Balance]]=0,"Full Payment","Deposit")</f>
        <v>Deposit</v>
      </c>
      <c r="N471" s="43">
        <v>15528.95</v>
      </c>
      <c r="O471" s="83">
        <v>45994</v>
      </c>
      <c r="P471" s="87" t="s">
        <v>6</v>
      </c>
    </row>
    <row r="472" spans="1:16" x14ac:dyDescent="0.3">
      <c r="A472" s="77" t="s">
        <v>102</v>
      </c>
      <c r="B472" s="80"/>
      <c r="C472" s="43"/>
      <c r="D472" s="43"/>
      <c r="E472" s="43"/>
      <c r="F472" s="80"/>
      <c r="G472" s="83">
        <v>46038</v>
      </c>
      <c r="H472" s="83">
        <v>46042</v>
      </c>
      <c r="I472" s="4">
        <v>4</v>
      </c>
      <c r="J472" s="80" t="str">
        <f>TEXT(tblPayments[[#This Row],[Arrival]],"mmm")</f>
        <v>Jan</v>
      </c>
      <c r="K472" s="80">
        <f>MONTH(tblPayments[[#This Row],[Arrival]])</f>
        <v>1</v>
      </c>
      <c r="L472" s="80">
        <f>YEAR(tblPayments[[#This Row],[Arrival]])</f>
        <v>2026</v>
      </c>
      <c r="M472" s="80" t="str">
        <f>IF(tblPayments[[#This Row],[Balance]]=0,"Full Payment","Deposit")</f>
        <v>Full Payment</v>
      </c>
      <c r="N472" s="43"/>
      <c r="O472" s="83"/>
      <c r="P472" s="87"/>
    </row>
    <row r="473" spans="1:16" x14ac:dyDescent="0.3">
      <c r="A473" s="77" t="s">
        <v>102</v>
      </c>
      <c r="B473" s="80"/>
      <c r="C473" s="43"/>
      <c r="D473" s="43"/>
      <c r="E473" s="43"/>
      <c r="F473" s="80"/>
      <c r="G473" s="83">
        <v>46038</v>
      </c>
      <c r="H473" s="83">
        <v>46042</v>
      </c>
      <c r="I473" s="4">
        <v>4</v>
      </c>
      <c r="J473" s="80" t="str">
        <f>TEXT(tblPayments[[#This Row],[Arrival]],"mmm")</f>
        <v>Jan</v>
      </c>
      <c r="K473" s="80">
        <f>MONTH(tblPayments[[#This Row],[Arrival]])</f>
        <v>1</v>
      </c>
      <c r="L473" s="80">
        <f>YEAR(tblPayments[[#This Row],[Arrival]])</f>
        <v>2026</v>
      </c>
      <c r="M473" s="80" t="str">
        <f>IF(tblPayments[[#This Row],[Balance]]=0,"Full Payment","Deposit")</f>
        <v>Full Payment</v>
      </c>
      <c r="N473" s="43"/>
      <c r="O473" s="83"/>
      <c r="P473" s="87"/>
    </row>
    <row r="474" spans="1:16" x14ac:dyDescent="0.3">
      <c r="A474" s="77" t="s">
        <v>102</v>
      </c>
      <c r="B474" s="80" t="s">
        <v>77</v>
      </c>
      <c r="C474" s="43">
        <v>50000</v>
      </c>
      <c r="D474" s="43"/>
      <c r="E474" s="43">
        <v>50000</v>
      </c>
      <c r="F474" s="80" t="s">
        <v>75</v>
      </c>
      <c r="G474" s="83">
        <v>46039</v>
      </c>
      <c r="H474" s="83">
        <v>46049</v>
      </c>
      <c r="I474" s="4">
        <v>10</v>
      </c>
      <c r="J474" s="80" t="str">
        <f>TEXT(tblPayments[[#This Row],[Arrival]],"mmm")</f>
        <v>Jan</v>
      </c>
      <c r="K474" s="80">
        <f>MONTH(tblPayments[[#This Row],[Arrival]])</f>
        <v>1</v>
      </c>
      <c r="L474" s="80">
        <f>YEAR(tblPayments[[#This Row],[Arrival]])</f>
        <v>2026</v>
      </c>
      <c r="M474" s="80" t="str">
        <f>IF(tblPayments[[#This Row],[Balance]]=0,"Full Payment","Deposit")</f>
        <v>Deposit</v>
      </c>
      <c r="N474" s="43">
        <v>16208.2</v>
      </c>
      <c r="O474" s="83">
        <v>45982</v>
      </c>
      <c r="P474" s="87" t="s">
        <v>1</v>
      </c>
    </row>
    <row r="475" spans="1:16" x14ac:dyDescent="0.3">
      <c r="A475" s="77" t="s">
        <v>102</v>
      </c>
      <c r="B475" s="80" t="s">
        <v>77</v>
      </c>
      <c r="C475" s="43">
        <v>24538</v>
      </c>
      <c r="D475" s="43"/>
      <c r="E475" s="43">
        <v>24538</v>
      </c>
      <c r="F475" s="80" t="s">
        <v>75</v>
      </c>
      <c r="G475" s="83">
        <v>46039</v>
      </c>
      <c r="H475" s="83">
        <v>46046</v>
      </c>
      <c r="I475" s="4">
        <v>7</v>
      </c>
      <c r="J475" s="80" t="str">
        <f>TEXT(tblPayments[[#This Row],[Arrival]],"mmm")</f>
        <v>Jan</v>
      </c>
      <c r="K475" s="80">
        <f>MONTH(tblPayments[[#This Row],[Arrival]])</f>
        <v>1</v>
      </c>
      <c r="L475" s="80">
        <f>YEAR(tblPayments[[#This Row],[Arrival]])</f>
        <v>2026</v>
      </c>
      <c r="M475" s="80" t="str">
        <f>IF(tblPayments[[#This Row],[Balance]]=0,"Full Payment","Deposit")</f>
        <v>Deposit</v>
      </c>
      <c r="N475" s="43">
        <v>13247.85</v>
      </c>
      <c r="O475" s="83">
        <v>45962</v>
      </c>
      <c r="P475" s="87" t="s">
        <v>2</v>
      </c>
    </row>
    <row r="476" spans="1:16" x14ac:dyDescent="0.3">
      <c r="A476" s="77" t="s">
        <v>102</v>
      </c>
      <c r="B476" s="80" t="s">
        <v>77</v>
      </c>
      <c r="C476" s="43">
        <v>864</v>
      </c>
      <c r="D476" s="43"/>
      <c r="E476" s="43">
        <v>864</v>
      </c>
      <c r="F476" s="80" t="s">
        <v>75</v>
      </c>
      <c r="G476" s="83">
        <v>46039</v>
      </c>
      <c r="H476" s="83">
        <v>46057</v>
      </c>
      <c r="I476" s="4">
        <v>18</v>
      </c>
      <c r="J476" s="80" t="str">
        <f>TEXT(tblPayments[[#This Row],[Arrival]],"mmm")</f>
        <v>Jan</v>
      </c>
      <c r="K476" s="80">
        <f>MONTH(tblPayments[[#This Row],[Arrival]])</f>
        <v>1</v>
      </c>
      <c r="L476" s="80">
        <f>YEAR(tblPayments[[#This Row],[Arrival]])</f>
        <v>2026</v>
      </c>
      <c r="M476" s="80" t="str">
        <f>IF(tblPayments[[#This Row],[Balance]]=0,"Full Payment","Deposit")</f>
        <v>Deposit</v>
      </c>
      <c r="N476" s="43">
        <v>329.76</v>
      </c>
      <c r="O476" s="83">
        <v>45753</v>
      </c>
      <c r="P476" s="87" t="s">
        <v>13</v>
      </c>
    </row>
    <row r="477" spans="1:16" x14ac:dyDescent="0.3">
      <c r="A477" s="77" t="s">
        <v>102</v>
      </c>
      <c r="B477" s="80" t="s">
        <v>77</v>
      </c>
      <c r="C477" s="43">
        <v>77128.990000000005</v>
      </c>
      <c r="D477" s="43"/>
      <c r="E477" s="43">
        <v>77128.990000000005</v>
      </c>
      <c r="F477" s="80" t="s">
        <v>75</v>
      </c>
      <c r="G477" s="83">
        <v>46039</v>
      </c>
      <c r="H477" s="83">
        <v>46046</v>
      </c>
      <c r="I477" s="4">
        <v>7</v>
      </c>
      <c r="J477" s="80" t="str">
        <f>TEXT(tblPayments[[#This Row],[Arrival]],"mmm")</f>
        <v>Jan</v>
      </c>
      <c r="K477" s="80">
        <f>MONTH(tblPayments[[#This Row],[Arrival]])</f>
        <v>1</v>
      </c>
      <c r="L477" s="80">
        <f>YEAR(tblPayments[[#This Row],[Arrival]])</f>
        <v>2026</v>
      </c>
      <c r="M477" s="80" t="str">
        <f>IF(tblPayments[[#This Row],[Balance]]=0,"Full Payment","Deposit")</f>
        <v>Deposit</v>
      </c>
      <c r="N477" s="43">
        <v>52957.1</v>
      </c>
      <c r="O477" s="83">
        <v>45910</v>
      </c>
      <c r="P477" s="87" t="s">
        <v>38</v>
      </c>
    </row>
    <row r="478" spans="1:16" x14ac:dyDescent="0.3">
      <c r="A478" s="77" t="s">
        <v>102</v>
      </c>
      <c r="B478" s="80" t="s">
        <v>77</v>
      </c>
      <c r="C478" s="43">
        <v>19506</v>
      </c>
      <c r="D478" s="43"/>
      <c r="E478" s="43">
        <v>19506</v>
      </c>
      <c r="F478" s="80" t="s">
        <v>75</v>
      </c>
      <c r="G478" s="83">
        <v>46039</v>
      </c>
      <c r="H478" s="83">
        <v>46043</v>
      </c>
      <c r="I478" s="4">
        <v>4</v>
      </c>
      <c r="J478" s="80" t="str">
        <f>TEXT(tblPayments[[#This Row],[Arrival]],"mmm")</f>
        <v>Jan</v>
      </c>
      <c r="K478" s="80">
        <f>MONTH(tblPayments[[#This Row],[Arrival]])</f>
        <v>1</v>
      </c>
      <c r="L478" s="80">
        <f>YEAR(tblPayments[[#This Row],[Arrival]])</f>
        <v>2026</v>
      </c>
      <c r="M478" s="80" t="str">
        <f>IF(tblPayments[[#This Row],[Balance]]=0,"Full Payment","Deposit")</f>
        <v>Deposit</v>
      </c>
      <c r="N478" s="43">
        <v>10549.44</v>
      </c>
      <c r="O478" s="83">
        <v>45907</v>
      </c>
      <c r="P478" s="87" t="s">
        <v>9</v>
      </c>
    </row>
    <row r="479" spans="1:16" x14ac:dyDescent="0.3">
      <c r="A479" s="77" t="s">
        <v>102</v>
      </c>
      <c r="B479" s="80" t="s">
        <v>77</v>
      </c>
      <c r="C479" s="43">
        <v>6117.83</v>
      </c>
      <c r="D479" s="43"/>
      <c r="E479" s="43">
        <v>6117.83</v>
      </c>
      <c r="F479" s="80" t="s">
        <v>75</v>
      </c>
      <c r="G479" s="83">
        <v>46040</v>
      </c>
      <c r="H479" s="83">
        <v>46041</v>
      </c>
      <c r="I479" s="4">
        <v>1</v>
      </c>
      <c r="J479" s="80" t="str">
        <f>TEXT(tblPayments[[#This Row],[Arrival]],"mmm")</f>
        <v>Jan</v>
      </c>
      <c r="K479" s="80">
        <f>MONTH(tblPayments[[#This Row],[Arrival]])</f>
        <v>1</v>
      </c>
      <c r="L479" s="80">
        <f>YEAR(tblPayments[[#This Row],[Arrival]])</f>
        <v>2026</v>
      </c>
      <c r="M479" s="80" t="str">
        <f>IF(tblPayments[[#This Row],[Balance]]=0,"Full Payment","Deposit")</f>
        <v>Deposit</v>
      </c>
      <c r="N479" s="43">
        <v>2567.0300000000002</v>
      </c>
      <c r="O479" s="83">
        <v>45980</v>
      </c>
      <c r="P479" s="87" t="s">
        <v>14</v>
      </c>
    </row>
    <row r="480" spans="1:16" x14ac:dyDescent="0.3">
      <c r="A480" s="77" t="s">
        <v>102</v>
      </c>
      <c r="B480" s="80" t="s">
        <v>77</v>
      </c>
      <c r="C480" s="43">
        <v>33872.800000000003</v>
      </c>
      <c r="D480" s="43">
        <v>8468.2000000000007</v>
      </c>
      <c r="E480" s="43">
        <v>25404.6</v>
      </c>
      <c r="F480" s="80" t="s">
        <v>72</v>
      </c>
      <c r="G480" s="83">
        <v>46040</v>
      </c>
      <c r="H480" s="83">
        <v>46046</v>
      </c>
      <c r="I480" s="4">
        <v>6</v>
      </c>
      <c r="J480" s="80" t="str">
        <f>TEXT(tblPayments[[#This Row],[Arrival]],"mmm")</f>
        <v>Jan</v>
      </c>
      <c r="K480" s="80">
        <f>MONTH(tblPayments[[#This Row],[Arrival]])</f>
        <v>1</v>
      </c>
      <c r="L480" s="80">
        <f>YEAR(tblPayments[[#This Row],[Arrival]])</f>
        <v>2026</v>
      </c>
      <c r="M480" s="80" t="str">
        <f>IF(tblPayments[[#This Row],[Balance]]=0,"Full Payment","Deposit")</f>
        <v>Deposit</v>
      </c>
      <c r="N480" s="43">
        <v>19725.84</v>
      </c>
      <c r="O480" s="83">
        <v>45921</v>
      </c>
      <c r="P480" s="87" t="s">
        <v>2</v>
      </c>
    </row>
    <row r="481" spans="1:16" x14ac:dyDescent="0.3">
      <c r="A481" s="77" t="s">
        <v>102</v>
      </c>
      <c r="B481" s="80" t="s">
        <v>77</v>
      </c>
      <c r="C481" s="43">
        <v>18212.14</v>
      </c>
      <c r="D481" s="43"/>
      <c r="E481" s="43">
        <v>18212.14</v>
      </c>
      <c r="F481" s="80" t="s">
        <v>80</v>
      </c>
      <c r="G481" s="83">
        <v>46040</v>
      </c>
      <c r="H481" s="83">
        <v>46047</v>
      </c>
      <c r="I481" s="4">
        <v>7</v>
      </c>
      <c r="J481" s="80" t="str">
        <f>TEXT(tblPayments[[#This Row],[Arrival]],"mmm")</f>
        <v>Jan</v>
      </c>
      <c r="K481" s="80">
        <f>MONTH(tblPayments[[#This Row],[Arrival]])</f>
        <v>1</v>
      </c>
      <c r="L481" s="80">
        <f>YEAR(tblPayments[[#This Row],[Arrival]])</f>
        <v>2026</v>
      </c>
      <c r="M481" s="80" t="str">
        <f>IF(tblPayments[[#This Row],[Balance]]=0,"Full Payment","Deposit")</f>
        <v>Deposit</v>
      </c>
      <c r="N481" s="43">
        <v>12494.79</v>
      </c>
      <c r="O481" s="83">
        <v>45986</v>
      </c>
      <c r="P481" s="87" t="s">
        <v>15</v>
      </c>
    </row>
    <row r="482" spans="1:16" x14ac:dyDescent="0.3">
      <c r="A482" s="77" t="s">
        <v>102</v>
      </c>
      <c r="B482" s="80" t="s">
        <v>77</v>
      </c>
      <c r="C482" s="43">
        <v>17402</v>
      </c>
      <c r="D482" s="43">
        <v>4350.5</v>
      </c>
      <c r="E482" s="43">
        <v>13051.5</v>
      </c>
      <c r="F482" s="80" t="s">
        <v>72</v>
      </c>
      <c r="G482" s="83">
        <v>46041</v>
      </c>
      <c r="H482" s="83">
        <v>46045</v>
      </c>
      <c r="I482" s="4">
        <v>4</v>
      </c>
      <c r="J482" s="80" t="str">
        <f>TEXT(tblPayments[[#This Row],[Arrival]],"mmm")</f>
        <v>Jan</v>
      </c>
      <c r="K482" s="80">
        <f>MONTH(tblPayments[[#This Row],[Arrival]])</f>
        <v>1</v>
      </c>
      <c r="L482" s="80">
        <f>YEAR(tblPayments[[#This Row],[Arrival]])</f>
        <v>2026</v>
      </c>
      <c r="M482" s="80" t="str">
        <f>IF(tblPayments[[#This Row],[Balance]]=0,"Full Payment","Deposit")</f>
        <v>Deposit</v>
      </c>
      <c r="N482" s="43">
        <v>7760.98</v>
      </c>
      <c r="O482" s="83">
        <v>45965</v>
      </c>
      <c r="P482" s="87" t="s">
        <v>31</v>
      </c>
    </row>
    <row r="483" spans="1:16" x14ac:dyDescent="0.3">
      <c r="A483" s="77" t="s">
        <v>102</v>
      </c>
      <c r="B483" s="80" t="s">
        <v>77</v>
      </c>
      <c r="C483" s="43">
        <v>33278.76</v>
      </c>
      <c r="D483" s="43"/>
      <c r="E483" s="43">
        <v>33278.76</v>
      </c>
      <c r="F483" s="80" t="s">
        <v>75</v>
      </c>
      <c r="G483" s="83">
        <v>46041</v>
      </c>
      <c r="H483" s="83">
        <v>46048</v>
      </c>
      <c r="I483" s="4">
        <v>7</v>
      </c>
      <c r="J483" s="80" t="str">
        <f>TEXT(tblPayments[[#This Row],[Arrival]],"mmm")</f>
        <v>Jan</v>
      </c>
      <c r="K483" s="80">
        <f>MONTH(tblPayments[[#This Row],[Arrival]])</f>
        <v>1</v>
      </c>
      <c r="L483" s="80">
        <f>YEAR(tblPayments[[#This Row],[Arrival]])</f>
        <v>2026</v>
      </c>
      <c r="M483" s="80" t="str">
        <f>IF(tblPayments[[#This Row],[Balance]]=0,"Full Payment","Deposit")</f>
        <v>Deposit</v>
      </c>
      <c r="N483" s="43">
        <v>22515.81</v>
      </c>
      <c r="O483" s="83">
        <v>45827</v>
      </c>
      <c r="P483" s="87" t="s">
        <v>35</v>
      </c>
    </row>
    <row r="484" spans="1:16" x14ac:dyDescent="0.3">
      <c r="A484" s="77" t="s">
        <v>102</v>
      </c>
      <c r="B484" s="80" t="s">
        <v>77</v>
      </c>
      <c r="C484" s="43">
        <v>12872</v>
      </c>
      <c r="D484" s="43"/>
      <c r="E484" s="43">
        <v>12872</v>
      </c>
      <c r="F484" s="80" t="s">
        <v>75</v>
      </c>
      <c r="G484" s="83">
        <v>46042</v>
      </c>
      <c r="H484" s="83">
        <v>46045</v>
      </c>
      <c r="I484" s="4">
        <v>3</v>
      </c>
      <c r="J484" s="80" t="str">
        <f>TEXT(tblPayments[[#This Row],[Arrival]],"mmm")</f>
        <v>Jan</v>
      </c>
      <c r="K484" s="80">
        <f>MONTH(tblPayments[[#This Row],[Arrival]])</f>
        <v>1</v>
      </c>
      <c r="L484" s="80">
        <f>YEAR(tblPayments[[#This Row],[Arrival]])</f>
        <v>2026</v>
      </c>
      <c r="M484" s="80" t="str">
        <f>IF(tblPayments[[#This Row],[Balance]]=0,"Full Payment","Deposit")</f>
        <v>Deposit</v>
      </c>
      <c r="N484" s="43">
        <v>6456.87</v>
      </c>
      <c r="O484" s="83">
        <v>45966</v>
      </c>
      <c r="P484" s="87" t="s">
        <v>32</v>
      </c>
    </row>
    <row r="485" spans="1:16" x14ac:dyDescent="0.3">
      <c r="A485" s="77" t="s">
        <v>102</v>
      </c>
      <c r="B485" s="80" t="s">
        <v>77</v>
      </c>
      <c r="C485" s="43">
        <v>720</v>
      </c>
      <c r="D485" s="43"/>
      <c r="E485" s="43">
        <v>720</v>
      </c>
      <c r="F485" s="80" t="s">
        <v>75</v>
      </c>
      <c r="G485" s="83">
        <v>46043</v>
      </c>
      <c r="H485" s="83">
        <v>46058</v>
      </c>
      <c r="I485" s="4">
        <v>15</v>
      </c>
      <c r="J485" s="80" t="str">
        <f>TEXT(tblPayments[[#This Row],[Arrival]],"mmm")</f>
        <v>Jan</v>
      </c>
      <c r="K485" s="80">
        <f>MONTH(tblPayments[[#This Row],[Arrival]])</f>
        <v>1</v>
      </c>
      <c r="L485" s="80">
        <f>YEAR(tblPayments[[#This Row],[Arrival]])</f>
        <v>2026</v>
      </c>
      <c r="M485" s="80" t="str">
        <f>IF(tblPayments[[#This Row],[Balance]]=0,"Full Payment","Deposit")</f>
        <v>Deposit</v>
      </c>
      <c r="N485" s="43">
        <v>0</v>
      </c>
      <c r="O485" s="83">
        <v>45888</v>
      </c>
      <c r="P485" s="87" t="s">
        <v>9</v>
      </c>
    </row>
    <row r="486" spans="1:16" x14ac:dyDescent="0.3">
      <c r="A486" s="77" t="s">
        <v>102</v>
      </c>
      <c r="B486" s="80" t="s">
        <v>77</v>
      </c>
      <c r="C486" s="43">
        <v>26592</v>
      </c>
      <c r="D486" s="43"/>
      <c r="E486" s="43">
        <v>26592</v>
      </c>
      <c r="F486" s="80" t="s">
        <v>75</v>
      </c>
      <c r="G486" s="83">
        <v>46043</v>
      </c>
      <c r="H486" s="83">
        <v>46046</v>
      </c>
      <c r="I486" s="4">
        <v>3</v>
      </c>
      <c r="J486" s="80" t="str">
        <f>TEXT(tblPayments[[#This Row],[Arrival]],"mmm")</f>
        <v>Jan</v>
      </c>
      <c r="K486" s="80">
        <f>MONTH(tblPayments[[#This Row],[Arrival]])</f>
        <v>1</v>
      </c>
      <c r="L486" s="80">
        <f>YEAR(tblPayments[[#This Row],[Arrival]])</f>
        <v>2026</v>
      </c>
      <c r="M486" s="80" t="str">
        <f>IF(tblPayments[[#This Row],[Balance]]=0,"Full Payment","Deposit")</f>
        <v>Deposit</v>
      </c>
      <c r="N486" s="43">
        <v>13543.11</v>
      </c>
      <c r="O486" s="83">
        <v>45933</v>
      </c>
      <c r="P486" s="87" t="s">
        <v>20</v>
      </c>
    </row>
    <row r="487" spans="1:16" x14ac:dyDescent="0.3">
      <c r="A487" s="77" t="s">
        <v>102</v>
      </c>
      <c r="B487" s="80" t="s">
        <v>77</v>
      </c>
      <c r="C487" s="43">
        <v>95980.800000000003</v>
      </c>
      <c r="D487" s="43"/>
      <c r="E487" s="43">
        <v>95980.800000000003</v>
      </c>
      <c r="F487" s="80" t="s">
        <v>75</v>
      </c>
      <c r="G487" s="83">
        <v>46043</v>
      </c>
      <c r="H487" s="83">
        <v>46053</v>
      </c>
      <c r="I487" s="4">
        <v>10</v>
      </c>
      <c r="J487" s="80" t="str">
        <f>TEXT(tblPayments[[#This Row],[Arrival]],"mmm")</f>
        <v>Jan</v>
      </c>
      <c r="K487" s="80">
        <f>MONTH(tblPayments[[#This Row],[Arrival]])</f>
        <v>1</v>
      </c>
      <c r="L487" s="80">
        <f>YEAR(tblPayments[[#This Row],[Arrival]])</f>
        <v>2026</v>
      </c>
      <c r="M487" s="80" t="str">
        <f>IF(tblPayments[[#This Row],[Balance]]=0,"Full Payment","Deposit")</f>
        <v>Deposit</v>
      </c>
      <c r="N487" s="43">
        <v>67315.44</v>
      </c>
      <c r="O487" s="83">
        <v>45889</v>
      </c>
      <c r="P487" s="87" t="s">
        <v>2</v>
      </c>
    </row>
    <row r="488" spans="1:16" x14ac:dyDescent="0.3">
      <c r="A488" s="77" t="s">
        <v>102</v>
      </c>
      <c r="B488" s="80" t="s">
        <v>77</v>
      </c>
      <c r="C488" s="43">
        <v>26617.68</v>
      </c>
      <c r="D488" s="43">
        <v>26617.68</v>
      </c>
      <c r="E488" s="43"/>
      <c r="F488" s="80" t="s">
        <v>70</v>
      </c>
      <c r="G488" s="83">
        <v>46044</v>
      </c>
      <c r="H488" s="83">
        <v>46048</v>
      </c>
      <c r="I488" s="4">
        <v>4</v>
      </c>
      <c r="J488" s="80" t="str">
        <f>TEXT(tblPayments[[#This Row],[Arrival]],"mmm")</f>
        <v>Jan</v>
      </c>
      <c r="K488" s="80">
        <f>MONTH(tblPayments[[#This Row],[Arrival]])</f>
        <v>1</v>
      </c>
      <c r="L488" s="80">
        <f>YEAR(tblPayments[[#This Row],[Arrival]])</f>
        <v>2026</v>
      </c>
      <c r="M488" s="80" t="str">
        <f>IF(tblPayments[[#This Row],[Balance]]=0,"Full Payment","Deposit")</f>
        <v>Full Payment</v>
      </c>
      <c r="N488" s="43">
        <v>10227.16</v>
      </c>
      <c r="O488" s="83">
        <v>45995</v>
      </c>
      <c r="P488" s="87" t="s">
        <v>15</v>
      </c>
    </row>
    <row r="489" spans="1:16" x14ac:dyDescent="0.3">
      <c r="A489" s="77" t="s">
        <v>102</v>
      </c>
      <c r="B489" s="80" t="s">
        <v>77</v>
      </c>
      <c r="C489" s="43">
        <v>0</v>
      </c>
      <c r="D489" s="43"/>
      <c r="E489" s="43">
        <v>0</v>
      </c>
      <c r="F489" s="80" t="s">
        <v>73</v>
      </c>
      <c r="G489" s="83">
        <v>46044</v>
      </c>
      <c r="H489" s="83">
        <v>46048</v>
      </c>
      <c r="I489" s="4">
        <v>4</v>
      </c>
      <c r="J489" s="80" t="str">
        <f>TEXT(tblPayments[[#This Row],[Arrival]],"mmm")</f>
        <v>Jan</v>
      </c>
      <c r="K489" s="80">
        <f>MONTH(tblPayments[[#This Row],[Arrival]])</f>
        <v>1</v>
      </c>
      <c r="L489" s="80">
        <f>YEAR(tblPayments[[#This Row],[Arrival]])</f>
        <v>2026</v>
      </c>
      <c r="M489" s="80" t="str">
        <f>IF(tblPayments[[#This Row],[Balance]]=0,"Full Payment","Deposit")</f>
        <v>Full Payment</v>
      </c>
      <c r="N489" s="43">
        <v>0</v>
      </c>
      <c r="O489" s="83">
        <v>45977</v>
      </c>
      <c r="P489" s="87" t="s">
        <v>8</v>
      </c>
    </row>
    <row r="490" spans="1:16" x14ac:dyDescent="0.3">
      <c r="A490" s="77" t="s">
        <v>102</v>
      </c>
      <c r="B490" s="80" t="s">
        <v>77</v>
      </c>
      <c r="C490" s="43">
        <v>20000</v>
      </c>
      <c r="D490" s="43"/>
      <c r="E490" s="43">
        <v>20000</v>
      </c>
      <c r="F490" s="80" t="s">
        <v>75</v>
      </c>
      <c r="G490" s="83">
        <v>46045</v>
      </c>
      <c r="H490" s="83">
        <v>46047</v>
      </c>
      <c r="I490" s="4">
        <v>2</v>
      </c>
      <c r="J490" s="80" t="str">
        <f>TEXT(tblPayments[[#This Row],[Arrival]],"mmm")</f>
        <v>Jan</v>
      </c>
      <c r="K490" s="80">
        <f>MONTH(tblPayments[[#This Row],[Arrival]])</f>
        <v>1</v>
      </c>
      <c r="L490" s="80">
        <f>YEAR(tblPayments[[#This Row],[Arrival]])</f>
        <v>2026</v>
      </c>
      <c r="M490" s="80" t="str">
        <f>IF(tblPayments[[#This Row],[Balance]]=0,"Full Payment","Deposit")</f>
        <v>Deposit</v>
      </c>
      <c r="N490" s="43">
        <v>11212.6</v>
      </c>
      <c r="O490" s="83">
        <v>45995</v>
      </c>
      <c r="P490" s="87" t="s">
        <v>8</v>
      </c>
    </row>
    <row r="491" spans="1:16" x14ac:dyDescent="0.3">
      <c r="A491" s="77" t="s">
        <v>102</v>
      </c>
      <c r="B491" s="80" t="s">
        <v>77</v>
      </c>
      <c r="C491" s="43">
        <v>0</v>
      </c>
      <c r="D491" s="43"/>
      <c r="E491" s="43">
        <v>0</v>
      </c>
      <c r="F491" s="80" t="s">
        <v>73</v>
      </c>
      <c r="G491" s="83">
        <v>46045</v>
      </c>
      <c r="H491" s="83">
        <v>46048</v>
      </c>
      <c r="I491" s="4">
        <v>3</v>
      </c>
      <c r="J491" s="80" t="str">
        <f>TEXT(tblPayments[[#This Row],[Arrival]],"mmm")</f>
        <v>Jan</v>
      </c>
      <c r="K491" s="80">
        <f>MONTH(tblPayments[[#This Row],[Arrival]])</f>
        <v>1</v>
      </c>
      <c r="L491" s="80">
        <f>YEAR(tblPayments[[#This Row],[Arrival]])</f>
        <v>2026</v>
      </c>
      <c r="M491" s="80" t="str">
        <f>IF(tblPayments[[#This Row],[Balance]]=0,"Full Payment","Deposit")</f>
        <v>Full Payment</v>
      </c>
      <c r="N491" s="43">
        <v>-915.76</v>
      </c>
      <c r="O491" s="83">
        <v>45836</v>
      </c>
      <c r="P491" s="87"/>
    </row>
    <row r="492" spans="1:16" x14ac:dyDescent="0.3">
      <c r="A492" s="77" t="s">
        <v>102</v>
      </c>
      <c r="B492" s="80" t="s">
        <v>77</v>
      </c>
      <c r="C492" s="43">
        <v>0</v>
      </c>
      <c r="D492" s="43"/>
      <c r="E492" s="43">
        <v>0</v>
      </c>
      <c r="F492" s="80" t="s">
        <v>73</v>
      </c>
      <c r="G492" s="83">
        <v>46045</v>
      </c>
      <c r="H492" s="83">
        <v>46048</v>
      </c>
      <c r="I492" s="4">
        <v>3</v>
      </c>
      <c r="J492" s="80" t="str">
        <f>TEXT(tblPayments[[#This Row],[Arrival]],"mmm")</f>
        <v>Jan</v>
      </c>
      <c r="K492" s="80">
        <f>MONTH(tblPayments[[#This Row],[Arrival]])</f>
        <v>1</v>
      </c>
      <c r="L492" s="80">
        <f>YEAR(tblPayments[[#This Row],[Arrival]])</f>
        <v>2026</v>
      </c>
      <c r="M492" s="80" t="str">
        <f>IF(tblPayments[[#This Row],[Balance]]=0,"Full Payment","Deposit")</f>
        <v>Full Payment</v>
      </c>
      <c r="N492" s="43">
        <v>-915.76</v>
      </c>
      <c r="O492" s="83">
        <v>45836</v>
      </c>
      <c r="P492" s="87"/>
    </row>
    <row r="493" spans="1:16" x14ac:dyDescent="0.3">
      <c r="A493" s="77" t="s">
        <v>102</v>
      </c>
      <c r="B493" s="80"/>
      <c r="C493" s="43"/>
      <c r="D493" s="43"/>
      <c r="E493" s="43"/>
      <c r="F493" s="80"/>
      <c r="G493" s="83">
        <v>46046</v>
      </c>
      <c r="H493" s="83">
        <v>46051</v>
      </c>
      <c r="I493" s="4">
        <v>5</v>
      </c>
      <c r="J493" s="80" t="str">
        <f>TEXT(tblPayments[[#This Row],[Arrival]],"mmm")</f>
        <v>Jan</v>
      </c>
      <c r="K493" s="80">
        <f>MONTH(tblPayments[[#This Row],[Arrival]])</f>
        <v>1</v>
      </c>
      <c r="L493" s="80">
        <f>YEAR(tblPayments[[#This Row],[Arrival]])</f>
        <v>2026</v>
      </c>
      <c r="M493" s="80" t="str">
        <f>IF(tblPayments[[#This Row],[Balance]]=0,"Full Payment","Deposit")</f>
        <v>Full Payment</v>
      </c>
      <c r="N493" s="43"/>
      <c r="O493" s="83"/>
      <c r="P493" s="87"/>
    </row>
    <row r="494" spans="1:16" x14ac:dyDescent="0.3">
      <c r="A494" s="77" t="s">
        <v>102</v>
      </c>
      <c r="B494" s="80" t="s">
        <v>77</v>
      </c>
      <c r="C494" s="43">
        <v>94816.14</v>
      </c>
      <c r="D494" s="43">
        <v>23705</v>
      </c>
      <c r="E494" s="43">
        <v>71111.14</v>
      </c>
      <c r="F494" s="80" t="s">
        <v>72</v>
      </c>
      <c r="G494" s="83">
        <v>46046</v>
      </c>
      <c r="H494" s="83">
        <v>46052</v>
      </c>
      <c r="I494" s="4">
        <v>6</v>
      </c>
      <c r="J494" s="80" t="str">
        <f>TEXT(tblPayments[[#This Row],[Arrival]],"mmm")</f>
        <v>Jan</v>
      </c>
      <c r="K494" s="80">
        <f>MONTH(tblPayments[[#This Row],[Arrival]])</f>
        <v>1</v>
      </c>
      <c r="L494" s="80">
        <f>YEAR(tblPayments[[#This Row],[Arrival]])</f>
        <v>2026</v>
      </c>
      <c r="M494" s="80" t="str">
        <f>IF(tblPayments[[#This Row],[Balance]]=0,"Full Payment","Deposit")</f>
        <v>Deposit</v>
      </c>
      <c r="N494" s="43">
        <v>54224.76</v>
      </c>
      <c r="O494" s="83">
        <v>45954</v>
      </c>
      <c r="P494" s="87" t="s">
        <v>25</v>
      </c>
    </row>
    <row r="495" spans="1:16" x14ac:dyDescent="0.3">
      <c r="A495" s="77" t="s">
        <v>102</v>
      </c>
      <c r="B495" s="80" t="s">
        <v>77</v>
      </c>
      <c r="C495" s="43">
        <v>0</v>
      </c>
      <c r="D495" s="43"/>
      <c r="E495" s="43">
        <v>0</v>
      </c>
      <c r="F495" s="80" t="s">
        <v>74</v>
      </c>
      <c r="G495" s="83">
        <v>46046</v>
      </c>
      <c r="H495" s="83">
        <v>46051</v>
      </c>
      <c r="I495" s="4">
        <v>5</v>
      </c>
      <c r="J495" s="80" t="str">
        <f>TEXT(tblPayments[[#This Row],[Arrival]],"mmm")</f>
        <v>Jan</v>
      </c>
      <c r="K495" s="80">
        <f>MONTH(tblPayments[[#This Row],[Arrival]])</f>
        <v>1</v>
      </c>
      <c r="L495" s="80">
        <f>YEAR(tblPayments[[#This Row],[Arrival]])</f>
        <v>2026</v>
      </c>
      <c r="M495" s="80" t="str">
        <f>IF(tblPayments[[#This Row],[Balance]]=0,"Full Payment","Deposit")</f>
        <v>Full Payment</v>
      </c>
      <c r="N495" s="43">
        <v>13345</v>
      </c>
      <c r="O495" s="83">
        <v>46001</v>
      </c>
      <c r="P495" s="87" t="s">
        <v>31</v>
      </c>
    </row>
    <row r="496" spans="1:16" x14ac:dyDescent="0.3">
      <c r="A496" s="77" t="s">
        <v>102</v>
      </c>
      <c r="B496" s="80" t="s">
        <v>77</v>
      </c>
      <c r="C496" s="43">
        <v>11008.94</v>
      </c>
      <c r="D496" s="43"/>
      <c r="E496" s="43">
        <v>11008.94</v>
      </c>
      <c r="F496" s="80" t="s">
        <v>80</v>
      </c>
      <c r="G496" s="83">
        <v>46046</v>
      </c>
      <c r="H496" s="83">
        <v>46049</v>
      </c>
      <c r="I496" s="4">
        <v>3</v>
      </c>
      <c r="J496" s="80" t="str">
        <f>TEXT(tblPayments[[#This Row],[Arrival]],"mmm")</f>
        <v>Jan</v>
      </c>
      <c r="K496" s="80">
        <f>MONTH(tblPayments[[#This Row],[Arrival]])</f>
        <v>1</v>
      </c>
      <c r="L496" s="80">
        <f>YEAR(tblPayments[[#This Row],[Arrival]])</f>
        <v>2026</v>
      </c>
      <c r="M496" s="80" t="str">
        <f>IF(tblPayments[[#This Row],[Balance]]=0,"Full Payment","Deposit")</f>
        <v>Deposit</v>
      </c>
      <c r="N496" s="43">
        <v>6064.5</v>
      </c>
      <c r="O496" s="83">
        <v>45995</v>
      </c>
      <c r="P496" s="87" t="s">
        <v>32</v>
      </c>
    </row>
    <row r="497" spans="1:16" x14ac:dyDescent="0.3">
      <c r="A497" s="77" t="s">
        <v>102</v>
      </c>
      <c r="B497" s="80" t="s">
        <v>77</v>
      </c>
      <c r="C497" s="43">
        <v>302</v>
      </c>
      <c r="D497" s="43"/>
      <c r="E497" s="43">
        <v>302</v>
      </c>
      <c r="F497" s="80" t="s">
        <v>82</v>
      </c>
      <c r="G497" s="83">
        <v>46046</v>
      </c>
      <c r="H497" s="83">
        <v>46048</v>
      </c>
      <c r="I497" s="4">
        <v>2</v>
      </c>
      <c r="J497" s="80" t="str">
        <f>TEXT(tblPayments[[#This Row],[Arrival]],"mmm")</f>
        <v>Jan</v>
      </c>
      <c r="K497" s="80">
        <f>MONTH(tblPayments[[#This Row],[Arrival]])</f>
        <v>1</v>
      </c>
      <c r="L497" s="80">
        <f>YEAR(tblPayments[[#This Row],[Arrival]])</f>
        <v>2026</v>
      </c>
      <c r="M497" s="80" t="str">
        <f>IF(tblPayments[[#This Row],[Balance]]=0,"Full Payment","Deposit")</f>
        <v>Deposit</v>
      </c>
      <c r="N497" s="43">
        <v>0</v>
      </c>
      <c r="O497" s="83">
        <v>45955</v>
      </c>
      <c r="P497" s="87" t="s">
        <v>31</v>
      </c>
    </row>
    <row r="498" spans="1:16" x14ac:dyDescent="0.3">
      <c r="A498" s="77" t="s">
        <v>102</v>
      </c>
      <c r="B498" s="80" t="s">
        <v>77</v>
      </c>
      <c r="C498" s="43">
        <v>1556</v>
      </c>
      <c r="D498" s="43"/>
      <c r="E498" s="43">
        <v>1556</v>
      </c>
      <c r="F498" s="80" t="s">
        <v>75</v>
      </c>
      <c r="G498" s="83">
        <v>46046</v>
      </c>
      <c r="H498" s="83">
        <v>46048</v>
      </c>
      <c r="I498" s="4">
        <v>2</v>
      </c>
      <c r="J498" s="80" t="str">
        <f>TEXT(tblPayments[[#This Row],[Arrival]],"mmm")</f>
        <v>Jan</v>
      </c>
      <c r="K498" s="80">
        <f>MONTH(tblPayments[[#This Row],[Arrival]])</f>
        <v>1</v>
      </c>
      <c r="L498" s="80">
        <f>YEAR(tblPayments[[#This Row],[Arrival]])</f>
        <v>2026</v>
      </c>
      <c r="M498" s="80" t="str">
        <f>IF(tblPayments[[#This Row],[Balance]]=0,"Full Payment","Deposit")</f>
        <v>Deposit</v>
      </c>
      <c r="N498" s="43">
        <v>257.94</v>
      </c>
      <c r="O498" s="83">
        <v>45985</v>
      </c>
      <c r="P498" s="87" t="s">
        <v>31</v>
      </c>
    </row>
    <row r="499" spans="1:16" x14ac:dyDescent="0.3">
      <c r="A499" s="77" t="s">
        <v>102</v>
      </c>
      <c r="B499" s="80" t="s">
        <v>77</v>
      </c>
      <c r="C499" s="43">
        <v>15806.4</v>
      </c>
      <c r="D499" s="43">
        <v>3899.1</v>
      </c>
      <c r="E499" s="43">
        <v>11907.3</v>
      </c>
      <c r="F499" s="80" t="s">
        <v>72</v>
      </c>
      <c r="G499" s="83">
        <v>46047</v>
      </c>
      <c r="H499" s="83">
        <v>46052</v>
      </c>
      <c r="I499" s="4">
        <v>5</v>
      </c>
      <c r="J499" s="80" t="str">
        <f>TEXT(tblPayments[[#This Row],[Arrival]],"mmm")</f>
        <v>Jan</v>
      </c>
      <c r="K499" s="80">
        <f>MONTH(tblPayments[[#This Row],[Arrival]])</f>
        <v>1</v>
      </c>
      <c r="L499" s="80">
        <f>YEAR(tblPayments[[#This Row],[Arrival]])</f>
        <v>2026</v>
      </c>
      <c r="M499" s="80" t="str">
        <f>IF(tblPayments[[#This Row],[Balance]]=0,"Full Payment","Deposit")</f>
        <v>Deposit</v>
      </c>
      <c r="N499" s="43">
        <v>8959.1</v>
      </c>
      <c r="O499" s="83">
        <v>45966</v>
      </c>
      <c r="P499" s="87" t="s">
        <v>9</v>
      </c>
    </row>
    <row r="500" spans="1:16" x14ac:dyDescent="0.3">
      <c r="A500" s="77" t="s">
        <v>102</v>
      </c>
      <c r="B500" s="80" t="s">
        <v>77</v>
      </c>
      <c r="C500" s="43">
        <v>24288.74</v>
      </c>
      <c r="D500" s="43"/>
      <c r="E500" s="43">
        <v>24288.74</v>
      </c>
      <c r="F500" s="80" t="s">
        <v>75</v>
      </c>
      <c r="G500" s="83">
        <v>46047</v>
      </c>
      <c r="H500" s="83">
        <v>46049</v>
      </c>
      <c r="I500" s="4">
        <v>2</v>
      </c>
      <c r="J500" s="80" t="str">
        <f>TEXT(tblPayments[[#This Row],[Arrival]],"mmm")</f>
        <v>Jan</v>
      </c>
      <c r="K500" s="80">
        <f>MONTH(tblPayments[[#This Row],[Arrival]])</f>
        <v>1</v>
      </c>
      <c r="L500" s="80">
        <f>YEAR(tblPayments[[#This Row],[Arrival]])</f>
        <v>2026</v>
      </c>
      <c r="M500" s="80" t="str">
        <f>IF(tblPayments[[#This Row],[Balance]]=0,"Full Payment","Deposit")</f>
        <v>Deposit</v>
      </c>
      <c r="N500" s="43">
        <v>14485.46</v>
      </c>
      <c r="O500" s="83">
        <v>45995</v>
      </c>
      <c r="P500" s="87" t="s">
        <v>8</v>
      </c>
    </row>
    <row r="501" spans="1:16" x14ac:dyDescent="0.3">
      <c r="A501" s="77" t="s">
        <v>102</v>
      </c>
      <c r="B501" s="80" t="s">
        <v>77</v>
      </c>
      <c r="C501" s="43">
        <v>23790</v>
      </c>
      <c r="D501" s="43"/>
      <c r="E501" s="43">
        <v>23790</v>
      </c>
      <c r="F501" s="80" t="s">
        <v>75</v>
      </c>
      <c r="G501" s="83">
        <v>46047</v>
      </c>
      <c r="H501" s="83">
        <v>46052</v>
      </c>
      <c r="I501" s="4">
        <v>5</v>
      </c>
      <c r="J501" s="80" t="str">
        <f>TEXT(tblPayments[[#This Row],[Arrival]],"mmm")</f>
        <v>Jan</v>
      </c>
      <c r="K501" s="80">
        <f>MONTH(tblPayments[[#This Row],[Arrival]])</f>
        <v>1</v>
      </c>
      <c r="L501" s="80">
        <f>YEAR(tblPayments[[#This Row],[Arrival]])</f>
        <v>2026</v>
      </c>
      <c r="M501" s="80" t="str">
        <f>IF(tblPayments[[#This Row],[Balance]]=0,"Full Payment","Deposit")</f>
        <v>Deposit</v>
      </c>
      <c r="N501" s="43">
        <v>15967.35</v>
      </c>
      <c r="O501" s="83">
        <v>45896</v>
      </c>
      <c r="P501" s="87" t="s">
        <v>15</v>
      </c>
    </row>
    <row r="502" spans="1:16" x14ac:dyDescent="0.3">
      <c r="A502" s="77" t="s">
        <v>102</v>
      </c>
      <c r="B502" s="80" t="s">
        <v>77</v>
      </c>
      <c r="C502" s="43">
        <v>12572</v>
      </c>
      <c r="D502" s="43"/>
      <c r="E502" s="43">
        <v>12572</v>
      </c>
      <c r="F502" s="80" t="s">
        <v>75</v>
      </c>
      <c r="G502" s="83">
        <v>46047</v>
      </c>
      <c r="H502" s="83">
        <v>46050</v>
      </c>
      <c r="I502" s="4">
        <v>3</v>
      </c>
      <c r="J502" s="80" t="str">
        <f>TEXT(tblPayments[[#This Row],[Arrival]],"mmm")</f>
        <v>Jan</v>
      </c>
      <c r="K502" s="80">
        <f>MONTH(tblPayments[[#This Row],[Arrival]])</f>
        <v>1</v>
      </c>
      <c r="L502" s="80">
        <f>YEAR(tblPayments[[#This Row],[Arrival]])</f>
        <v>2026</v>
      </c>
      <c r="M502" s="80" t="str">
        <f>IF(tblPayments[[#This Row],[Balance]]=0,"Full Payment","Deposit")</f>
        <v>Deposit</v>
      </c>
      <c r="N502" s="43">
        <v>7389.27</v>
      </c>
      <c r="O502" s="83">
        <v>45976</v>
      </c>
      <c r="P502" s="87" t="s">
        <v>8</v>
      </c>
    </row>
    <row r="503" spans="1:16" x14ac:dyDescent="0.3">
      <c r="A503" s="77" t="s">
        <v>102</v>
      </c>
      <c r="B503" s="80" t="s">
        <v>77</v>
      </c>
      <c r="C503" s="43">
        <v>27122</v>
      </c>
      <c r="D503" s="43"/>
      <c r="E503" s="43">
        <v>27122</v>
      </c>
      <c r="F503" s="80" t="s">
        <v>75</v>
      </c>
      <c r="G503" s="83">
        <v>46047</v>
      </c>
      <c r="H503" s="83">
        <v>46056</v>
      </c>
      <c r="I503" s="4">
        <v>9</v>
      </c>
      <c r="J503" s="80" t="str">
        <f>TEXT(tblPayments[[#This Row],[Arrival]],"mmm")</f>
        <v>Jan</v>
      </c>
      <c r="K503" s="80">
        <f>MONTH(tblPayments[[#This Row],[Arrival]])</f>
        <v>1</v>
      </c>
      <c r="L503" s="80">
        <f>YEAR(tblPayments[[#This Row],[Arrival]])</f>
        <v>2026</v>
      </c>
      <c r="M503" s="80" t="str">
        <f>IF(tblPayments[[#This Row],[Balance]]=0,"Full Payment","Deposit")</f>
        <v>Deposit</v>
      </c>
      <c r="N503" s="43">
        <v>16239.33</v>
      </c>
      <c r="O503" s="83">
        <v>45953</v>
      </c>
      <c r="P503" s="87" t="s">
        <v>31</v>
      </c>
    </row>
    <row r="504" spans="1:16" x14ac:dyDescent="0.3">
      <c r="A504" s="77" t="s">
        <v>102</v>
      </c>
      <c r="B504" s="80" t="s">
        <v>77</v>
      </c>
      <c r="C504" s="43">
        <v>8677</v>
      </c>
      <c r="D504" s="43">
        <v>4351</v>
      </c>
      <c r="E504" s="43">
        <v>4326</v>
      </c>
      <c r="F504" s="80" t="s">
        <v>72</v>
      </c>
      <c r="G504" s="83">
        <v>46047</v>
      </c>
      <c r="H504" s="83">
        <v>46049</v>
      </c>
      <c r="I504" s="4">
        <v>2</v>
      </c>
      <c r="J504" s="80" t="str">
        <f>TEXT(tblPayments[[#This Row],[Arrival]],"mmm")</f>
        <v>Jan</v>
      </c>
      <c r="K504" s="80">
        <f>MONTH(tblPayments[[#This Row],[Arrival]])</f>
        <v>1</v>
      </c>
      <c r="L504" s="80">
        <f>YEAR(tblPayments[[#This Row],[Arrival]])</f>
        <v>2026</v>
      </c>
      <c r="M504" s="80" t="str">
        <f>IF(tblPayments[[#This Row],[Balance]]=0,"Full Payment","Deposit")</f>
        <v>Deposit</v>
      </c>
      <c r="N504" s="43">
        <v>2835.01</v>
      </c>
      <c r="O504" s="83">
        <v>45962</v>
      </c>
      <c r="P504" s="87" t="s">
        <v>31</v>
      </c>
    </row>
    <row r="505" spans="1:16" x14ac:dyDescent="0.3">
      <c r="A505" s="77" t="s">
        <v>102</v>
      </c>
      <c r="B505" s="80" t="s">
        <v>77</v>
      </c>
      <c r="C505" s="43">
        <v>24208</v>
      </c>
      <c r="D505" s="43"/>
      <c r="E505" s="43">
        <v>24208</v>
      </c>
      <c r="F505" s="80" t="s">
        <v>75</v>
      </c>
      <c r="G505" s="83">
        <v>46048</v>
      </c>
      <c r="H505" s="83">
        <v>46053</v>
      </c>
      <c r="I505" s="4">
        <v>5</v>
      </c>
      <c r="J505" s="80" t="str">
        <f>TEXT(tblPayments[[#This Row],[Arrival]],"mmm")</f>
        <v>Jan</v>
      </c>
      <c r="K505" s="80">
        <f>MONTH(tblPayments[[#This Row],[Arrival]])</f>
        <v>1</v>
      </c>
      <c r="L505" s="80">
        <f>YEAR(tblPayments[[#This Row],[Arrival]])</f>
        <v>2026</v>
      </c>
      <c r="M505" s="80" t="str">
        <f>IF(tblPayments[[#This Row],[Balance]]=0,"Full Payment","Deposit")</f>
        <v>Deposit</v>
      </c>
      <c r="N505" s="43">
        <v>12027.95</v>
      </c>
      <c r="O505" s="83">
        <v>45668</v>
      </c>
      <c r="P505" s="87" t="s">
        <v>2</v>
      </c>
    </row>
    <row r="506" spans="1:16" x14ac:dyDescent="0.3">
      <c r="A506" s="77" t="s">
        <v>102</v>
      </c>
      <c r="B506" s="80" t="s">
        <v>77</v>
      </c>
      <c r="C506" s="43">
        <v>13113.26</v>
      </c>
      <c r="D506" s="43"/>
      <c r="E506" s="43">
        <v>13113.26</v>
      </c>
      <c r="F506" s="80" t="s">
        <v>75</v>
      </c>
      <c r="G506" s="83">
        <v>46048</v>
      </c>
      <c r="H506" s="83">
        <v>46051</v>
      </c>
      <c r="I506" s="4">
        <v>3</v>
      </c>
      <c r="J506" s="80" t="str">
        <f>TEXT(tblPayments[[#This Row],[Arrival]],"mmm")</f>
        <v>Jan</v>
      </c>
      <c r="K506" s="80">
        <f>MONTH(tblPayments[[#This Row],[Arrival]])</f>
        <v>1</v>
      </c>
      <c r="L506" s="80">
        <f>YEAR(tblPayments[[#This Row],[Arrival]])</f>
        <v>2026</v>
      </c>
      <c r="M506" s="80" t="str">
        <f>IF(tblPayments[[#This Row],[Balance]]=0,"Full Payment","Deposit")</f>
        <v>Deposit</v>
      </c>
      <c r="N506" s="43">
        <v>9317.3700000000008</v>
      </c>
      <c r="O506" s="83">
        <v>45952</v>
      </c>
      <c r="P506" s="87" t="s">
        <v>38</v>
      </c>
    </row>
    <row r="507" spans="1:16" x14ac:dyDescent="0.3">
      <c r="A507" s="77" t="s">
        <v>102</v>
      </c>
      <c r="B507" s="80" t="s">
        <v>77</v>
      </c>
      <c r="C507" s="43">
        <v>33693.519999999997</v>
      </c>
      <c r="D507" s="43"/>
      <c r="E507" s="43">
        <v>33693.519999999997</v>
      </c>
      <c r="F507" s="80" t="s">
        <v>75</v>
      </c>
      <c r="G507" s="83">
        <v>46049</v>
      </c>
      <c r="H507" s="83">
        <v>46056</v>
      </c>
      <c r="I507" s="4">
        <v>7</v>
      </c>
      <c r="J507" s="80" t="str">
        <f>TEXT(tblPayments[[#This Row],[Arrival]],"mmm")</f>
        <v>Jan</v>
      </c>
      <c r="K507" s="80">
        <f>MONTH(tblPayments[[#This Row],[Arrival]])</f>
        <v>1</v>
      </c>
      <c r="L507" s="80">
        <f>YEAR(tblPayments[[#This Row],[Arrival]])</f>
        <v>2026</v>
      </c>
      <c r="M507" s="80" t="str">
        <f>IF(tblPayments[[#This Row],[Balance]]=0,"Full Payment","Deposit")</f>
        <v>Deposit</v>
      </c>
      <c r="N507" s="43">
        <v>23605.54</v>
      </c>
      <c r="O507" s="83">
        <v>45888</v>
      </c>
      <c r="P507" s="87" t="s">
        <v>2</v>
      </c>
    </row>
    <row r="508" spans="1:16" x14ac:dyDescent="0.3">
      <c r="A508" s="77" t="s">
        <v>102</v>
      </c>
      <c r="B508" s="80" t="s">
        <v>77</v>
      </c>
      <c r="C508" s="43">
        <v>19162.64</v>
      </c>
      <c r="D508" s="43"/>
      <c r="E508" s="43">
        <v>19162.64</v>
      </c>
      <c r="F508" s="80" t="s">
        <v>75</v>
      </c>
      <c r="G508" s="83">
        <v>46049</v>
      </c>
      <c r="H508" s="83">
        <v>46052</v>
      </c>
      <c r="I508" s="4">
        <v>3</v>
      </c>
      <c r="J508" s="80" t="str">
        <f>TEXT(tblPayments[[#This Row],[Arrival]],"mmm")</f>
        <v>Jan</v>
      </c>
      <c r="K508" s="80">
        <f>MONTH(tblPayments[[#This Row],[Arrival]])</f>
        <v>1</v>
      </c>
      <c r="L508" s="80">
        <f>YEAR(tblPayments[[#This Row],[Arrival]])</f>
        <v>2026</v>
      </c>
      <c r="M508" s="80" t="str">
        <f>IF(tblPayments[[#This Row],[Balance]]=0,"Full Payment","Deposit")</f>
        <v>Deposit</v>
      </c>
      <c r="N508" s="43">
        <v>12286.79</v>
      </c>
      <c r="O508" s="83">
        <v>45907</v>
      </c>
      <c r="P508" s="87" t="s">
        <v>16</v>
      </c>
    </row>
    <row r="509" spans="1:16" x14ac:dyDescent="0.3">
      <c r="A509" s="77" t="s">
        <v>102</v>
      </c>
      <c r="B509" s="80" t="s">
        <v>77</v>
      </c>
      <c r="C509" s="43">
        <v>8677</v>
      </c>
      <c r="D509" s="43"/>
      <c r="E509" s="43">
        <v>8677</v>
      </c>
      <c r="F509" s="80" t="s">
        <v>75</v>
      </c>
      <c r="G509" s="83">
        <v>46049</v>
      </c>
      <c r="H509" s="83">
        <v>46051</v>
      </c>
      <c r="I509" s="4">
        <v>2</v>
      </c>
      <c r="J509" s="80" t="str">
        <f>TEXT(tblPayments[[#This Row],[Arrival]],"mmm")</f>
        <v>Jan</v>
      </c>
      <c r="K509" s="80">
        <f>MONTH(tblPayments[[#This Row],[Arrival]])</f>
        <v>1</v>
      </c>
      <c r="L509" s="80">
        <f>YEAR(tblPayments[[#This Row],[Arrival]])</f>
        <v>2026</v>
      </c>
      <c r="M509" s="80" t="str">
        <f>IF(tblPayments[[#This Row],[Balance]]=0,"Full Payment","Deposit")</f>
        <v>Deposit</v>
      </c>
      <c r="N509" s="43">
        <v>3063.94</v>
      </c>
      <c r="O509" s="83">
        <v>45962</v>
      </c>
      <c r="P509" s="87" t="s">
        <v>31</v>
      </c>
    </row>
    <row r="510" spans="1:16" x14ac:dyDescent="0.3">
      <c r="A510" s="77" t="s">
        <v>102</v>
      </c>
      <c r="B510" s="80" t="s">
        <v>77</v>
      </c>
      <c r="C510" s="43">
        <v>325</v>
      </c>
      <c r="D510" s="43"/>
      <c r="E510" s="43">
        <v>325</v>
      </c>
      <c r="F510" s="80" t="s">
        <v>82</v>
      </c>
      <c r="G510" s="83">
        <v>46050</v>
      </c>
      <c r="H510" s="83">
        <v>46052</v>
      </c>
      <c r="I510" s="4">
        <v>2</v>
      </c>
      <c r="J510" s="80" t="str">
        <f>TEXT(tblPayments[[#This Row],[Arrival]],"mmm")</f>
        <v>Jan</v>
      </c>
      <c r="K510" s="80">
        <f>MONTH(tblPayments[[#This Row],[Arrival]])</f>
        <v>1</v>
      </c>
      <c r="L510" s="80">
        <f>YEAR(tblPayments[[#This Row],[Arrival]])</f>
        <v>2026</v>
      </c>
      <c r="M510" s="80" t="str">
        <f>IF(tblPayments[[#This Row],[Balance]]=0,"Full Payment","Deposit")</f>
        <v>Deposit</v>
      </c>
      <c r="N510" s="43">
        <v>0</v>
      </c>
      <c r="O510" s="83">
        <v>45981</v>
      </c>
      <c r="P510" s="87" t="s">
        <v>2</v>
      </c>
    </row>
    <row r="511" spans="1:16" x14ac:dyDescent="0.3">
      <c r="A511" s="77" t="s">
        <v>102</v>
      </c>
      <c r="B511" s="80" t="s">
        <v>77</v>
      </c>
      <c r="C511" s="43">
        <v>0</v>
      </c>
      <c r="D511" s="43"/>
      <c r="E511" s="43">
        <v>0</v>
      </c>
      <c r="F511" s="80" t="s">
        <v>73</v>
      </c>
      <c r="G511" s="83">
        <v>46050</v>
      </c>
      <c r="H511" s="83">
        <v>46052</v>
      </c>
      <c r="I511" s="4">
        <v>2</v>
      </c>
      <c r="J511" s="80" t="str">
        <f>TEXT(tblPayments[[#This Row],[Arrival]],"mmm")</f>
        <v>Jan</v>
      </c>
      <c r="K511" s="80">
        <f>MONTH(tblPayments[[#This Row],[Arrival]])</f>
        <v>1</v>
      </c>
      <c r="L511" s="80">
        <f>YEAR(tblPayments[[#This Row],[Arrival]])</f>
        <v>2026</v>
      </c>
      <c r="M511" s="80" t="str">
        <f>IF(tblPayments[[#This Row],[Balance]]=0,"Full Payment","Deposit")</f>
        <v>Full Payment</v>
      </c>
      <c r="N511" s="43">
        <v>0</v>
      </c>
      <c r="O511" s="83">
        <v>45939</v>
      </c>
      <c r="P511" s="87" t="s">
        <v>13</v>
      </c>
    </row>
    <row r="512" spans="1:16" x14ac:dyDescent="0.3">
      <c r="A512" s="77" t="s">
        <v>102</v>
      </c>
      <c r="B512" s="80" t="s">
        <v>77</v>
      </c>
      <c r="C512" s="43">
        <v>11232.35</v>
      </c>
      <c r="D512" s="43">
        <v>11232.35</v>
      </c>
      <c r="E512" s="43"/>
      <c r="F512" s="80" t="s">
        <v>70</v>
      </c>
      <c r="G512" s="83">
        <v>46050</v>
      </c>
      <c r="H512" s="83">
        <v>46053</v>
      </c>
      <c r="I512" s="4">
        <v>3</v>
      </c>
      <c r="J512" s="80" t="str">
        <f>TEXT(tblPayments[[#This Row],[Arrival]],"mmm")</f>
        <v>Jan</v>
      </c>
      <c r="K512" s="80">
        <f>MONTH(tblPayments[[#This Row],[Arrival]])</f>
        <v>1</v>
      </c>
      <c r="L512" s="80">
        <f>YEAR(tblPayments[[#This Row],[Arrival]])</f>
        <v>2026</v>
      </c>
      <c r="M512" s="80" t="str">
        <f>IF(tblPayments[[#This Row],[Balance]]=0,"Full Payment","Deposit")</f>
        <v>Full Payment</v>
      </c>
      <c r="N512" s="43">
        <v>6082.38</v>
      </c>
      <c r="O512" s="83">
        <v>45785</v>
      </c>
      <c r="P512" s="87" t="s">
        <v>12</v>
      </c>
    </row>
    <row r="513" spans="1:16" x14ac:dyDescent="0.3">
      <c r="A513" s="77" t="s">
        <v>102</v>
      </c>
      <c r="B513" s="80" t="s">
        <v>77</v>
      </c>
      <c r="C513" s="43">
        <v>33600</v>
      </c>
      <c r="D513" s="43"/>
      <c r="E513" s="43">
        <v>33600</v>
      </c>
      <c r="F513" s="80" t="s">
        <v>75</v>
      </c>
      <c r="G513" s="83">
        <v>46051</v>
      </c>
      <c r="H513" s="83">
        <v>46056</v>
      </c>
      <c r="I513" s="4">
        <v>5</v>
      </c>
      <c r="J513" s="80" t="str">
        <f>TEXT(tblPayments[[#This Row],[Arrival]],"mmm")</f>
        <v>Jan</v>
      </c>
      <c r="K513" s="80">
        <f>MONTH(tblPayments[[#This Row],[Arrival]])</f>
        <v>1</v>
      </c>
      <c r="L513" s="80">
        <f>YEAR(tblPayments[[#This Row],[Arrival]])</f>
        <v>2026</v>
      </c>
      <c r="M513" s="80" t="str">
        <f>IF(tblPayments[[#This Row],[Balance]]=0,"Full Payment","Deposit")</f>
        <v>Deposit</v>
      </c>
      <c r="N513" s="43">
        <v>14786.3</v>
      </c>
      <c r="O513" s="83">
        <v>45689</v>
      </c>
      <c r="P513" s="87" t="s">
        <v>2</v>
      </c>
    </row>
    <row r="514" spans="1:16" x14ac:dyDescent="0.3">
      <c r="A514" s="77" t="s">
        <v>102</v>
      </c>
      <c r="B514" s="80" t="s">
        <v>77</v>
      </c>
      <c r="C514" s="43">
        <v>23747.599999999999</v>
      </c>
      <c r="D514" s="43">
        <v>5286.9</v>
      </c>
      <c r="E514" s="43">
        <v>18460.7</v>
      </c>
      <c r="F514" s="80" t="s">
        <v>72</v>
      </c>
      <c r="G514" s="83">
        <v>46051</v>
      </c>
      <c r="H514" s="83">
        <v>46056</v>
      </c>
      <c r="I514" s="4">
        <v>5</v>
      </c>
      <c r="J514" s="80" t="str">
        <f>TEXT(tblPayments[[#This Row],[Arrival]],"mmm")</f>
        <v>Jan</v>
      </c>
      <c r="K514" s="80">
        <f>MONTH(tblPayments[[#This Row],[Arrival]])</f>
        <v>1</v>
      </c>
      <c r="L514" s="80">
        <f>YEAR(tblPayments[[#This Row],[Arrival]])</f>
        <v>2026</v>
      </c>
      <c r="M514" s="80" t="str">
        <f>IF(tblPayments[[#This Row],[Balance]]=0,"Full Payment","Deposit")</f>
        <v>Deposit</v>
      </c>
      <c r="N514" s="43">
        <v>12688.95</v>
      </c>
      <c r="O514" s="83">
        <v>45964</v>
      </c>
      <c r="P514" s="87" t="s">
        <v>32</v>
      </c>
    </row>
    <row r="515" spans="1:16" x14ac:dyDescent="0.3">
      <c r="A515" s="77" t="s">
        <v>102</v>
      </c>
      <c r="B515" s="80" t="s">
        <v>77</v>
      </c>
      <c r="C515" s="43">
        <v>15099.44</v>
      </c>
      <c r="D515" s="43">
        <v>3774.86</v>
      </c>
      <c r="E515" s="43">
        <v>11324.58</v>
      </c>
      <c r="F515" s="80" t="s">
        <v>72</v>
      </c>
      <c r="G515" s="83">
        <v>46051</v>
      </c>
      <c r="H515" s="83">
        <v>46055</v>
      </c>
      <c r="I515" s="4">
        <v>4</v>
      </c>
      <c r="J515" s="80" t="str">
        <f>TEXT(tblPayments[[#This Row],[Arrival]],"mmm")</f>
        <v>Jan</v>
      </c>
      <c r="K515" s="80">
        <f>MONTH(tblPayments[[#This Row],[Arrival]])</f>
        <v>1</v>
      </c>
      <c r="L515" s="80">
        <f>YEAR(tblPayments[[#This Row],[Arrival]])</f>
        <v>2026</v>
      </c>
      <c r="M515" s="80" t="str">
        <f>IF(tblPayments[[#This Row],[Balance]]=0,"Full Payment","Deposit")</f>
        <v>Deposit</v>
      </c>
      <c r="N515" s="43">
        <v>10133.879999999999</v>
      </c>
      <c r="O515" s="83">
        <v>45955</v>
      </c>
      <c r="P515" s="87" t="s">
        <v>2</v>
      </c>
    </row>
    <row r="516" spans="1:16" x14ac:dyDescent="0.3">
      <c r="A516" s="77" t="s">
        <v>102</v>
      </c>
      <c r="B516" s="80" t="s">
        <v>77</v>
      </c>
      <c r="C516" s="43">
        <v>44593.66</v>
      </c>
      <c r="D516" s="43"/>
      <c r="E516" s="43">
        <v>44593.66</v>
      </c>
      <c r="F516" s="80" t="s">
        <v>75</v>
      </c>
      <c r="G516" s="83">
        <v>46051</v>
      </c>
      <c r="H516" s="83">
        <v>46068</v>
      </c>
      <c r="I516" s="4">
        <v>17</v>
      </c>
      <c r="J516" s="80" t="str">
        <f>TEXT(tblPayments[[#This Row],[Arrival]],"mmm")</f>
        <v>Jan</v>
      </c>
      <c r="K516" s="80">
        <f>MONTH(tblPayments[[#This Row],[Arrival]])</f>
        <v>1</v>
      </c>
      <c r="L516" s="80">
        <f>YEAR(tblPayments[[#This Row],[Arrival]])</f>
        <v>2026</v>
      </c>
      <c r="M516" s="80" t="str">
        <f>IF(tblPayments[[#This Row],[Balance]]=0,"Full Payment","Deposit")</f>
        <v>Deposit</v>
      </c>
      <c r="N516" s="43">
        <v>29403.03</v>
      </c>
      <c r="O516" s="83">
        <v>45992</v>
      </c>
      <c r="P516" s="87" t="s">
        <v>37</v>
      </c>
    </row>
    <row r="517" spans="1:16" x14ac:dyDescent="0.3">
      <c r="A517" s="77" t="s">
        <v>102</v>
      </c>
      <c r="B517" s="80" t="s">
        <v>77</v>
      </c>
      <c r="C517" s="43">
        <v>29960.95</v>
      </c>
      <c r="D517" s="43">
        <v>7490.23</v>
      </c>
      <c r="E517" s="43">
        <v>22470.720000000001</v>
      </c>
      <c r="F517" s="80" t="s">
        <v>72</v>
      </c>
      <c r="G517" s="83">
        <v>46053</v>
      </c>
      <c r="H517" s="83">
        <v>46060</v>
      </c>
      <c r="I517" s="4">
        <v>7</v>
      </c>
      <c r="J517" s="80" t="str">
        <f>TEXT(tblPayments[[#This Row],[Arrival]],"mmm")</f>
        <v>Jan</v>
      </c>
      <c r="K517" s="80">
        <f>MONTH(tblPayments[[#This Row],[Arrival]])</f>
        <v>1</v>
      </c>
      <c r="L517" s="80">
        <f>YEAR(tblPayments[[#This Row],[Arrival]])</f>
        <v>2026</v>
      </c>
      <c r="M517" s="80" t="str">
        <f>IF(tblPayments[[#This Row],[Balance]]=0,"Full Payment","Deposit")</f>
        <v>Deposit</v>
      </c>
      <c r="N517" s="43">
        <v>19283.39</v>
      </c>
      <c r="O517" s="83">
        <v>45971</v>
      </c>
      <c r="P517" s="87" t="s">
        <v>13</v>
      </c>
    </row>
    <row r="518" spans="1:16" x14ac:dyDescent="0.3">
      <c r="A518" s="77" t="s">
        <v>102</v>
      </c>
      <c r="B518" s="80" t="s">
        <v>77</v>
      </c>
      <c r="C518" s="43">
        <v>74312</v>
      </c>
      <c r="D518" s="43"/>
      <c r="E518" s="43">
        <v>74312</v>
      </c>
      <c r="F518" s="80" t="s">
        <v>75</v>
      </c>
      <c r="G518" s="83">
        <v>46053</v>
      </c>
      <c r="H518" s="83">
        <v>46069</v>
      </c>
      <c r="I518" s="4">
        <v>16</v>
      </c>
      <c r="J518" s="80" t="str">
        <f>TEXT(tblPayments[[#This Row],[Arrival]],"mmm")</f>
        <v>Jan</v>
      </c>
      <c r="K518" s="80">
        <f>MONTH(tblPayments[[#This Row],[Arrival]])</f>
        <v>1</v>
      </c>
      <c r="L518" s="80">
        <f>YEAR(tblPayments[[#This Row],[Arrival]])</f>
        <v>2026</v>
      </c>
      <c r="M518" s="80" t="str">
        <f>IF(tblPayments[[#This Row],[Balance]]=0,"Full Payment","Deposit")</f>
        <v>Deposit</v>
      </c>
      <c r="N518" s="43">
        <v>52844.959999999999</v>
      </c>
      <c r="O518" s="83">
        <v>45850</v>
      </c>
      <c r="P518" s="87" t="s">
        <v>2</v>
      </c>
    </row>
    <row r="519" spans="1:16" x14ac:dyDescent="0.3">
      <c r="A519" s="77" t="s">
        <v>102</v>
      </c>
      <c r="B519" s="80" t="s">
        <v>77</v>
      </c>
      <c r="C519" s="43">
        <v>5720.95</v>
      </c>
      <c r="D519" s="43"/>
      <c r="E519" s="43">
        <v>5720.95</v>
      </c>
      <c r="F519" s="80" t="s">
        <v>75</v>
      </c>
      <c r="G519" s="83">
        <v>46053</v>
      </c>
      <c r="H519" s="83">
        <v>46054</v>
      </c>
      <c r="I519" s="4">
        <v>1</v>
      </c>
      <c r="J519" s="80" t="str">
        <f>TEXT(tblPayments[[#This Row],[Arrival]],"mmm")</f>
        <v>Jan</v>
      </c>
      <c r="K519" s="80">
        <f>MONTH(tblPayments[[#This Row],[Arrival]])</f>
        <v>1</v>
      </c>
      <c r="L519" s="80">
        <f>YEAR(tblPayments[[#This Row],[Arrival]])</f>
        <v>2026</v>
      </c>
      <c r="M519" s="80" t="str">
        <f>IF(tblPayments[[#This Row],[Balance]]=0,"Full Payment","Deposit")</f>
        <v>Deposit</v>
      </c>
      <c r="N519" s="43">
        <v>2305.3200000000002</v>
      </c>
      <c r="O519" s="83">
        <v>45986</v>
      </c>
      <c r="P519" s="87" t="s">
        <v>31</v>
      </c>
    </row>
    <row r="520" spans="1:16" x14ac:dyDescent="0.3">
      <c r="A520" s="77" t="s">
        <v>102</v>
      </c>
      <c r="B520" s="80" t="s">
        <v>77</v>
      </c>
      <c r="C520" s="43">
        <v>2600</v>
      </c>
      <c r="D520" s="43"/>
      <c r="E520" s="43">
        <v>2600</v>
      </c>
      <c r="F520" s="80" t="s">
        <v>75</v>
      </c>
      <c r="G520" s="83">
        <v>46053</v>
      </c>
      <c r="H520" s="83">
        <v>46060</v>
      </c>
      <c r="I520" s="4">
        <v>7</v>
      </c>
      <c r="J520" s="80" t="str">
        <f>TEXT(tblPayments[[#This Row],[Arrival]],"mmm")</f>
        <v>Jan</v>
      </c>
      <c r="K520" s="80">
        <f>MONTH(tblPayments[[#This Row],[Arrival]])</f>
        <v>1</v>
      </c>
      <c r="L520" s="80">
        <f>YEAR(tblPayments[[#This Row],[Arrival]])</f>
        <v>2026</v>
      </c>
      <c r="M520" s="80" t="str">
        <f>IF(tblPayments[[#This Row],[Balance]]=0,"Full Payment","Deposit")</f>
        <v>Deposit</v>
      </c>
      <c r="N520" s="43">
        <v>0</v>
      </c>
      <c r="O520" s="83">
        <v>45927</v>
      </c>
      <c r="P520" s="87" t="s">
        <v>24</v>
      </c>
    </row>
    <row r="521" spans="1:16" x14ac:dyDescent="0.3">
      <c r="A521" s="77" t="s">
        <v>102</v>
      </c>
      <c r="B521" s="80" t="s">
        <v>77</v>
      </c>
      <c r="C521" s="43">
        <v>9004</v>
      </c>
      <c r="D521" s="43"/>
      <c r="E521" s="43">
        <v>9004</v>
      </c>
      <c r="F521" s="80" t="s">
        <v>75</v>
      </c>
      <c r="G521" s="83">
        <v>46053</v>
      </c>
      <c r="H521" s="83">
        <v>46055</v>
      </c>
      <c r="I521" s="4">
        <v>2</v>
      </c>
      <c r="J521" s="80" t="str">
        <f>TEXT(tblPayments[[#This Row],[Arrival]],"mmm")</f>
        <v>Jan</v>
      </c>
      <c r="K521" s="80">
        <f>MONTH(tblPayments[[#This Row],[Arrival]])</f>
        <v>1</v>
      </c>
      <c r="L521" s="80">
        <f>YEAR(tblPayments[[#This Row],[Arrival]])</f>
        <v>2026</v>
      </c>
      <c r="M521" s="80" t="str">
        <f>IF(tblPayments[[#This Row],[Balance]]=0,"Full Payment","Deposit")</f>
        <v>Deposit</v>
      </c>
      <c r="N521" s="43">
        <v>0</v>
      </c>
      <c r="O521" s="83">
        <v>45985</v>
      </c>
      <c r="P521" s="87" t="s">
        <v>31</v>
      </c>
    </row>
    <row r="522" spans="1:16" x14ac:dyDescent="0.3">
      <c r="A522" s="77" t="s">
        <v>102</v>
      </c>
      <c r="B522" s="80" t="s">
        <v>77</v>
      </c>
      <c r="C522" s="43">
        <v>5025</v>
      </c>
      <c r="D522" s="43"/>
      <c r="E522" s="43">
        <v>5025</v>
      </c>
      <c r="F522" s="80" t="s">
        <v>82</v>
      </c>
      <c r="G522" s="83">
        <v>46054</v>
      </c>
      <c r="H522" s="83">
        <v>46060</v>
      </c>
      <c r="I522" s="4">
        <v>6</v>
      </c>
      <c r="J522" s="80" t="str">
        <f>TEXT(tblPayments[[#This Row],[Arrival]],"mmm")</f>
        <v>Feb</v>
      </c>
      <c r="K522" s="80">
        <f>MONTH(tblPayments[[#This Row],[Arrival]])</f>
        <v>2</v>
      </c>
      <c r="L522" s="80">
        <f>YEAR(tblPayments[[#This Row],[Arrival]])</f>
        <v>2026</v>
      </c>
      <c r="M522" s="80" t="str">
        <f>IF(tblPayments[[#This Row],[Balance]]=0,"Full Payment","Deposit")</f>
        <v>Deposit</v>
      </c>
      <c r="N522" s="43">
        <v>-482.28</v>
      </c>
      <c r="O522" s="83">
        <v>45847</v>
      </c>
      <c r="P522" s="87" t="s">
        <v>2</v>
      </c>
    </row>
    <row r="523" spans="1:16" x14ac:dyDescent="0.3">
      <c r="A523" s="77" t="s">
        <v>102</v>
      </c>
      <c r="B523" s="80" t="s">
        <v>77</v>
      </c>
      <c r="C523" s="43">
        <v>20779.52</v>
      </c>
      <c r="D523" s="43">
        <v>20779.52</v>
      </c>
      <c r="E523" s="43"/>
      <c r="F523" s="80" t="s">
        <v>70</v>
      </c>
      <c r="G523" s="83">
        <v>46054</v>
      </c>
      <c r="H523" s="83">
        <v>46058</v>
      </c>
      <c r="I523" s="4">
        <v>4</v>
      </c>
      <c r="J523" s="80" t="str">
        <f>TEXT(tblPayments[[#This Row],[Arrival]],"mmm")</f>
        <v>Feb</v>
      </c>
      <c r="K523" s="80">
        <f>MONTH(tblPayments[[#This Row],[Arrival]])</f>
        <v>2</v>
      </c>
      <c r="L523" s="80">
        <f>YEAR(tblPayments[[#This Row],[Arrival]])</f>
        <v>2026</v>
      </c>
      <c r="M523" s="80" t="str">
        <f>IF(tblPayments[[#This Row],[Balance]]=0,"Full Payment","Deposit")</f>
        <v>Full Payment</v>
      </c>
      <c r="N523" s="43">
        <v>13329.9</v>
      </c>
      <c r="O523" s="83">
        <v>45895</v>
      </c>
      <c r="P523" s="87" t="s">
        <v>38</v>
      </c>
    </row>
    <row r="524" spans="1:16" x14ac:dyDescent="0.3">
      <c r="A524" s="77" t="s">
        <v>102</v>
      </c>
      <c r="B524" s="80" t="s">
        <v>77</v>
      </c>
      <c r="C524" s="43">
        <v>19942</v>
      </c>
      <c r="D524" s="43">
        <v>4570.5</v>
      </c>
      <c r="E524" s="43">
        <v>15371.5</v>
      </c>
      <c r="F524" s="80" t="s">
        <v>72</v>
      </c>
      <c r="G524" s="83">
        <v>46054</v>
      </c>
      <c r="H524" s="83">
        <v>46058</v>
      </c>
      <c r="I524" s="4">
        <v>4</v>
      </c>
      <c r="J524" s="80" t="str">
        <f>TEXT(tblPayments[[#This Row],[Arrival]],"mmm")</f>
        <v>Feb</v>
      </c>
      <c r="K524" s="80">
        <f>MONTH(tblPayments[[#This Row],[Arrival]])</f>
        <v>2</v>
      </c>
      <c r="L524" s="80">
        <f>YEAR(tblPayments[[#This Row],[Arrival]])</f>
        <v>2026</v>
      </c>
      <c r="M524" s="80" t="str">
        <f>IF(tblPayments[[#This Row],[Balance]]=0,"Full Payment","Deposit")</f>
        <v>Deposit</v>
      </c>
      <c r="N524" s="43">
        <v>6982.61</v>
      </c>
      <c r="O524" s="83">
        <v>45973</v>
      </c>
      <c r="P524" s="87" t="s">
        <v>31</v>
      </c>
    </row>
    <row r="525" spans="1:16" x14ac:dyDescent="0.3">
      <c r="A525" s="77" t="s">
        <v>102</v>
      </c>
      <c r="B525" s="80" t="s">
        <v>77</v>
      </c>
      <c r="C525" s="43">
        <v>26038.28</v>
      </c>
      <c r="D525" s="43">
        <v>6509.57</v>
      </c>
      <c r="E525" s="43">
        <v>19528.71</v>
      </c>
      <c r="F525" s="80" t="s">
        <v>72</v>
      </c>
      <c r="G525" s="83">
        <v>46055</v>
      </c>
      <c r="H525" s="83">
        <v>46061</v>
      </c>
      <c r="I525" s="4">
        <v>6</v>
      </c>
      <c r="J525" s="80" t="str">
        <f>TEXT(tblPayments[[#This Row],[Arrival]],"mmm")</f>
        <v>Feb</v>
      </c>
      <c r="K525" s="80">
        <f>MONTH(tblPayments[[#This Row],[Arrival]])</f>
        <v>2</v>
      </c>
      <c r="L525" s="80">
        <f>YEAR(tblPayments[[#This Row],[Arrival]])</f>
        <v>2026</v>
      </c>
      <c r="M525" s="80" t="str">
        <f>IF(tblPayments[[#This Row],[Balance]]=0,"Full Payment","Deposit")</f>
        <v>Deposit</v>
      </c>
      <c r="N525" s="43">
        <v>13747.14</v>
      </c>
      <c r="O525" s="83">
        <v>45992</v>
      </c>
      <c r="P525" s="87" t="s">
        <v>5</v>
      </c>
    </row>
    <row r="526" spans="1:16" x14ac:dyDescent="0.3">
      <c r="A526" s="77" t="s">
        <v>102</v>
      </c>
      <c r="B526" s="80" t="s">
        <v>77</v>
      </c>
      <c r="C526" s="43">
        <v>13506</v>
      </c>
      <c r="D526" s="43"/>
      <c r="E526" s="43">
        <v>13506</v>
      </c>
      <c r="F526" s="80" t="s">
        <v>75</v>
      </c>
      <c r="G526" s="83">
        <v>46055</v>
      </c>
      <c r="H526" s="83">
        <v>46058</v>
      </c>
      <c r="I526" s="4">
        <v>3</v>
      </c>
      <c r="J526" s="80" t="str">
        <f>TEXT(tblPayments[[#This Row],[Arrival]],"mmm")</f>
        <v>Feb</v>
      </c>
      <c r="K526" s="80">
        <f>MONTH(tblPayments[[#This Row],[Arrival]])</f>
        <v>2</v>
      </c>
      <c r="L526" s="80">
        <f>YEAR(tblPayments[[#This Row],[Arrival]])</f>
        <v>2026</v>
      </c>
      <c r="M526" s="80" t="str">
        <f>IF(tblPayments[[#This Row],[Balance]]=0,"Full Payment","Deposit")</f>
        <v>Deposit</v>
      </c>
      <c r="N526" s="43">
        <v>5366.31</v>
      </c>
      <c r="O526" s="83">
        <v>45984</v>
      </c>
      <c r="P526" s="87" t="s">
        <v>31</v>
      </c>
    </row>
    <row r="527" spans="1:16" x14ac:dyDescent="0.3">
      <c r="A527" s="77" t="s">
        <v>102</v>
      </c>
      <c r="B527" s="80" t="s">
        <v>77</v>
      </c>
      <c r="C527" s="43">
        <v>15496</v>
      </c>
      <c r="D527" s="43">
        <v>3874</v>
      </c>
      <c r="E527" s="43">
        <v>11622</v>
      </c>
      <c r="F527" s="80" t="s">
        <v>72</v>
      </c>
      <c r="G527" s="83">
        <v>46057</v>
      </c>
      <c r="H527" s="83">
        <v>46061</v>
      </c>
      <c r="I527" s="4">
        <v>4</v>
      </c>
      <c r="J527" s="80" t="str">
        <f>TEXT(tblPayments[[#This Row],[Arrival]],"mmm")</f>
        <v>Feb</v>
      </c>
      <c r="K527" s="80">
        <f>MONTH(tblPayments[[#This Row],[Arrival]])</f>
        <v>2</v>
      </c>
      <c r="L527" s="80">
        <f>YEAR(tblPayments[[#This Row],[Arrival]])</f>
        <v>2026</v>
      </c>
      <c r="M527" s="80" t="str">
        <f>IF(tblPayments[[#This Row],[Balance]]=0,"Full Payment","Deposit")</f>
        <v>Deposit</v>
      </c>
      <c r="N527" s="43">
        <v>7615.99</v>
      </c>
      <c r="O527" s="83">
        <v>45993</v>
      </c>
      <c r="P527" s="87" t="s">
        <v>31</v>
      </c>
    </row>
    <row r="528" spans="1:16" x14ac:dyDescent="0.3">
      <c r="A528" s="77" t="s">
        <v>102</v>
      </c>
      <c r="B528" s="80" t="s">
        <v>77</v>
      </c>
      <c r="C528" s="43">
        <v>17815.400000000001</v>
      </c>
      <c r="D528" s="43">
        <v>3803.85</v>
      </c>
      <c r="E528" s="43">
        <v>14011.55</v>
      </c>
      <c r="F528" s="80" t="s">
        <v>72</v>
      </c>
      <c r="G528" s="83">
        <v>46057</v>
      </c>
      <c r="H528" s="83">
        <v>46061</v>
      </c>
      <c r="I528" s="4">
        <v>4</v>
      </c>
      <c r="J528" s="80" t="str">
        <f>TEXT(tblPayments[[#This Row],[Arrival]],"mmm")</f>
        <v>Feb</v>
      </c>
      <c r="K528" s="80">
        <f>MONTH(tblPayments[[#This Row],[Arrival]])</f>
        <v>2</v>
      </c>
      <c r="L528" s="80">
        <f>YEAR(tblPayments[[#This Row],[Arrival]])</f>
        <v>2026</v>
      </c>
      <c r="M528" s="80" t="str">
        <f>IF(tblPayments[[#This Row],[Balance]]=0,"Full Payment","Deposit")</f>
        <v>Deposit</v>
      </c>
      <c r="N528" s="43">
        <v>11141.16</v>
      </c>
      <c r="O528" s="83">
        <v>45958</v>
      </c>
      <c r="P528" s="87" t="s">
        <v>5</v>
      </c>
    </row>
    <row r="529" spans="1:16" x14ac:dyDescent="0.3">
      <c r="A529" s="77" t="s">
        <v>102</v>
      </c>
      <c r="B529" s="80" t="s">
        <v>77</v>
      </c>
      <c r="C529" s="43">
        <v>10397</v>
      </c>
      <c r="D529" s="43"/>
      <c r="E529" s="43">
        <v>10397</v>
      </c>
      <c r="F529" s="80" t="s">
        <v>75</v>
      </c>
      <c r="G529" s="83">
        <v>46057</v>
      </c>
      <c r="H529" s="83">
        <v>46058</v>
      </c>
      <c r="I529" s="4">
        <v>1</v>
      </c>
      <c r="J529" s="80" t="str">
        <f>TEXT(tblPayments[[#This Row],[Arrival]],"mmm")</f>
        <v>Feb</v>
      </c>
      <c r="K529" s="80">
        <f>MONTH(tblPayments[[#This Row],[Arrival]])</f>
        <v>2</v>
      </c>
      <c r="L529" s="80">
        <f>YEAR(tblPayments[[#This Row],[Arrival]])</f>
        <v>2026</v>
      </c>
      <c r="M529" s="80" t="str">
        <f>IF(tblPayments[[#This Row],[Balance]]=0,"Full Payment","Deposit")</f>
        <v>Deposit</v>
      </c>
      <c r="N529" s="43">
        <v>5260.3</v>
      </c>
      <c r="O529" s="83">
        <v>45947</v>
      </c>
      <c r="P529" s="87" t="s">
        <v>31</v>
      </c>
    </row>
    <row r="530" spans="1:16" x14ac:dyDescent="0.3">
      <c r="A530" s="77" t="s">
        <v>102</v>
      </c>
      <c r="B530" s="80" t="s">
        <v>77</v>
      </c>
      <c r="C530" s="43"/>
      <c r="D530" s="43"/>
      <c r="E530" s="43"/>
      <c r="F530" s="80" t="s">
        <v>74</v>
      </c>
      <c r="G530" s="83">
        <v>46058</v>
      </c>
      <c r="H530" s="83">
        <v>46068</v>
      </c>
      <c r="I530" s="4">
        <v>10</v>
      </c>
      <c r="J530" s="80" t="str">
        <f>TEXT(tblPayments[[#This Row],[Arrival]],"mmm")</f>
        <v>Feb</v>
      </c>
      <c r="K530" s="80">
        <f>MONTH(tblPayments[[#This Row],[Arrival]])</f>
        <v>2</v>
      </c>
      <c r="L530" s="80">
        <f>YEAR(tblPayments[[#This Row],[Arrival]])</f>
        <v>2026</v>
      </c>
      <c r="M530" s="80" t="str">
        <f>IF(tblPayments[[#This Row],[Balance]]=0,"Full Payment","Deposit")</f>
        <v>Full Payment</v>
      </c>
      <c r="N530" s="43">
        <v>3899.6</v>
      </c>
      <c r="O530" s="83">
        <v>46001</v>
      </c>
      <c r="P530" s="87" t="s">
        <v>33</v>
      </c>
    </row>
    <row r="531" spans="1:16" x14ac:dyDescent="0.3">
      <c r="A531" s="77" t="s">
        <v>102</v>
      </c>
      <c r="B531" s="80" t="s">
        <v>77</v>
      </c>
      <c r="C531" s="43"/>
      <c r="D531" s="43"/>
      <c r="E531" s="43"/>
      <c r="F531" s="80" t="s">
        <v>74</v>
      </c>
      <c r="G531" s="83">
        <v>46058</v>
      </c>
      <c r="H531" s="83">
        <v>46065</v>
      </c>
      <c r="I531" s="4">
        <v>7</v>
      </c>
      <c r="J531" s="80" t="str">
        <f>TEXT(tblPayments[[#This Row],[Arrival]],"mmm")</f>
        <v>Feb</v>
      </c>
      <c r="K531" s="80">
        <f>MONTH(tblPayments[[#This Row],[Arrival]])</f>
        <v>2</v>
      </c>
      <c r="L531" s="80">
        <f>YEAR(tblPayments[[#This Row],[Arrival]])</f>
        <v>2026</v>
      </c>
      <c r="M531" s="80" t="str">
        <f>IF(tblPayments[[#This Row],[Balance]]=0,"Full Payment","Deposit")</f>
        <v>Full Payment</v>
      </c>
      <c r="N531" s="43">
        <v>17767.12</v>
      </c>
      <c r="O531" s="83"/>
      <c r="P531" s="87" t="s">
        <v>31</v>
      </c>
    </row>
    <row r="532" spans="1:16" x14ac:dyDescent="0.3">
      <c r="A532" s="77" t="s">
        <v>102</v>
      </c>
      <c r="B532" s="80" t="s">
        <v>77</v>
      </c>
      <c r="C532" s="43"/>
      <c r="D532" s="43"/>
      <c r="E532" s="43"/>
      <c r="F532" s="80" t="s">
        <v>74</v>
      </c>
      <c r="G532" s="83">
        <v>46058</v>
      </c>
      <c r="H532" s="83">
        <v>46065</v>
      </c>
      <c r="I532" s="4">
        <v>7</v>
      </c>
      <c r="J532" s="80" t="str">
        <f>TEXT(tblPayments[[#This Row],[Arrival]],"mmm")</f>
        <v>Feb</v>
      </c>
      <c r="K532" s="80">
        <f>MONTH(tblPayments[[#This Row],[Arrival]])</f>
        <v>2</v>
      </c>
      <c r="L532" s="80">
        <f>YEAR(tblPayments[[#This Row],[Arrival]])</f>
        <v>2026</v>
      </c>
      <c r="M532" s="80" t="str">
        <f>IF(tblPayments[[#This Row],[Balance]]=0,"Full Payment","Deposit")</f>
        <v>Full Payment</v>
      </c>
      <c r="N532" s="43">
        <v>17767.12</v>
      </c>
      <c r="O532" s="83"/>
      <c r="P532" s="87" t="s">
        <v>31</v>
      </c>
    </row>
    <row r="533" spans="1:16" x14ac:dyDescent="0.3">
      <c r="A533" s="77" t="s">
        <v>102</v>
      </c>
      <c r="B533" s="80" t="s">
        <v>77</v>
      </c>
      <c r="C533" s="43"/>
      <c r="D533" s="43"/>
      <c r="E533" s="43"/>
      <c r="F533" s="80" t="s">
        <v>74</v>
      </c>
      <c r="G533" s="83">
        <v>46058</v>
      </c>
      <c r="H533" s="83">
        <v>46065</v>
      </c>
      <c r="I533" s="4">
        <v>7</v>
      </c>
      <c r="J533" s="80" t="str">
        <f>TEXT(tblPayments[[#This Row],[Arrival]],"mmm")</f>
        <v>Feb</v>
      </c>
      <c r="K533" s="80">
        <f>MONTH(tblPayments[[#This Row],[Arrival]])</f>
        <v>2</v>
      </c>
      <c r="L533" s="80">
        <f>YEAR(tblPayments[[#This Row],[Arrival]])</f>
        <v>2026</v>
      </c>
      <c r="M533" s="80" t="str">
        <f>IF(tblPayments[[#This Row],[Balance]]=0,"Full Payment","Deposit")</f>
        <v>Full Payment</v>
      </c>
      <c r="N533" s="43">
        <v>19647.46</v>
      </c>
      <c r="O533" s="83"/>
      <c r="P533" s="87" t="s">
        <v>31</v>
      </c>
    </row>
    <row r="534" spans="1:16" x14ac:dyDescent="0.3">
      <c r="A534" s="77" t="s">
        <v>102</v>
      </c>
      <c r="B534" s="80" t="s">
        <v>77</v>
      </c>
      <c r="C534" s="43">
        <v>21800</v>
      </c>
      <c r="D534" s="43"/>
      <c r="E534" s="43">
        <v>21800</v>
      </c>
      <c r="F534" s="80" t="s">
        <v>75</v>
      </c>
      <c r="G534" s="83">
        <v>46059</v>
      </c>
      <c r="H534" s="83">
        <v>46066</v>
      </c>
      <c r="I534" s="4">
        <v>7</v>
      </c>
      <c r="J534" s="80" t="str">
        <f>TEXT(tblPayments[[#This Row],[Arrival]],"mmm")</f>
        <v>Feb</v>
      </c>
      <c r="K534" s="80">
        <f>MONTH(tblPayments[[#This Row],[Arrival]])</f>
        <v>2</v>
      </c>
      <c r="L534" s="80">
        <f>YEAR(tblPayments[[#This Row],[Arrival]])</f>
        <v>2026</v>
      </c>
      <c r="M534" s="80" t="str">
        <f>IF(tblPayments[[#This Row],[Balance]]=0,"Full Payment","Deposit")</f>
        <v>Deposit</v>
      </c>
      <c r="N534" s="43">
        <v>9610.7800000000007</v>
      </c>
      <c r="O534" s="83">
        <v>45975</v>
      </c>
      <c r="P534" s="87" t="s">
        <v>24</v>
      </c>
    </row>
    <row r="535" spans="1:16" x14ac:dyDescent="0.3">
      <c r="A535" s="77" t="s">
        <v>102</v>
      </c>
      <c r="B535" s="80" t="s">
        <v>77</v>
      </c>
      <c r="C535" s="43">
        <v>23850</v>
      </c>
      <c r="D535" s="43">
        <v>23850</v>
      </c>
      <c r="E535" s="43"/>
      <c r="F535" s="80" t="s">
        <v>70</v>
      </c>
      <c r="G535" s="83">
        <v>46060</v>
      </c>
      <c r="H535" s="83">
        <v>46067</v>
      </c>
      <c r="I535" s="4">
        <v>7</v>
      </c>
      <c r="J535" s="80" t="str">
        <f>TEXT(tblPayments[[#This Row],[Arrival]],"mmm")</f>
        <v>Feb</v>
      </c>
      <c r="K535" s="80">
        <f>MONTH(tblPayments[[#This Row],[Arrival]])</f>
        <v>2</v>
      </c>
      <c r="L535" s="80">
        <f>YEAR(tblPayments[[#This Row],[Arrival]])</f>
        <v>2026</v>
      </c>
      <c r="M535" s="80" t="str">
        <f>IF(tblPayments[[#This Row],[Balance]]=0,"Full Payment","Deposit")</f>
        <v>Full Payment</v>
      </c>
      <c r="N535" s="43">
        <v>10124.24</v>
      </c>
      <c r="O535" s="83">
        <v>45869</v>
      </c>
      <c r="P535" s="87" t="s">
        <v>24</v>
      </c>
    </row>
    <row r="536" spans="1:16" x14ac:dyDescent="0.3">
      <c r="A536" s="77" t="s">
        <v>102</v>
      </c>
      <c r="B536" s="80" t="s">
        <v>77</v>
      </c>
      <c r="C536" s="43">
        <v>14020</v>
      </c>
      <c r="D536" s="43"/>
      <c r="E536" s="43">
        <v>14020</v>
      </c>
      <c r="F536" s="80" t="s">
        <v>75</v>
      </c>
      <c r="G536" s="83">
        <v>46060</v>
      </c>
      <c r="H536" s="83">
        <v>46065</v>
      </c>
      <c r="I536" s="4">
        <v>5</v>
      </c>
      <c r="J536" s="80" t="str">
        <f>TEXT(tblPayments[[#This Row],[Arrival]],"mmm")</f>
        <v>Feb</v>
      </c>
      <c r="K536" s="80">
        <f>MONTH(tblPayments[[#This Row],[Arrival]])</f>
        <v>2</v>
      </c>
      <c r="L536" s="80">
        <f>YEAR(tblPayments[[#This Row],[Arrival]])</f>
        <v>2026</v>
      </c>
      <c r="M536" s="80" t="str">
        <f>IF(tblPayments[[#This Row],[Balance]]=0,"Full Payment","Deposit")</f>
        <v>Deposit</v>
      </c>
      <c r="N536" s="43">
        <v>9615.4</v>
      </c>
      <c r="O536" s="83">
        <v>45959</v>
      </c>
      <c r="P536" s="87" t="s">
        <v>9</v>
      </c>
    </row>
    <row r="537" spans="1:16" x14ac:dyDescent="0.3">
      <c r="A537" s="77" t="s">
        <v>102</v>
      </c>
      <c r="B537" s="80" t="s">
        <v>77</v>
      </c>
      <c r="C537" s="43">
        <v>21074.84</v>
      </c>
      <c r="D537" s="43"/>
      <c r="E537" s="43">
        <v>21074.84</v>
      </c>
      <c r="F537" s="80" t="s">
        <v>75</v>
      </c>
      <c r="G537" s="83">
        <v>46060</v>
      </c>
      <c r="H537" s="83">
        <v>46064</v>
      </c>
      <c r="I537" s="4">
        <v>4</v>
      </c>
      <c r="J537" s="80" t="str">
        <f>TEXT(tblPayments[[#This Row],[Arrival]],"mmm")</f>
        <v>Feb</v>
      </c>
      <c r="K537" s="80">
        <f>MONTH(tblPayments[[#This Row],[Arrival]])</f>
        <v>2</v>
      </c>
      <c r="L537" s="80">
        <f>YEAR(tblPayments[[#This Row],[Arrival]])</f>
        <v>2026</v>
      </c>
      <c r="M537" s="80" t="str">
        <f>IF(tblPayments[[#This Row],[Balance]]=0,"Full Payment","Deposit")</f>
        <v>Deposit</v>
      </c>
      <c r="N537" s="43">
        <v>12319</v>
      </c>
      <c r="O537" s="83">
        <v>45870</v>
      </c>
      <c r="P537" s="87" t="s">
        <v>18</v>
      </c>
    </row>
    <row r="538" spans="1:16" x14ac:dyDescent="0.3">
      <c r="A538" s="77" t="s">
        <v>102</v>
      </c>
      <c r="B538" s="80" t="s">
        <v>77</v>
      </c>
      <c r="C538" s="43">
        <v>21780</v>
      </c>
      <c r="D538" s="43">
        <v>5445</v>
      </c>
      <c r="E538" s="43">
        <v>16335</v>
      </c>
      <c r="F538" s="80" t="s">
        <v>72</v>
      </c>
      <c r="G538" s="83">
        <v>46060</v>
      </c>
      <c r="H538" s="83">
        <v>46065</v>
      </c>
      <c r="I538" s="4">
        <v>5</v>
      </c>
      <c r="J538" s="80" t="str">
        <f>TEXT(tblPayments[[#This Row],[Arrival]],"mmm")</f>
        <v>Feb</v>
      </c>
      <c r="K538" s="80">
        <f>MONTH(tblPayments[[#This Row],[Arrival]])</f>
        <v>2</v>
      </c>
      <c r="L538" s="80">
        <f>YEAR(tblPayments[[#This Row],[Arrival]])</f>
        <v>2026</v>
      </c>
      <c r="M538" s="80" t="str">
        <f>IF(tblPayments[[#This Row],[Balance]]=0,"Full Payment","Deposit")</f>
        <v>Deposit</v>
      </c>
      <c r="N538" s="43">
        <v>9558.14</v>
      </c>
      <c r="O538" s="83">
        <v>45972</v>
      </c>
      <c r="P538" s="87" t="s">
        <v>31</v>
      </c>
    </row>
    <row r="539" spans="1:16" x14ac:dyDescent="0.3">
      <c r="A539" s="77" t="s">
        <v>102</v>
      </c>
      <c r="B539" s="80" t="s">
        <v>77</v>
      </c>
      <c r="C539" s="43">
        <v>33160</v>
      </c>
      <c r="D539" s="43">
        <v>8290</v>
      </c>
      <c r="E539" s="43">
        <v>24870</v>
      </c>
      <c r="F539" s="80" t="s">
        <v>72</v>
      </c>
      <c r="G539" s="83">
        <v>46061</v>
      </c>
      <c r="H539" s="83">
        <v>46070</v>
      </c>
      <c r="I539" s="4">
        <v>9</v>
      </c>
      <c r="J539" s="80" t="str">
        <f>TEXT(tblPayments[[#This Row],[Arrival]],"mmm")</f>
        <v>Feb</v>
      </c>
      <c r="K539" s="80">
        <f>MONTH(tblPayments[[#This Row],[Arrival]])</f>
        <v>2</v>
      </c>
      <c r="L539" s="80">
        <f>YEAR(tblPayments[[#This Row],[Arrival]])</f>
        <v>2026</v>
      </c>
      <c r="M539" s="80" t="str">
        <f>IF(tblPayments[[#This Row],[Balance]]=0,"Full Payment","Deposit")</f>
        <v>Deposit</v>
      </c>
      <c r="N539" s="43">
        <v>21836.07</v>
      </c>
      <c r="O539" s="83">
        <v>45967</v>
      </c>
      <c r="P539" s="87" t="s">
        <v>15</v>
      </c>
    </row>
    <row r="540" spans="1:16" x14ac:dyDescent="0.3">
      <c r="A540" s="77" t="s">
        <v>102</v>
      </c>
      <c r="B540" s="80" t="s">
        <v>77</v>
      </c>
      <c r="C540" s="43">
        <v>15213.4</v>
      </c>
      <c r="D540" s="43"/>
      <c r="E540" s="43">
        <v>15213.4</v>
      </c>
      <c r="F540" s="80" t="s">
        <v>80</v>
      </c>
      <c r="G540" s="83">
        <v>46061</v>
      </c>
      <c r="H540" s="83">
        <v>46066</v>
      </c>
      <c r="I540" s="4">
        <v>5</v>
      </c>
      <c r="J540" s="80" t="str">
        <f>TEXT(tblPayments[[#This Row],[Arrival]],"mmm")</f>
        <v>Feb</v>
      </c>
      <c r="K540" s="80">
        <f>MONTH(tblPayments[[#This Row],[Arrival]])</f>
        <v>2</v>
      </c>
      <c r="L540" s="80">
        <f>YEAR(tblPayments[[#This Row],[Arrival]])</f>
        <v>2026</v>
      </c>
      <c r="M540" s="80" t="str">
        <f>IF(tblPayments[[#This Row],[Balance]]=0,"Full Payment","Deposit")</f>
        <v>Deposit</v>
      </c>
      <c r="N540" s="43">
        <v>9038</v>
      </c>
      <c r="O540" s="83">
        <v>45993</v>
      </c>
      <c r="P540" s="87" t="s">
        <v>31</v>
      </c>
    </row>
    <row r="541" spans="1:16" x14ac:dyDescent="0.3">
      <c r="A541" s="77" t="s">
        <v>102</v>
      </c>
      <c r="B541" s="80" t="s">
        <v>77</v>
      </c>
      <c r="C541" s="43">
        <v>325</v>
      </c>
      <c r="D541" s="43"/>
      <c r="E541" s="43">
        <v>325</v>
      </c>
      <c r="F541" s="80" t="s">
        <v>82</v>
      </c>
      <c r="G541" s="83">
        <v>46061</v>
      </c>
      <c r="H541" s="83">
        <v>46063</v>
      </c>
      <c r="I541" s="4">
        <v>2</v>
      </c>
      <c r="J541" s="80" t="str">
        <f>TEXT(tblPayments[[#This Row],[Arrival]],"mmm")</f>
        <v>Feb</v>
      </c>
      <c r="K541" s="80">
        <f>MONTH(tblPayments[[#This Row],[Arrival]])</f>
        <v>2</v>
      </c>
      <c r="L541" s="80">
        <f>YEAR(tblPayments[[#This Row],[Arrival]])</f>
        <v>2026</v>
      </c>
      <c r="M541" s="80" t="str">
        <f>IF(tblPayments[[#This Row],[Balance]]=0,"Full Payment","Deposit")</f>
        <v>Deposit</v>
      </c>
      <c r="N541" s="43">
        <v>0</v>
      </c>
      <c r="O541" s="83">
        <v>45869</v>
      </c>
      <c r="P541" s="87" t="s">
        <v>1</v>
      </c>
    </row>
    <row r="542" spans="1:16" x14ac:dyDescent="0.3">
      <c r="A542" s="77" t="s">
        <v>102</v>
      </c>
      <c r="B542" s="80" t="s">
        <v>77</v>
      </c>
      <c r="C542" s="43">
        <v>32974.769999999997</v>
      </c>
      <c r="D542" s="43"/>
      <c r="E542" s="43">
        <v>32974.769999999997</v>
      </c>
      <c r="F542" s="80" t="s">
        <v>75</v>
      </c>
      <c r="G542" s="83">
        <v>46061</v>
      </c>
      <c r="H542" s="83">
        <v>46069</v>
      </c>
      <c r="I542" s="4">
        <v>8</v>
      </c>
      <c r="J542" s="80" t="str">
        <f>TEXT(tblPayments[[#This Row],[Arrival]],"mmm")</f>
        <v>Feb</v>
      </c>
      <c r="K542" s="80">
        <f>MONTH(tblPayments[[#This Row],[Arrival]])</f>
        <v>2</v>
      </c>
      <c r="L542" s="80">
        <f>YEAR(tblPayments[[#This Row],[Arrival]])</f>
        <v>2026</v>
      </c>
      <c r="M542" s="80" t="str">
        <f>IF(tblPayments[[#This Row],[Balance]]=0,"Full Payment","Deposit")</f>
        <v>Deposit</v>
      </c>
      <c r="N542" s="43">
        <v>22239.64</v>
      </c>
      <c r="O542" s="83">
        <v>45999</v>
      </c>
      <c r="P542" s="87" t="s">
        <v>40</v>
      </c>
    </row>
    <row r="543" spans="1:16" x14ac:dyDescent="0.3">
      <c r="A543" s="77" t="s">
        <v>102</v>
      </c>
      <c r="B543" s="80" t="s">
        <v>77</v>
      </c>
      <c r="C543" s="43">
        <v>32974.769999999997</v>
      </c>
      <c r="D543" s="43"/>
      <c r="E543" s="43">
        <v>32974.769999999997</v>
      </c>
      <c r="F543" s="80" t="s">
        <v>75</v>
      </c>
      <c r="G543" s="83">
        <v>46061</v>
      </c>
      <c r="H543" s="83">
        <v>46069</v>
      </c>
      <c r="I543" s="4">
        <v>8</v>
      </c>
      <c r="J543" s="80" t="str">
        <f>TEXT(tblPayments[[#This Row],[Arrival]],"mmm")</f>
        <v>Feb</v>
      </c>
      <c r="K543" s="80">
        <f>MONTH(tblPayments[[#This Row],[Arrival]])</f>
        <v>2</v>
      </c>
      <c r="L543" s="80">
        <f>YEAR(tblPayments[[#This Row],[Arrival]])</f>
        <v>2026</v>
      </c>
      <c r="M543" s="80" t="str">
        <f>IF(tblPayments[[#This Row],[Balance]]=0,"Full Payment","Deposit")</f>
        <v>Deposit</v>
      </c>
      <c r="N543" s="43">
        <v>22239.64</v>
      </c>
      <c r="O543" s="83">
        <v>45999</v>
      </c>
      <c r="P543" s="87" t="s">
        <v>40</v>
      </c>
    </row>
    <row r="544" spans="1:16" x14ac:dyDescent="0.3">
      <c r="A544" s="77" t="s">
        <v>102</v>
      </c>
      <c r="B544" s="80" t="s">
        <v>77</v>
      </c>
      <c r="C544" s="43">
        <v>19530</v>
      </c>
      <c r="D544" s="43"/>
      <c r="E544" s="43">
        <v>19530</v>
      </c>
      <c r="F544" s="80" t="s">
        <v>75</v>
      </c>
      <c r="G544" s="83">
        <v>46061</v>
      </c>
      <c r="H544" s="83">
        <v>46064</v>
      </c>
      <c r="I544" s="4">
        <v>3</v>
      </c>
      <c r="J544" s="80" t="str">
        <f>TEXT(tblPayments[[#This Row],[Arrival]],"mmm")</f>
        <v>Feb</v>
      </c>
      <c r="K544" s="80">
        <f>MONTH(tblPayments[[#This Row],[Arrival]])</f>
        <v>2</v>
      </c>
      <c r="L544" s="80">
        <f>YEAR(tblPayments[[#This Row],[Arrival]])</f>
        <v>2026</v>
      </c>
      <c r="M544" s="80" t="str">
        <f>IF(tblPayments[[#This Row],[Balance]]=0,"Full Payment","Deposit")</f>
        <v>Deposit</v>
      </c>
      <c r="N544" s="43">
        <v>3133.2</v>
      </c>
      <c r="O544" s="83">
        <v>45926</v>
      </c>
      <c r="P544" s="87" t="s">
        <v>24</v>
      </c>
    </row>
    <row r="545" spans="1:16" x14ac:dyDescent="0.3">
      <c r="A545" s="77" t="s">
        <v>102</v>
      </c>
      <c r="B545" s="80" t="s">
        <v>77</v>
      </c>
      <c r="C545" s="43">
        <v>20244</v>
      </c>
      <c r="D545" s="43"/>
      <c r="E545" s="43">
        <v>20244</v>
      </c>
      <c r="F545" s="80" t="s">
        <v>75</v>
      </c>
      <c r="G545" s="83">
        <v>46061</v>
      </c>
      <c r="H545" s="83">
        <v>46065</v>
      </c>
      <c r="I545" s="4">
        <v>4</v>
      </c>
      <c r="J545" s="80" t="str">
        <f>TEXT(tblPayments[[#This Row],[Arrival]],"mmm")</f>
        <v>Feb</v>
      </c>
      <c r="K545" s="80">
        <f>MONTH(tblPayments[[#This Row],[Arrival]])</f>
        <v>2</v>
      </c>
      <c r="L545" s="80">
        <f>YEAR(tblPayments[[#This Row],[Arrival]])</f>
        <v>2026</v>
      </c>
      <c r="M545" s="80" t="str">
        <f>IF(tblPayments[[#This Row],[Balance]]=0,"Full Payment","Deposit")</f>
        <v>Deposit</v>
      </c>
      <c r="N545" s="43">
        <v>11981.36</v>
      </c>
      <c r="O545" s="83">
        <v>45902</v>
      </c>
      <c r="P545" s="87" t="s">
        <v>32</v>
      </c>
    </row>
    <row r="546" spans="1:16" x14ac:dyDescent="0.3">
      <c r="A546" s="77" t="s">
        <v>102</v>
      </c>
      <c r="B546" s="80" t="s">
        <v>77</v>
      </c>
      <c r="C546" s="43">
        <v>20740</v>
      </c>
      <c r="D546" s="43">
        <v>5185</v>
      </c>
      <c r="E546" s="43">
        <v>15555</v>
      </c>
      <c r="F546" s="80" t="s">
        <v>72</v>
      </c>
      <c r="G546" s="83">
        <v>46061</v>
      </c>
      <c r="H546" s="83">
        <v>46066</v>
      </c>
      <c r="I546" s="4">
        <v>5</v>
      </c>
      <c r="J546" s="80" t="str">
        <f>TEXT(tblPayments[[#This Row],[Arrival]],"mmm")</f>
        <v>Feb</v>
      </c>
      <c r="K546" s="80">
        <f>MONTH(tblPayments[[#This Row],[Arrival]])</f>
        <v>2</v>
      </c>
      <c r="L546" s="80">
        <f>YEAR(tblPayments[[#This Row],[Arrival]])</f>
        <v>2026</v>
      </c>
      <c r="M546" s="80" t="str">
        <f>IF(tblPayments[[#This Row],[Balance]]=0,"Full Payment","Deposit")</f>
        <v>Deposit</v>
      </c>
      <c r="N546" s="43">
        <v>9729.86</v>
      </c>
      <c r="O546" s="83">
        <v>45982</v>
      </c>
      <c r="P546" s="87" t="s">
        <v>31</v>
      </c>
    </row>
    <row r="547" spans="1:16" x14ac:dyDescent="0.3">
      <c r="A547" s="77" t="s">
        <v>102</v>
      </c>
      <c r="B547" s="80" t="s">
        <v>77</v>
      </c>
      <c r="C547" s="43">
        <v>36542</v>
      </c>
      <c r="D547" s="43"/>
      <c r="E547" s="43">
        <v>36542</v>
      </c>
      <c r="F547" s="80" t="s">
        <v>75</v>
      </c>
      <c r="G547" s="83">
        <v>46062</v>
      </c>
      <c r="H547" s="83">
        <v>46066</v>
      </c>
      <c r="I547" s="4">
        <v>4</v>
      </c>
      <c r="J547" s="80" t="str">
        <f>TEXT(tblPayments[[#This Row],[Arrival]],"mmm")</f>
        <v>Feb</v>
      </c>
      <c r="K547" s="80">
        <f>MONTH(tblPayments[[#This Row],[Arrival]])</f>
        <v>2</v>
      </c>
      <c r="L547" s="80">
        <f>YEAR(tblPayments[[#This Row],[Arrival]])</f>
        <v>2026</v>
      </c>
      <c r="M547" s="80" t="str">
        <f>IF(tblPayments[[#This Row],[Balance]]=0,"Full Payment","Deposit")</f>
        <v>Deposit</v>
      </c>
      <c r="N547" s="43">
        <v>0</v>
      </c>
      <c r="O547" s="83">
        <v>45998</v>
      </c>
      <c r="P547" s="87" t="s">
        <v>31</v>
      </c>
    </row>
    <row r="548" spans="1:16" x14ac:dyDescent="0.3">
      <c r="A548" s="77" t="s">
        <v>102</v>
      </c>
      <c r="B548" s="80" t="s">
        <v>77</v>
      </c>
      <c r="C548" s="43">
        <v>16661.599999999999</v>
      </c>
      <c r="D548" s="43">
        <v>3515.4</v>
      </c>
      <c r="E548" s="43">
        <v>13146.2</v>
      </c>
      <c r="F548" s="80" t="s">
        <v>72</v>
      </c>
      <c r="G548" s="83">
        <v>46062</v>
      </c>
      <c r="H548" s="83">
        <v>46066</v>
      </c>
      <c r="I548" s="4">
        <v>4</v>
      </c>
      <c r="J548" s="80" t="str">
        <f>TEXT(tblPayments[[#This Row],[Arrival]],"mmm")</f>
        <v>Feb</v>
      </c>
      <c r="K548" s="80">
        <f>MONTH(tblPayments[[#This Row],[Arrival]])</f>
        <v>2</v>
      </c>
      <c r="L548" s="80">
        <f>YEAR(tblPayments[[#This Row],[Arrival]])</f>
        <v>2026</v>
      </c>
      <c r="M548" s="80" t="str">
        <f>IF(tblPayments[[#This Row],[Balance]]=0,"Full Payment","Deposit")</f>
        <v>Deposit</v>
      </c>
      <c r="N548" s="43">
        <v>10260.68</v>
      </c>
      <c r="O548" s="83">
        <v>45969</v>
      </c>
      <c r="P548" s="87" t="s">
        <v>14</v>
      </c>
    </row>
    <row r="549" spans="1:16" x14ac:dyDescent="0.3">
      <c r="A549" s="77" t="s">
        <v>102</v>
      </c>
      <c r="B549" s="80" t="s">
        <v>77</v>
      </c>
      <c r="C549" s="43">
        <v>48742.84</v>
      </c>
      <c r="D549" s="43">
        <v>12185.71</v>
      </c>
      <c r="E549" s="43">
        <v>36557.129999999997</v>
      </c>
      <c r="F549" s="80" t="s">
        <v>72</v>
      </c>
      <c r="G549" s="83">
        <v>46062</v>
      </c>
      <c r="H549" s="83">
        <v>46068</v>
      </c>
      <c r="I549" s="4">
        <v>6</v>
      </c>
      <c r="J549" s="80" t="str">
        <f>TEXT(tblPayments[[#This Row],[Arrival]],"mmm")</f>
        <v>Feb</v>
      </c>
      <c r="K549" s="80">
        <f>MONTH(tblPayments[[#This Row],[Arrival]])</f>
        <v>2</v>
      </c>
      <c r="L549" s="80">
        <f>YEAR(tblPayments[[#This Row],[Arrival]])</f>
        <v>2026</v>
      </c>
      <c r="M549" s="80" t="str">
        <f>IF(tblPayments[[#This Row],[Balance]]=0,"Full Payment","Deposit")</f>
        <v>Deposit</v>
      </c>
      <c r="N549" s="43">
        <v>31818.42</v>
      </c>
      <c r="O549" s="83">
        <v>45999</v>
      </c>
      <c r="P549" s="87" t="s">
        <v>15</v>
      </c>
    </row>
    <row r="550" spans="1:16" x14ac:dyDescent="0.3">
      <c r="A550" s="77" t="s">
        <v>102</v>
      </c>
      <c r="B550" s="80" t="s">
        <v>77</v>
      </c>
      <c r="C550" s="43">
        <v>36838.400000000001</v>
      </c>
      <c r="D550" s="43"/>
      <c r="E550" s="43">
        <v>36838.400000000001</v>
      </c>
      <c r="F550" s="80" t="s">
        <v>75</v>
      </c>
      <c r="G550" s="83">
        <v>46062</v>
      </c>
      <c r="H550" s="83">
        <v>46069</v>
      </c>
      <c r="I550" s="4">
        <v>7</v>
      </c>
      <c r="J550" s="80" t="str">
        <f>TEXT(tblPayments[[#This Row],[Arrival]],"mmm")</f>
        <v>Feb</v>
      </c>
      <c r="K550" s="80">
        <f>MONTH(tblPayments[[#This Row],[Arrival]])</f>
        <v>2</v>
      </c>
      <c r="L550" s="80">
        <f>YEAR(tblPayments[[#This Row],[Arrival]])</f>
        <v>2026</v>
      </c>
      <c r="M550" s="80" t="str">
        <f>IF(tblPayments[[#This Row],[Balance]]=0,"Full Payment","Deposit")</f>
        <v>Deposit</v>
      </c>
      <c r="N550" s="43">
        <v>25305.56</v>
      </c>
      <c r="O550" s="83">
        <v>45900</v>
      </c>
      <c r="P550" s="87" t="s">
        <v>18</v>
      </c>
    </row>
    <row r="551" spans="1:16" x14ac:dyDescent="0.3">
      <c r="A551" s="77" t="s">
        <v>102</v>
      </c>
      <c r="B551" s="80" t="s">
        <v>77</v>
      </c>
      <c r="C551" s="43">
        <v>17700</v>
      </c>
      <c r="D551" s="43">
        <v>4425</v>
      </c>
      <c r="E551" s="43">
        <v>13275</v>
      </c>
      <c r="F551" s="80" t="s">
        <v>72</v>
      </c>
      <c r="G551" s="83">
        <v>46062</v>
      </c>
      <c r="H551" s="83">
        <v>46066</v>
      </c>
      <c r="I551" s="4">
        <v>4</v>
      </c>
      <c r="J551" s="80" t="str">
        <f>TEXT(tblPayments[[#This Row],[Arrival]],"mmm")</f>
        <v>Feb</v>
      </c>
      <c r="K551" s="80">
        <f>MONTH(tblPayments[[#This Row],[Arrival]])</f>
        <v>2</v>
      </c>
      <c r="L551" s="80">
        <f>YEAR(tblPayments[[#This Row],[Arrival]])</f>
        <v>2026</v>
      </c>
      <c r="M551" s="80" t="str">
        <f>IF(tblPayments[[#This Row],[Balance]]=0,"Full Payment","Deposit")</f>
        <v>Deposit</v>
      </c>
      <c r="N551" s="43">
        <v>4204.82</v>
      </c>
      <c r="O551" s="83">
        <v>45961</v>
      </c>
      <c r="P551" s="87" t="s">
        <v>31</v>
      </c>
    </row>
    <row r="552" spans="1:16" x14ac:dyDescent="0.3">
      <c r="A552" s="77" t="s">
        <v>102</v>
      </c>
      <c r="B552" s="80" t="s">
        <v>77</v>
      </c>
      <c r="C552" s="43">
        <v>28188.28</v>
      </c>
      <c r="D552" s="43">
        <v>28188.28</v>
      </c>
      <c r="E552" s="43"/>
      <c r="F552" s="80" t="s">
        <v>70</v>
      </c>
      <c r="G552" s="83">
        <v>46063</v>
      </c>
      <c r="H552" s="83">
        <v>46072</v>
      </c>
      <c r="I552" s="4">
        <v>9</v>
      </c>
      <c r="J552" s="80" t="str">
        <f>TEXT(tblPayments[[#This Row],[Arrival]],"mmm")</f>
        <v>Feb</v>
      </c>
      <c r="K552" s="80">
        <f>MONTH(tblPayments[[#This Row],[Arrival]])</f>
        <v>2</v>
      </c>
      <c r="L552" s="80">
        <f>YEAR(tblPayments[[#This Row],[Arrival]])</f>
        <v>2026</v>
      </c>
      <c r="M552" s="80" t="str">
        <f>IF(tblPayments[[#This Row],[Balance]]=0,"Full Payment","Deposit")</f>
        <v>Full Payment</v>
      </c>
      <c r="N552" s="43">
        <v>18469.349999999999</v>
      </c>
      <c r="O552" s="83">
        <v>45978</v>
      </c>
      <c r="P552" s="87"/>
    </row>
    <row r="553" spans="1:16" x14ac:dyDescent="0.3">
      <c r="A553" s="77" t="s">
        <v>102</v>
      </c>
      <c r="B553" s="80" t="s">
        <v>77</v>
      </c>
      <c r="C553" s="43">
        <v>16155</v>
      </c>
      <c r="D553" s="43"/>
      <c r="E553" s="43">
        <v>16155</v>
      </c>
      <c r="F553" s="80" t="s">
        <v>75</v>
      </c>
      <c r="G553" s="83">
        <v>46063</v>
      </c>
      <c r="H553" s="83">
        <v>46068</v>
      </c>
      <c r="I553" s="4">
        <v>5</v>
      </c>
      <c r="J553" s="80" t="str">
        <f>TEXT(tblPayments[[#This Row],[Arrival]],"mmm")</f>
        <v>Feb</v>
      </c>
      <c r="K553" s="80">
        <f>MONTH(tblPayments[[#This Row],[Arrival]])</f>
        <v>2</v>
      </c>
      <c r="L553" s="80">
        <f>YEAR(tblPayments[[#This Row],[Arrival]])</f>
        <v>2026</v>
      </c>
      <c r="M553" s="80" t="str">
        <f>IF(tblPayments[[#This Row],[Balance]]=0,"Full Payment","Deposit")</f>
        <v>Deposit</v>
      </c>
      <c r="N553" s="43">
        <v>0</v>
      </c>
      <c r="O553" s="83">
        <v>45996</v>
      </c>
      <c r="P553" s="87" t="s">
        <v>1</v>
      </c>
    </row>
    <row r="554" spans="1:16" x14ac:dyDescent="0.3">
      <c r="A554" s="77" t="s">
        <v>102</v>
      </c>
      <c r="B554" s="80" t="s">
        <v>77</v>
      </c>
      <c r="C554" s="43">
        <v>22090</v>
      </c>
      <c r="D554" s="43"/>
      <c r="E554" s="43">
        <v>22090</v>
      </c>
      <c r="F554" s="80" t="s">
        <v>75</v>
      </c>
      <c r="G554" s="83">
        <v>46063</v>
      </c>
      <c r="H554" s="83">
        <v>46068</v>
      </c>
      <c r="I554" s="4">
        <v>5</v>
      </c>
      <c r="J554" s="80" t="str">
        <f>TEXT(tblPayments[[#This Row],[Arrival]],"mmm")</f>
        <v>Feb</v>
      </c>
      <c r="K554" s="80">
        <f>MONTH(tblPayments[[#This Row],[Arrival]])</f>
        <v>2</v>
      </c>
      <c r="L554" s="80">
        <f>YEAR(tblPayments[[#This Row],[Arrival]])</f>
        <v>2026</v>
      </c>
      <c r="M554" s="80" t="str">
        <f>IF(tblPayments[[#This Row],[Balance]]=0,"Full Payment","Deposit")</f>
        <v>Deposit</v>
      </c>
      <c r="N554" s="43">
        <v>11523.2</v>
      </c>
      <c r="O554" s="83">
        <v>45969</v>
      </c>
      <c r="P554" s="87" t="s">
        <v>2</v>
      </c>
    </row>
    <row r="555" spans="1:16" x14ac:dyDescent="0.3">
      <c r="A555" s="77" t="s">
        <v>102</v>
      </c>
      <c r="B555" s="80" t="s">
        <v>77</v>
      </c>
      <c r="C555" s="43">
        <v>30200</v>
      </c>
      <c r="D555" s="43">
        <v>3000</v>
      </c>
      <c r="E555" s="43">
        <v>27200</v>
      </c>
      <c r="F555" s="80" t="s">
        <v>72</v>
      </c>
      <c r="G555" s="83">
        <v>46063</v>
      </c>
      <c r="H555" s="83">
        <v>46073</v>
      </c>
      <c r="I555" s="4">
        <v>10</v>
      </c>
      <c r="J555" s="80" t="str">
        <f>TEXT(tblPayments[[#This Row],[Arrival]],"mmm")</f>
        <v>Feb</v>
      </c>
      <c r="K555" s="80">
        <f>MONTH(tblPayments[[#This Row],[Arrival]])</f>
        <v>2</v>
      </c>
      <c r="L555" s="80">
        <f>YEAR(tblPayments[[#This Row],[Arrival]])</f>
        <v>2026</v>
      </c>
      <c r="M555" s="80" t="str">
        <f>IF(tblPayments[[#This Row],[Balance]]=0,"Full Payment","Deposit")</f>
        <v>Deposit</v>
      </c>
      <c r="N555" s="43">
        <v>19887.099999999999</v>
      </c>
      <c r="O555" s="83">
        <v>45982</v>
      </c>
      <c r="P555" s="87" t="s">
        <v>12</v>
      </c>
    </row>
    <row r="556" spans="1:16" x14ac:dyDescent="0.3">
      <c r="A556" s="77" t="s">
        <v>102</v>
      </c>
      <c r="B556" s="80" t="s">
        <v>77</v>
      </c>
      <c r="C556" s="43">
        <v>3567.75</v>
      </c>
      <c r="D556" s="43"/>
      <c r="E556" s="43">
        <v>3567.75</v>
      </c>
      <c r="F556" s="80" t="s">
        <v>75</v>
      </c>
      <c r="G556" s="83">
        <v>46064</v>
      </c>
      <c r="H556" s="83">
        <v>46065</v>
      </c>
      <c r="I556" s="4">
        <v>1</v>
      </c>
      <c r="J556" s="80" t="str">
        <f>TEXT(tblPayments[[#This Row],[Arrival]],"mmm")</f>
        <v>Feb</v>
      </c>
      <c r="K556" s="80">
        <f>MONTH(tblPayments[[#This Row],[Arrival]])</f>
        <v>2</v>
      </c>
      <c r="L556" s="80">
        <f>YEAR(tblPayments[[#This Row],[Arrival]])</f>
        <v>2026</v>
      </c>
      <c r="M556" s="80" t="str">
        <f>IF(tblPayments[[#This Row],[Balance]]=0,"Full Payment","Deposit")</f>
        <v>Deposit</v>
      </c>
      <c r="N556" s="43">
        <v>239.43</v>
      </c>
      <c r="O556" s="83">
        <v>45977</v>
      </c>
      <c r="P556" s="87" t="s">
        <v>31</v>
      </c>
    </row>
    <row r="557" spans="1:16" x14ac:dyDescent="0.3">
      <c r="A557" s="77" t="s">
        <v>102</v>
      </c>
      <c r="B557" s="80" t="s">
        <v>77</v>
      </c>
      <c r="C557" s="43">
        <v>17356</v>
      </c>
      <c r="D557" s="43">
        <v>4339</v>
      </c>
      <c r="E557" s="43">
        <v>13017</v>
      </c>
      <c r="F557" s="80" t="s">
        <v>72</v>
      </c>
      <c r="G557" s="83">
        <v>46064</v>
      </c>
      <c r="H557" s="83">
        <v>46068</v>
      </c>
      <c r="I557" s="4">
        <v>4</v>
      </c>
      <c r="J557" s="80" t="str">
        <f>TEXT(tblPayments[[#This Row],[Arrival]],"mmm")</f>
        <v>Feb</v>
      </c>
      <c r="K557" s="80">
        <f>MONTH(tblPayments[[#This Row],[Arrival]])</f>
        <v>2</v>
      </c>
      <c r="L557" s="80">
        <f>YEAR(tblPayments[[#This Row],[Arrival]])</f>
        <v>2026</v>
      </c>
      <c r="M557" s="80" t="str">
        <f>IF(tblPayments[[#This Row],[Balance]]=0,"Full Payment","Deposit")</f>
        <v>Deposit</v>
      </c>
      <c r="N557" s="43">
        <v>9035.4</v>
      </c>
      <c r="O557" s="83">
        <v>45976</v>
      </c>
      <c r="P557" s="87" t="s">
        <v>31</v>
      </c>
    </row>
    <row r="558" spans="1:16" x14ac:dyDescent="0.3">
      <c r="A558" s="77" t="s">
        <v>102</v>
      </c>
      <c r="B558" s="80" t="s">
        <v>77</v>
      </c>
      <c r="C558" s="43">
        <v>48141.98</v>
      </c>
      <c r="D558" s="43"/>
      <c r="E558" s="43">
        <v>48141.98</v>
      </c>
      <c r="F558" s="80" t="s">
        <v>75</v>
      </c>
      <c r="G558" s="83">
        <v>46064</v>
      </c>
      <c r="H558" s="83">
        <v>46071</v>
      </c>
      <c r="I558" s="4">
        <v>7</v>
      </c>
      <c r="J558" s="80" t="str">
        <f>TEXT(tblPayments[[#This Row],[Arrival]],"mmm")</f>
        <v>Feb</v>
      </c>
      <c r="K558" s="80">
        <f>MONTH(tblPayments[[#This Row],[Arrival]])</f>
        <v>2</v>
      </c>
      <c r="L558" s="80">
        <f>YEAR(tblPayments[[#This Row],[Arrival]])</f>
        <v>2026</v>
      </c>
      <c r="M558" s="80" t="str">
        <f>IF(tblPayments[[#This Row],[Balance]]=0,"Full Payment","Deposit")</f>
        <v>Deposit</v>
      </c>
      <c r="N558" s="43">
        <v>33760.65</v>
      </c>
      <c r="O558" s="83">
        <v>45786</v>
      </c>
      <c r="P558" s="87" t="s">
        <v>2</v>
      </c>
    </row>
    <row r="559" spans="1:16" x14ac:dyDescent="0.3">
      <c r="A559" s="77" t="s">
        <v>102</v>
      </c>
      <c r="B559" s="80" t="s">
        <v>77</v>
      </c>
      <c r="C559" s="43">
        <v>12881.13</v>
      </c>
      <c r="D559" s="43"/>
      <c r="E559" s="43">
        <v>12881.13</v>
      </c>
      <c r="F559" s="80" t="s">
        <v>75</v>
      </c>
      <c r="G559" s="83">
        <v>46064</v>
      </c>
      <c r="H559" s="83">
        <v>46067</v>
      </c>
      <c r="I559" s="4">
        <v>3</v>
      </c>
      <c r="J559" s="80" t="str">
        <f>TEXT(tblPayments[[#This Row],[Arrival]],"mmm")</f>
        <v>Feb</v>
      </c>
      <c r="K559" s="80">
        <f>MONTH(tblPayments[[#This Row],[Arrival]])</f>
        <v>2</v>
      </c>
      <c r="L559" s="80">
        <f>YEAR(tblPayments[[#This Row],[Arrival]])</f>
        <v>2026</v>
      </c>
      <c r="M559" s="80" t="str">
        <f>IF(tblPayments[[#This Row],[Balance]]=0,"Full Payment","Deposit")</f>
        <v>Deposit</v>
      </c>
      <c r="N559" s="43">
        <v>9239.25</v>
      </c>
      <c r="O559" s="83">
        <v>45870</v>
      </c>
      <c r="P559" s="87" t="s">
        <v>18</v>
      </c>
    </row>
    <row r="560" spans="1:16" x14ac:dyDescent="0.3">
      <c r="A560" s="77" t="s">
        <v>102</v>
      </c>
      <c r="B560" s="80" t="s">
        <v>77</v>
      </c>
      <c r="C560" s="43"/>
      <c r="D560" s="43"/>
      <c r="E560" s="43"/>
      <c r="F560" s="80" t="s">
        <v>73</v>
      </c>
      <c r="G560" s="83">
        <v>46064</v>
      </c>
      <c r="H560" s="83">
        <v>46066</v>
      </c>
      <c r="I560" s="4">
        <v>2</v>
      </c>
      <c r="J560" s="80" t="str">
        <f>TEXT(tblPayments[[#This Row],[Arrival]],"mmm")</f>
        <v>Feb</v>
      </c>
      <c r="K560" s="80">
        <f>MONTH(tblPayments[[#This Row],[Arrival]])</f>
        <v>2</v>
      </c>
      <c r="L560" s="80">
        <f>YEAR(tblPayments[[#This Row],[Arrival]])</f>
        <v>2026</v>
      </c>
      <c r="M560" s="80" t="str">
        <f>IF(tblPayments[[#This Row],[Balance]]=0,"Full Payment","Deposit")</f>
        <v>Full Payment</v>
      </c>
      <c r="N560" s="43">
        <v>0</v>
      </c>
      <c r="O560" s="83">
        <v>45766</v>
      </c>
      <c r="P560" s="87" t="s">
        <v>26</v>
      </c>
    </row>
    <row r="561" spans="1:16" x14ac:dyDescent="0.3">
      <c r="A561" s="77" t="s">
        <v>102</v>
      </c>
      <c r="B561" s="80" t="s">
        <v>77</v>
      </c>
      <c r="C561" s="43"/>
      <c r="D561" s="43"/>
      <c r="E561" s="43"/>
      <c r="F561" s="80" t="s">
        <v>73</v>
      </c>
      <c r="G561" s="83">
        <v>46064</v>
      </c>
      <c r="H561" s="83">
        <v>46066</v>
      </c>
      <c r="I561" s="4">
        <v>2</v>
      </c>
      <c r="J561" s="80" t="str">
        <f>TEXT(tblPayments[[#This Row],[Arrival]],"mmm")</f>
        <v>Feb</v>
      </c>
      <c r="K561" s="80">
        <f>MONTH(tblPayments[[#This Row],[Arrival]])</f>
        <v>2</v>
      </c>
      <c r="L561" s="80">
        <f>YEAR(tblPayments[[#This Row],[Arrival]])</f>
        <v>2026</v>
      </c>
      <c r="M561" s="80" t="str">
        <f>IF(tblPayments[[#This Row],[Balance]]=0,"Full Payment","Deposit")</f>
        <v>Full Payment</v>
      </c>
      <c r="N561" s="43">
        <v>0</v>
      </c>
      <c r="O561" s="83">
        <v>45766</v>
      </c>
      <c r="P561" s="87" t="s">
        <v>26</v>
      </c>
    </row>
    <row r="562" spans="1:16" x14ac:dyDescent="0.3">
      <c r="A562" s="77" t="s">
        <v>102</v>
      </c>
      <c r="B562" s="80" t="s">
        <v>77</v>
      </c>
      <c r="C562" s="43"/>
      <c r="D562" s="43"/>
      <c r="E562" s="43"/>
      <c r="F562" s="80" t="s">
        <v>73</v>
      </c>
      <c r="G562" s="83">
        <v>46064</v>
      </c>
      <c r="H562" s="83">
        <v>46066</v>
      </c>
      <c r="I562" s="4">
        <v>2</v>
      </c>
      <c r="J562" s="80" t="str">
        <f>TEXT(tblPayments[[#This Row],[Arrival]],"mmm")</f>
        <v>Feb</v>
      </c>
      <c r="K562" s="80">
        <f>MONTH(tblPayments[[#This Row],[Arrival]])</f>
        <v>2</v>
      </c>
      <c r="L562" s="80">
        <f>YEAR(tblPayments[[#This Row],[Arrival]])</f>
        <v>2026</v>
      </c>
      <c r="M562" s="80" t="str">
        <f>IF(tblPayments[[#This Row],[Balance]]=0,"Full Payment","Deposit")</f>
        <v>Full Payment</v>
      </c>
      <c r="N562" s="43">
        <v>0</v>
      </c>
      <c r="O562" s="83">
        <v>45766</v>
      </c>
      <c r="P562" s="87" t="s">
        <v>26</v>
      </c>
    </row>
    <row r="563" spans="1:16" x14ac:dyDescent="0.3">
      <c r="A563" s="77" t="s">
        <v>102</v>
      </c>
      <c r="B563" s="80" t="s">
        <v>77</v>
      </c>
      <c r="C563" s="43"/>
      <c r="D563" s="43"/>
      <c r="E563" s="43"/>
      <c r="F563" s="80" t="s">
        <v>73</v>
      </c>
      <c r="G563" s="83">
        <v>46064</v>
      </c>
      <c r="H563" s="83">
        <v>46066</v>
      </c>
      <c r="I563" s="4">
        <v>2</v>
      </c>
      <c r="J563" s="80" t="str">
        <f>TEXT(tblPayments[[#This Row],[Arrival]],"mmm")</f>
        <v>Feb</v>
      </c>
      <c r="K563" s="80">
        <f>MONTH(tblPayments[[#This Row],[Arrival]])</f>
        <v>2</v>
      </c>
      <c r="L563" s="80">
        <f>YEAR(tblPayments[[#This Row],[Arrival]])</f>
        <v>2026</v>
      </c>
      <c r="M563" s="80" t="str">
        <f>IF(tblPayments[[#This Row],[Balance]]=0,"Full Payment","Deposit")</f>
        <v>Full Payment</v>
      </c>
      <c r="N563" s="43">
        <v>0</v>
      </c>
      <c r="O563" s="83">
        <v>45766</v>
      </c>
      <c r="P563" s="87" t="s">
        <v>26</v>
      </c>
    </row>
    <row r="564" spans="1:16" x14ac:dyDescent="0.3">
      <c r="A564" s="77" t="s">
        <v>102</v>
      </c>
      <c r="B564" s="80" t="s">
        <v>77</v>
      </c>
      <c r="C564" s="43">
        <v>19000</v>
      </c>
      <c r="D564" s="43"/>
      <c r="E564" s="43">
        <v>19000</v>
      </c>
      <c r="F564" s="80" t="s">
        <v>75</v>
      </c>
      <c r="G564" s="83">
        <v>46064</v>
      </c>
      <c r="H564" s="83">
        <v>46068</v>
      </c>
      <c r="I564" s="4">
        <v>4</v>
      </c>
      <c r="J564" s="80" t="str">
        <f>TEXT(tblPayments[[#This Row],[Arrival]],"mmm")</f>
        <v>Feb</v>
      </c>
      <c r="K564" s="80">
        <f>MONTH(tblPayments[[#This Row],[Arrival]])</f>
        <v>2</v>
      </c>
      <c r="L564" s="80">
        <f>YEAR(tblPayments[[#This Row],[Arrival]])</f>
        <v>2026</v>
      </c>
      <c r="M564" s="80" t="str">
        <f>IF(tblPayments[[#This Row],[Balance]]=0,"Full Payment","Deposit")</f>
        <v>Deposit</v>
      </c>
      <c r="N564" s="43">
        <v>-478.64</v>
      </c>
      <c r="O564" s="83">
        <v>46001</v>
      </c>
      <c r="P564" s="87" t="s">
        <v>31</v>
      </c>
    </row>
    <row r="565" spans="1:16" x14ac:dyDescent="0.3">
      <c r="A565" s="77" t="s">
        <v>102</v>
      </c>
      <c r="B565" s="80" t="s">
        <v>77</v>
      </c>
      <c r="C565" s="43">
        <v>19000</v>
      </c>
      <c r="D565" s="43"/>
      <c r="E565" s="43">
        <v>19000</v>
      </c>
      <c r="F565" s="80" t="s">
        <v>75</v>
      </c>
      <c r="G565" s="83">
        <v>46064</v>
      </c>
      <c r="H565" s="83">
        <v>46068</v>
      </c>
      <c r="I565" s="4">
        <v>4</v>
      </c>
      <c r="J565" s="80" t="str">
        <f>TEXT(tblPayments[[#This Row],[Arrival]],"mmm")</f>
        <v>Feb</v>
      </c>
      <c r="K565" s="80">
        <f>MONTH(tblPayments[[#This Row],[Arrival]])</f>
        <v>2</v>
      </c>
      <c r="L565" s="80">
        <f>YEAR(tblPayments[[#This Row],[Arrival]])</f>
        <v>2026</v>
      </c>
      <c r="M565" s="80" t="str">
        <f>IF(tblPayments[[#This Row],[Balance]]=0,"Full Payment","Deposit")</f>
        <v>Deposit</v>
      </c>
      <c r="N565" s="43">
        <v>-478.64</v>
      </c>
      <c r="O565" s="83">
        <v>46001</v>
      </c>
      <c r="P565" s="87" t="s">
        <v>31</v>
      </c>
    </row>
    <row r="566" spans="1:16" x14ac:dyDescent="0.3">
      <c r="A566" s="77" t="s">
        <v>102</v>
      </c>
      <c r="B566" s="80" t="s">
        <v>77</v>
      </c>
      <c r="C566" s="43">
        <v>19000</v>
      </c>
      <c r="D566" s="43"/>
      <c r="E566" s="43">
        <v>19000</v>
      </c>
      <c r="F566" s="80" t="s">
        <v>75</v>
      </c>
      <c r="G566" s="83">
        <v>46064</v>
      </c>
      <c r="H566" s="83">
        <v>46068</v>
      </c>
      <c r="I566" s="4">
        <v>4</v>
      </c>
      <c r="J566" s="80" t="str">
        <f>TEXT(tblPayments[[#This Row],[Arrival]],"mmm")</f>
        <v>Feb</v>
      </c>
      <c r="K566" s="80">
        <f>MONTH(tblPayments[[#This Row],[Arrival]])</f>
        <v>2</v>
      </c>
      <c r="L566" s="80">
        <f>YEAR(tblPayments[[#This Row],[Arrival]])</f>
        <v>2026</v>
      </c>
      <c r="M566" s="80" t="str">
        <f>IF(tblPayments[[#This Row],[Balance]]=0,"Full Payment","Deposit")</f>
        <v>Deposit</v>
      </c>
      <c r="N566" s="43">
        <v>-478.64</v>
      </c>
      <c r="O566" s="83">
        <v>46001</v>
      </c>
      <c r="P566" s="87" t="s">
        <v>31</v>
      </c>
    </row>
    <row r="567" spans="1:16" x14ac:dyDescent="0.3">
      <c r="A567" s="77" t="s">
        <v>102</v>
      </c>
      <c r="B567" s="80" t="s">
        <v>77</v>
      </c>
      <c r="C567" s="43">
        <v>16942</v>
      </c>
      <c r="D567" s="43"/>
      <c r="E567" s="43">
        <v>16942</v>
      </c>
      <c r="F567" s="80" t="s">
        <v>75</v>
      </c>
      <c r="G567" s="83">
        <v>46064</v>
      </c>
      <c r="H567" s="83">
        <v>46068</v>
      </c>
      <c r="I567" s="4">
        <v>4</v>
      </c>
      <c r="J567" s="80" t="str">
        <f>TEXT(tblPayments[[#This Row],[Arrival]],"mmm")</f>
        <v>Feb</v>
      </c>
      <c r="K567" s="80">
        <f>MONTH(tblPayments[[#This Row],[Arrival]])</f>
        <v>2</v>
      </c>
      <c r="L567" s="80">
        <f>YEAR(tblPayments[[#This Row],[Arrival]])</f>
        <v>2026</v>
      </c>
      <c r="M567" s="80" t="str">
        <f>IF(tblPayments[[#This Row],[Balance]]=0,"Full Payment","Deposit")</f>
        <v>Deposit</v>
      </c>
      <c r="N567" s="43">
        <v>7409.94</v>
      </c>
      <c r="O567" s="83">
        <v>45994</v>
      </c>
      <c r="P567" s="87" t="s">
        <v>31</v>
      </c>
    </row>
    <row r="568" spans="1:16" x14ac:dyDescent="0.3">
      <c r="A568" s="77" t="s">
        <v>102</v>
      </c>
      <c r="B568" s="80" t="s">
        <v>77</v>
      </c>
      <c r="C568" s="43">
        <v>2100</v>
      </c>
      <c r="D568" s="43">
        <v>2100</v>
      </c>
      <c r="E568" s="43"/>
      <c r="F568" s="80" t="s">
        <v>82</v>
      </c>
      <c r="G568" s="83">
        <v>46065</v>
      </c>
      <c r="H568" s="83">
        <v>46068</v>
      </c>
      <c r="I568" s="4">
        <v>3</v>
      </c>
      <c r="J568" s="80" t="str">
        <f>TEXT(tblPayments[[#This Row],[Arrival]],"mmm")</f>
        <v>Feb</v>
      </c>
      <c r="K568" s="80">
        <f>MONTH(tblPayments[[#This Row],[Arrival]])</f>
        <v>2</v>
      </c>
      <c r="L568" s="80">
        <f>YEAR(tblPayments[[#This Row],[Arrival]])</f>
        <v>2026</v>
      </c>
      <c r="M568" s="80" t="str">
        <f>IF(tblPayments[[#This Row],[Balance]]=0,"Full Payment","Deposit")</f>
        <v>Full Payment</v>
      </c>
      <c r="N568" s="43">
        <v>1485.04</v>
      </c>
      <c r="O568" s="83">
        <v>45841</v>
      </c>
      <c r="P568" s="87" t="s">
        <v>15</v>
      </c>
    </row>
    <row r="569" spans="1:16" x14ac:dyDescent="0.3">
      <c r="A569" s="77" t="s">
        <v>102</v>
      </c>
      <c r="B569" s="80" t="s">
        <v>77</v>
      </c>
      <c r="C569" s="43">
        <v>21826</v>
      </c>
      <c r="D569" s="43">
        <v>6734</v>
      </c>
      <c r="E569" s="43">
        <v>15092</v>
      </c>
      <c r="F569" s="80" t="s">
        <v>72</v>
      </c>
      <c r="G569" s="83">
        <v>46065</v>
      </c>
      <c r="H569" s="83">
        <v>46071</v>
      </c>
      <c r="I569" s="4">
        <v>6</v>
      </c>
      <c r="J569" s="80" t="str">
        <f>TEXT(tblPayments[[#This Row],[Arrival]],"mmm")</f>
        <v>Feb</v>
      </c>
      <c r="K569" s="80">
        <f>MONTH(tblPayments[[#This Row],[Arrival]])</f>
        <v>2</v>
      </c>
      <c r="L569" s="80">
        <f>YEAR(tblPayments[[#This Row],[Arrival]])</f>
        <v>2026</v>
      </c>
      <c r="M569" s="80" t="str">
        <f>IF(tblPayments[[#This Row],[Balance]]=0,"Full Payment","Deposit")</f>
        <v>Deposit</v>
      </c>
      <c r="N569" s="43">
        <v>13232.58</v>
      </c>
      <c r="O569" s="83">
        <v>45983</v>
      </c>
      <c r="P569" s="87" t="s">
        <v>36</v>
      </c>
    </row>
    <row r="570" spans="1:16" x14ac:dyDescent="0.3">
      <c r="A570" s="77" t="s">
        <v>102</v>
      </c>
      <c r="B570" s="80" t="s">
        <v>77</v>
      </c>
      <c r="C570" s="43">
        <v>10703.25</v>
      </c>
      <c r="D570" s="43"/>
      <c r="E570" s="43">
        <v>10703.25</v>
      </c>
      <c r="F570" s="80" t="s">
        <v>75</v>
      </c>
      <c r="G570" s="83">
        <v>46065</v>
      </c>
      <c r="H570" s="83">
        <v>46068</v>
      </c>
      <c r="I570" s="4">
        <v>3</v>
      </c>
      <c r="J570" s="80" t="str">
        <f>TEXT(tblPayments[[#This Row],[Arrival]],"mmm")</f>
        <v>Feb</v>
      </c>
      <c r="K570" s="80">
        <f>MONTH(tblPayments[[#This Row],[Arrival]])</f>
        <v>2</v>
      </c>
      <c r="L570" s="80">
        <f>YEAR(tblPayments[[#This Row],[Arrival]])</f>
        <v>2026</v>
      </c>
      <c r="M570" s="80" t="str">
        <f>IF(tblPayments[[#This Row],[Balance]]=0,"Full Payment","Deposit")</f>
        <v>Deposit</v>
      </c>
      <c r="N570" s="43">
        <v>6441.74</v>
      </c>
      <c r="O570" s="83">
        <v>45977</v>
      </c>
      <c r="P570" s="87" t="s">
        <v>31</v>
      </c>
    </row>
    <row r="571" spans="1:16" x14ac:dyDescent="0.3">
      <c r="A571" s="77" t="s">
        <v>102</v>
      </c>
      <c r="B571" s="80" t="s">
        <v>77</v>
      </c>
      <c r="C571" s="43">
        <v>33138.239999999998</v>
      </c>
      <c r="D571" s="43"/>
      <c r="E571" s="43">
        <v>33138.239999999998</v>
      </c>
      <c r="F571" s="80" t="s">
        <v>75</v>
      </c>
      <c r="G571" s="83">
        <v>46065</v>
      </c>
      <c r="H571" s="83">
        <v>46069</v>
      </c>
      <c r="I571" s="4">
        <v>4</v>
      </c>
      <c r="J571" s="80" t="str">
        <f>TEXT(tblPayments[[#This Row],[Arrival]],"mmm")</f>
        <v>Feb</v>
      </c>
      <c r="K571" s="80">
        <f>MONTH(tblPayments[[#This Row],[Arrival]])</f>
        <v>2</v>
      </c>
      <c r="L571" s="80">
        <f>YEAR(tblPayments[[#This Row],[Arrival]])</f>
        <v>2026</v>
      </c>
      <c r="M571" s="80" t="str">
        <f>IF(tblPayments[[#This Row],[Balance]]=0,"Full Payment","Deposit")</f>
        <v>Deposit</v>
      </c>
      <c r="N571" s="43">
        <v>15203.16</v>
      </c>
      <c r="O571" s="83">
        <v>45928</v>
      </c>
      <c r="P571" s="87" t="s">
        <v>15</v>
      </c>
    </row>
    <row r="572" spans="1:16" x14ac:dyDescent="0.3">
      <c r="A572" s="77" t="s">
        <v>102</v>
      </c>
      <c r="B572" s="80" t="s">
        <v>77</v>
      </c>
      <c r="C572" s="43">
        <v>34161.300000000003</v>
      </c>
      <c r="D572" s="43">
        <v>2600</v>
      </c>
      <c r="E572" s="43">
        <v>31561.3</v>
      </c>
      <c r="F572" s="80" t="s">
        <v>80</v>
      </c>
      <c r="G572" s="83">
        <v>46065</v>
      </c>
      <c r="H572" s="83">
        <v>46075</v>
      </c>
      <c r="I572" s="4">
        <v>10</v>
      </c>
      <c r="J572" s="80" t="str">
        <f>TEXT(tblPayments[[#This Row],[Arrival]],"mmm")</f>
        <v>Feb</v>
      </c>
      <c r="K572" s="80">
        <f>MONTH(tblPayments[[#This Row],[Arrival]])</f>
        <v>2</v>
      </c>
      <c r="L572" s="80">
        <f>YEAR(tblPayments[[#This Row],[Arrival]])</f>
        <v>2026</v>
      </c>
      <c r="M572" s="80" t="str">
        <f>IF(tblPayments[[#This Row],[Balance]]=0,"Full Payment","Deposit")</f>
        <v>Deposit</v>
      </c>
      <c r="N572" s="43">
        <v>22055.3</v>
      </c>
      <c r="O572" s="83">
        <v>45954</v>
      </c>
      <c r="P572" s="87" t="s">
        <v>32</v>
      </c>
    </row>
    <row r="573" spans="1:16" x14ac:dyDescent="0.3">
      <c r="A573" s="77" t="s">
        <v>102</v>
      </c>
      <c r="B573" s="80" t="s">
        <v>77</v>
      </c>
      <c r="C573" s="43">
        <v>16440.41</v>
      </c>
      <c r="D573" s="43"/>
      <c r="E573" s="43">
        <v>16440.41</v>
      </c>
      <c r="F573" s="80" t="s">
        <v>75</v>
      </c>
      <c r="G573" s="83">
        <v>46065</v>
      </c>
      <c r="H573" s="83">
        <v>46068</v>
      </c>
      <c r="I573" s="4">
        <v>3</v>
      </c>
      <c r="J573" s="80" t="str">
        <f>TEXT(tblPayments[[#This Row],[Arrival]],"mmm")</f>
        <v>Feb</v>
      </c>
      <c r="K573" s="80">
        <f>MONTH(tblPayments[[#This Row],[Arrival]])</f>
        <v>2</v>
      </c>
      <c r="L573" s="80">
        <f>YEAR(tblPayments[[#This Row],[Arrival]])</f>
        <v>2026</v>
      </c>
      <c r="M573" s="80" t="str">
        <f>IF(tblPayments[[#This Row],[Balance]]=0,"Full Payment","Deposit")</f>
        <v>Deposit</v>
      </c>
      <c r="N573" s="43">
        <v>8492.3700000000008</v>
      </c>
      <c r="O573" s="83">
        <v>45987</v>
      </c>
      <c r="P573" s="87" t="s">
        <v>30</v>
      </c>
    </row>
    <row r="574" spans="1:16" x14ac:dyDescent="0.3">
      <c r="A574" s="77" t="s">
        <v>102</v>
      </c>
      <c r="B574" s="80" t="s">
        <v>77</v>
      </c>
      <c r="C574" s="43">
        <v>9821</v>
      </c>
      <c r="D574" s="43"/>
      <c r="E574" s="43">
        <v>9821</v>
      </c>
      <c r="F574" s="80" t="s">
        <v>75</v>
      </c>
      <c r="G574" s="83">
        <v>46065</v>
      </c>
      <c r="H574" s="83">
        <v>46067</v>
      </c>
      <c r="I574" s="4">
        <v>2</v>
      </c>
      <c r="J574" s="80" t="str">
        <f>TEXT(tblPayments[[#This Row],[Arrival]],"mmm")</f>
        <v>Feb</v>
      </c>
      <c r="K574" s="80">
        <f>MONTH(tblPayments[[#This Row],[Arrival]])</f>
        <v>2</v>
      </c>
      <c r="L574" s="80">
        <f>YEAR(tblPayments[[#This Row],[Arrival]])</f>
        <v>2026</v>
      </c>
      <c r="M574" s="80" t="str">
        <f>IF(tblPayments[[#This Row],[Balance]]=0,"Full Payment","Deposit")</f>
        <v>Deposit</v>
      </c>
      <c r="N574" s="43">
        <v>4770.78</v>
      </c>
      <c r="O574" s="83">
        <v>45999</v>
      </c>
      <c r="P574" s="87" t="s">
        <v>31</v>
      </c>
    </row>
    <row r="575" spans="1:16" x14ac:dyDescent="0.3">
      <c r="A575" s="77" t="s">
        <v>102</v>
      </c>
      <c r="B575" s="80" t="s">
        <v>77</v>
      </c>
      <c r="C575" s="43">
        <v>13643.88</v>
      </c>
      <c r="D575" s="43"/>
      <c r="E575" s="43">
        <v>13643.88</v>
      </c>
      <c r="F575" s="80" t="s">
        <v>75</v>
      </c>
      <c r="G575" s="83">
        <v>46066</v>
      </c>
      <c r="H575" s="83">
        <v>46070</v>
      </c>
      <c r="I575" s="4">
        <v>4</v>
      </c>
      <c r="J575" s="80" t="str">
        <f>TEXT(tblPayments[[#This Row],[Arrival]],"mmm")</f>
        <v>Feb</v>
      </c>
      <c r="K575" s="80">
        <f>MONTH(tblPayments[[#This Row],[Arrival]])</f>
        <v>2</v>
      </c>
      <c r="L575" s="80">
        <f>YEAR(tblPayments[[#This Row],[Arrival]])</f>
        <v>2026</v>
      </c>
      <c r="M575" s="80" t="str">
        <f>IF(tblPayments[[#This Row],[Balance]]=0,"Full Payment","Deposit")</f>
        <v>Deposit</v>
      </c>
      <c r="N575" s="43">
        <v>8102.48</v>
      </c>
      <c r="O575" s="83">
        <v>45980</v>
      </c>
      <c r="P575" s="87" t="s">
        <v>31</v>
      </c>
    </row>
    <row r="576" spans="1:16" x14ac:dyDescent="0.3">
      <c r="A576" s="77" t="s">
        <v>102</v>
      </c>
      <c r="B576" s="80" t="s">
        <v>77</v>
      </c>
      <c r="C576" s="43">
        <v>45117.84</v>
      </c>
      <c r="D576" s="43">
        <v>3796.78</v>
      </c>
      <c r="E576" s="43">
        <v>41321.06</v>
      </c>
      <c r="F576" s="80" t="s">
        <v>72</v>
      </c>
      <c r="G576" s="83">
        <v>46066</v>
      </c>
      <c r="H576" s="83">
        <v>46070</v>
      </c>
      <c r="I576" s="4">
        <v>4</v>
      </c>
      <c r="J576" s="80" t="str">
        <f>TEXT(tblPayments[[#This Row],[Arrival]],"mmm")</f>
        <v>Feb</v>
      </c>
      <c r="K576" s="80">
        <f>MONTH(tblPayments[[#This Row],[Arrival]])</f>
        <v>2</v>
      </c>
      <c r="L576" s="80">
        <f>YEAR(tblPayments[[#This Row],[Arrival]])</f>
        <v>2026</v>
      </c>
      <c r="M576" s="80" t="str">
        <f>IF(tblPayments[[#This Row],[Balance]]=0,"Full Payment","Deposit")</f>
        <v>Deposit</v>
      </c>
      <c r="N576" s="43">
        <v>27557.88</v>
      </c>
      <c r="O576" s="83">
        <v>45992</v>
      </c>
      <c r="P576" s="87" t="s">
        <v>60</v>
      </c>
    </row>
    <row r="577" spans="1:16" x14ac:dyDescent="0.3">
      <c r="A577" s="77" t="s">
        <v>102</v>
      </c>
      <c r="B577" s="80" t="s">
        <v>77</v>
      </c>
      <c r="C577" s="43">
        <v>298</v>
      </c>
      <c r="D577" s="43">
        <v>298</v>
      </c>
      <c r="E577" s="43"/>
      <c r="F577" s="80" t="s">
        <v>82</v>
      </c>
      <c r="G577" s="83">
        <v>46066</v>
      </c>
      <c r="H577" s="83">
        <v>46068</v>
      </c>
      <c r="I577" s="4">
        <v>2</v>
      </c>
      <c r="J577" s="80" t="str">
        <f>TEXT(tblPayments[[#This Row],[Arrival]],"mmm")</f>
        <v>Feb</v>
      </c>
      <c r="K577" s="80">
        <f>MONTH(tblPayments[[#This Row],[Arrival]])</f>
        <v>2</v>
      </c>
      <c r="L577" s="80">
        <f>YEAR(tblPayments[[#This Row],[Arrival]])</f>
        <v>2026</v>
      </c>
      <c r="M577" s="80" t="str">
        <f>IF(tblPayments[[#This Row],[Balance]]=0,"Full Payment","Deposit")</f>
        <v>Full Payment</v>
      </c>
      <c r="N577" s="43">
        <v>0</v>
      </c>
      <c r="O577" s="83">
        <v>45925</v>
      </c>
      <c r="P577" s="87" t="s">
        <v>2</v>
      </c>
    </row>
    <row r="578" spans="1:16" x14ac:dyDescent="0.3">
      <c r="A578" s="77" t="s">
        <v>102</v>
      </c>
      <c r="B578" s="80" t="s">
        <v>77</v>
      </c>
      <c r="C578" s="43">
        <v>23692</v>
      </c>
      <c r="D578" s="43">
        <v>13472</v>
      </c>
      <c r="E578" s="43">
        <v>10220</v>
      </c>
      <c r="F578" s="80" t="s">
        <v>72</v>
      </c>
      <c r="G578" s="83">
        <v>46066</v>
      </c>
      <c r="H578" s="83">
        <v>46070</v>
      </c>
      <c r="I578" s="4">
        <v>4</v>
      </c>
      <c r="J578" s="80" t="str">
        <f>TEXT(tblPayments[[#This Row],[Arrival]],"mmm")</f>
        <v>Feb</v>
      </c>
      <c r="K578" s="80">
        <f>MONTH(tblPayments[[#This Row],[Arrival]])</f>
        <v>2</v>
      </c>
      <c r="L578" s="80">
        <f>YEAR(tblPayments[[#This Row],[Arrival]])</f>
        <v>2026</v>
      </c>
      <c r="M578" s="80" t="str">
        <f>IF(tblPayments[[#This Row],[Balance]]=0,"Full Payment","Deposit")</f>
        <v>Deposit</v>
      </c>
      <c r="N578" s="43">
        <v>13022.52</v>
      </c>
      <c r="O578" s="83">
        <v>45883</v>
      </c>
      <c r="P578" s="87" t="s">
        <v>31</v>
      </c>
    </row>
    <row r="579" spans="1:16" x14ac:dyDescent="0.3">
      <c r="A579" s="77" t="s">
        <v>102</v>
      </c>
      <c r="B579" s="80" t="s">
        <v>77</v>
      </c>
      <c r="C579" s="43">
        <v>14890.08</v>
      </c>
      <c r="D579" s="43">
        <v>7904.75</v>
      </c>
      <c r="E579" s="43">
        <v>6985.33</v>
      </c>
      <c r="F579" s="80" t="s">
        <v>72</v>
      </c>
      <c r="G579" s="83">
        <v>46066</v>
      </c>
      <c r="H579" s="83">
        <v>46070</v>
      </c>
      <c r="I579" s="4">
        <v>4</v>
      </c>
      <c r="J579" s="80" t="str">
        <f>TEXT(tblPayments[[#This Row],[Arrival]],"mmm")</f>
        <v>Feb</v>
      </c>
      <c r="K579" s="80">
        <f>MONTH(tblPayments[[#This Row],[Arrival]])</f>
        <v>2</v>
      </c>
      <c r="L579" s="80">
        <f>YEAR(tblPayments[[#This Row],[Arrival]])</f>
        <v>2026</v>
      </c>
      <c r="M579" s="80" t="str">
        <f>IF(tblPayments[[#This Row],[Balance]]=0,"Full Payment","Deposit")</f>
        <v>Deposit</v>
      </c>
      <c r="N579" s="43">
        <v>9888.64</v>
      </c>
      <c r="O579" s="83">
        <v>45968</v>
      </c>
      <c r="P579" s="87" t="s">
        <v>15</v>
      </c>
    </row>
    <row r="580" spans="1:16" x14ac:dyDescent="0.3">
      <c r="A580" s="77" t="s">
        <v>102</v>
      </c>
      <c r="B580" s="80" t="s">
        <v>77</v>
      </c>
      <c r="C580" s="43">
        <v>18528.88</v>
      </c>
      <c r="D580" s="43"/>
      <c r="E580" s="43">
        <v>18528.88</v>
      </c>
      <c r="F580" s="80" t="s">
        <v>75</v>
      </c>
      <c r="G580" s="83">
        <v>46066</v>
      </c>
      <c r="H580" s="83">
        <v>46070</v>
      </c>
      <c r="I580" s="4">
        <v>4</v>
      </c>
      <c r="J580" s="80" t="str">
        <f>TEXT(tblPayments[[#This Row],[Arrival]],"mmm")</f>
        <v>Feb</v>
      </c>
      <c r="K580" s="80">
        <f>MONTH(tblPayments[[#This Row],[Arrival]])</f>
        <v>2</v>
      </c>
      <c r="L580" s="80">
        <f>YEAR(tblPayments[[#This Row],[Arrival]])</f>
        <v>2026</v>
      </c>
      <c r="M580" s="80" t="str">
        <f>IF(tblPayments[[#This Row],[Balance]]=0,"Full Payment","Deposit")</f>
        <v>Deposit</v>
      </c>
      <c r="N580" s="43">
        <v>9971.08</v>
      </c>
      <c r="O580" s="83">
        <v>45968</v>
      </c>
      <c r="P580" s="87" t="s">
        <v>15</v>
      </c>
    </row>
    <row r="581" spans="1:16" x14ac:dyDescent="0.3">
      <c r="A581" s="77" t="s">
        <v>102</v>
      </c>
      <c r="B581" s="80" t="s">
        <v>77</v>
      </c>
      <c r="C581" s="43">
        <v>27546</v>
      </c>
      <c r="D581" s="43">
        <v>6886.5</v>
      </c>
      <c r="E581" s="43">
        <v>20659.5</v>
      </c>
      <c r="F581" s="80" t="s">
        <v>72</v>
      </c>
      <c r="G581" s="83">
        <v>46066</v>
      </c>
      <c r="H581" s="83">
        <v>46073</v>
      </c>
      <c r="I581" s="4">
        <v>7</v>
      </c>
      <c r="J581" s="80" t="str">
        <f>TEXT(tblPayments[[#This Row],[Arrival]],"mmm")</f>
        <v>Feb</v>
      </c>
      <c r="K581" s="80">
        <f>MONTH(tblPayments[[#This Row],[Arrival]])</f>
        <v>2</v>
      </c>
      <c r="L581" s="80">
        <f>YEAR(tblPayments[[#This Row],[Arrival]])</f>
        <v>2026</v>
      </c>
      <c r="M581" s="80" t="str">
        <f>IF(tblPayments[[#This Row],[Balance]]=0,"Full Payment","Deposit")</f>
        <v>Deposit</v>
      </c>
      <c r="N581" s="43">
        <v>12804.47</v>
      </c>
      <c r="O581" s="83">
        <v>45966</v>
      </c>
      <c r="P581" s="87" t="s">
        <v>2</v>
      </c>
    </row>
    <row r="582" spans="1:16" x14ac:dyDescent="0.3">
      <c r="A582" s="77" t="s">
        <v>102</v>
      </c>
      <c r="B582" s="80" t="s">
        <v>77</v>
      </c>
      <c r="C582" s="43">
        <v>21196</v>
      </c>
      <c r="D582" s="43"/>
      <c r="E582" s="43">
        <v>21196</v>
      </c>
      <c r="F582" s="80" t="s">
        <v>75</v>
      </c>
      <c r="G582" s="83">
        <v>46066</v>
      </c>
      <c r="H582" s="83">
        <v>46070</v>
      </c>
      <c r="I582" s="4">
        <v>4</v>
      </c>
      <c r="J582" s="80" t="str">
        <f>TEXT(tblPayments[[#This Row],[Arrival]],"mmm")</f>
        <v>Feb</v>
      </c>
      <c r="K582" s="80">
        <f>MONTH(tblPayments[[#This Row],[Arrival]])</f>
        <v>2</v>
      </c>
      <c r="L582" s="80">
        <f>YEAR(tblPayments[[#This Row],[Arrival]])</f>
        <v>2026</v>
      </c>
      <c r="M582" s="80" t="str">
        <f>IF(tblPayments[[#This Row],[Balance]]=0,"Full Payment","Deposit")</f>
        <v>Deposit</v>
      </c>
      <c r="N582" s="43">
        <v>12416.48</v>
      </c>
      <c r="O582" s="83">
        <v>45888</v>
      </c>
      <c r="P582" s="87" t="s">
        <v>15</v>
      </c>
    </row>
    <row r="583" spans="1:16" x14ac:dyDescent="0.3">
      <c r="A583" s="77" t="s">
        <v>102</v>
      </c>
      <c r="B583" s="80" t="s">
        <v>77</v>
      </c>
      <c r="C583" s="43">
        <v>30550</v>
      </c>
      <c r="D583" s="43">
        <v>7637.5</v>
      </c>
      <c r="E583" s="43">
        <v>22912.5</v>
      </c>
      <c r="F583" s="80" t="s">
        <v>72</v>
      </c>
      <c r="G583" s="83">
        <v>46066</v>
      </c>
      <c r="H583" s="83">
        <v>46071</v>
      </c>
      <c r="I583" s="4">
        <v>5</v>
      </c>
      <c r="J583" s="80" t="str">
        <f>TEXT(tblPayments[[#This Row],[Arrival]],"mmm")</f>
        <v>Feb</v>
      </c>
      <c r="K583" s="80">
        <f>MONTH(tblPayments[[#This Row],[Arrival]])</f>
        <v>2</v>
      </c>
      <c r="L583" s="80">
        <f>YEAR(tblPayments[[#This Row],[Arrival]])</f>
        <v>2026</v>
      </c>
      <c r="M583" s="80" t="str">
        <f>IF(tblPayments[[#This Row],[Balance]]=0,"Full Payment","Deposit")</f>
        <v>Deposit</v>
      </c>
      <c r="N583" s="43">
        <v>13202.07</v>
      </c>
      <c r="O583" s="83">
        <v>45972</v>
      </c>
      <c r="P583" s="87" t="s">
        <v>31</v>
      </c>
    </row>
    <row r="584" spans="1:16" x14ac:dyDescent="0.3">
      <c r="A584" s="77" t="s">
        <v>102</v>
      </c>
      <c r="B584" s="80" t="s">
        <v>77</v>
      </c>
      <c r="C584" s="43">
        <v>18204</v>
      </c>
      <c r="D584" s="43">
        <v>4551</v>
      </c>
      <c r="E584" s="43">
        <v>13653</v>
      </c>
      <c r="F584" s="80" t="s">
        <v>72</v>
      </c>
      <c r="G584" s="83">
        <v>46066</v>
      </c>
      <c r="H584" s="83">
        <v>46070</v>
      </c>
      <c r="I584" s="4">
        <v>4</v>
      </c>
      <c r="J584" s="80" t="str">
        <f>TEXT(tblPayments[[#This Row],[Arrival]],"mmm")</f>
        <v>Feb</v>
      </c>
      <c r="K584" s="80">
        <f>MONTH(tblPayments[[#This Row],[Arrival]])</f>
        <v>2</v>
      </c>
      <c r="L584" s="80">
        <f>YEAR(tblPayments[[#This Row],[Arrival]])</f>
        <v>2026</v>
      </c>
      <c r="M584" s="80" t="str">
        <f>IF(tblPayments[[#This Row],[Balance]]=0,"Full Payment","Deposit")</f>
        <v>Deposit</v>
      </c>
      <c r="N584" s="43">
        <v>13504.28</v>
      </c>
      <c r="O584" s="83">
        <v>45958</v>
      </c>
      <c r="P584" s="87" t="s">
        <v>31</v>
      </c>
    </row>
    <row r="585" spans="1:16" x14ac:dyDescent="0.3">
      <c r="A585" s="77" t="s">
        <v>102</v>
      </c>
      <c r="B585" s="80" t="s">
        <v>77</v>
      </c>
      <c r="C585" s="43">
        <v>27850</v>
      </c>
      <c r="D585" s="43">
        <v>6962.5</v>
      </c>
      <c r="E585" s="43">
        <v>20887.5</v>
      </c>
      <c r="F585" s="80" t="s">
        <v>72</v>
      </c>
      <c r="G585" s="83">
        <v>46066</v>
      </c>
      <c r="H585" s="83">
        <v>46071</v>
      </c>
      <c r="I585" s="4">
        <v>5</v>
      </c>
      <c r="J585" s="80" t="str">
        <f>TEXT(tblPayments[[#This Row],[Arrival]],"mmm")</f>
        <v>Feb</v>
      </c>
      <c r="K585" s="80">
        <f>MONTH(tblPayments[[#This Row],[Arrival]])</f>
        <v>2</v>
      </c>
      <c r="L585" s="80">
        <f>YEAR(tblPayments[[#This Row],[Arrival]])</f>
        <v>2026</v>
      </c>
      <c r="M585" s="80" t="str">
        <f>IF(tblPayments[[#This Row],[Balance]]=0,"Full Payment","Deposit")</f>
        <v>Deposit</v>
      </c>
      <c r="N585" s="43">
        <v>13495.87</v>
      </c>
      <c r="O585" s="83">
        <v>45972</v>
      </c>
      <c r="P585" s="87" t="s">
        <v>31</v>
      </c>
    </row>
    <row r="586" spans="1:16" x14ac:dyDescent="0.3">
      <c r="A586" s="77" t="s">
        <v>102</v>
      </c>
      <c r="B586" s="80" t="s">
        <v>77</v>
      </c>
      <c r="C586" s="43">
        <v>8162.08</v>
      </c>
      <c r="D586" s="43"/>
      <c r="E586" s="43">
        <v>8162.08</v>
      </c>
      <c r="F586" s="80" t="s">
        <v>75</v>
      </c>
      <c r="G586" s="83">
        <v>46066</v>
      </c>
      <c r="H586" s="83">
        <v>46068</v>
      </c>
      <c r="I586" s="4">
        <v>2</v>
      </c>
      <c r="J586" s="80" t="str">
        <f>TEXT(tblPayments[[#This Row],[Arrival]],"mmm")</f>
        <v>Feb</v>
      </c>
      <c r="K586" s="80">
        <f>MONTH(tblPayments[[#This Row],[Arrival]])</f>
        <v>2</v>
      </c>
      <c r="L586" s="80">
        <f>YEAR(tblPayments[[#This Row],[Arrival]])</f>
        <v>2026</v>
      </c>
      <c r="M586" s="80" t="str">
        <f>IF(tblPayments[[#This Row],[Balance]]=0,"Full Payment","Deposit")</f>
        <v>Deposit</v>
      </c>
      <c r="N586" s="43">
        <v>5001.58</v>
      </c>
      <c r="O586" s="83">
        <v>45892</v>
      </c>
      <c r="P586" s="87" t="s">
        <v>15</v>
      </c>
    </row>
    <row r="587" spans="1:16" x14ac:dyDescent="0.3">
      <c r="A587" s="77" t="s">
        <v>102</v>
      </c>
      <c r="B587" s="80" t="s">
        <v>77</v>
      </c>
      <c r="C587" s="43">
        <v>65949.039999999994</v>
      </c>
      <c r="D587" s="43">
        <v>16475.259999999998</v>
      </c>
      <c r="E587" s="43">
        <v>49473.78</v>
      </c>
      <c r="F587" s="80" t="s">
        <v>72</v>
      </c>
      <c r="G587" s="83">
        <v>46066</v>
      </c>
      <c r="H587" s="83">
        <v>46074</v>
      </c>
      <c r="I587" s="4">
        <v>8</v>
      </c>
      <c r="J587" s="80" t="str">
        <f>TEXT(tblPayments[[#This Row],[Arrival]],"mmm")</f>
        <v>Feb</v>
      </c>
      <c r="K587" s="80">
        <f>MONTH(tblPayments[[#This Row],[Arrival]])</f>
        <v>2</v>
      </c>
      <c r="L587" s="80">
        <f>YEAR(tblPayments[[#This Row],[Arrival]])</f>
        <v>2026</v>
      </c>
      <c r="M587" s="80" t="str">
        <f>IF(tblPayments[[#This Row],[Balance]]=0,"Full Payment","Deposit")</f>
        <v>Deposit</v>
      </c>
      <c r="N587" s="43">
        <v>43665.36</v>
      </c>
      <c r="O587" s="83">
        <v>45984</v>
      </c>
      <c r="P587" s="87" t="s">
        <v>5</v>
      </c>
    </row>
    <row r="588" spans="1:16" x14ac:dyDescent="0.3">
      <c r="A588" s="77" t="s">
        <v>102</v>
      </c>
      <c r="B588" s="80" t="s">
        <v>77</v>
      </c>
      <c r="C588" s="43">
        <v>10326.94</v>
      </c>
      <c r="D588" s="43">
        <v>1931.73</v>
      </c>
      <c r="E588" s="43">
        <v>8395.2099999999991</v>
      </c>
      <c r="F588" s="80" t="s">
        <v>72</v>
      </c>
      <c r="G588" s="83">
        <v>46066</v>
      </c>
      <c r="H588" s="83">
        <v>46068</v>
      </c>
      <c r="I588" s="4">
        <v>2</v>
      </c>
      <c r="J588" s="80" t="str">
        <f>TEXT(tblPayments[[#This Row],[Arrival]],"mmm")</f>
        <v>Feb</v>
      </c>
      <c r="K588" s="80">
        <f>MONTH(tblPayments[[#This Row],[Arrival]])</f>
        <v>2</v>
      </c>
      <c r="L588" s="80">
        <f>YEAR(tblPayments[[#This Row],[Arrival]])</f>
        <v>2026</v>
      </c>
      <c r="M588" s="80" t="str">
        <f>IF(tblPayments[[#This Row],[Balance]]=0,"Full Payment","Deposit")</f>
        <v>Deposit</v>
      </c>
      <c r="N588" s="43">
        <v>5661.58</v>
      </c>
      <c r="O588" s="83">
        <v>45958</v>
      </c>
      <c r="P588" s="87" t="s">
        <v>15</v>
      </c>
    </row>
    <row r="589" spans="1:16" x14ac:dyDescent="0.3">
      <c r="A589" s="77" t="s">
        <v>102</v>
      </c>
      <c r="B589" s="80" t="s">
        <v>77</v>
      </c>
      <c r="C589" s="43"/>
      <c r="D589" s="43"/>
      <c r="E589" s="43"/>
      <c r="F589" s="80"/>
      <c r="G589" s="83">
        <v>46067</v>
      </c>
      <c r="H589" s="83">
        <v>46069</v>
      </c>
      <c r="I589" s="4">
        <v>2</v>
      </c>
      <c r="J589" s="80" t="str">
        <f>TEXT(tblPayments[[#This Row],[Arrival]],"mmm")</f>
        <v>Feb</v>
      </c>
      <c r="K589" s="80">
        <f>MONTH(tblPayments[[#This Row],[Arrival]])</f>
        <v>2</v>
      </c>
      <c r="L589" s="80">
        <f>YEAR(tblPayments[[#This Row],[Arrival]])</f>
        <v>2026</v>
      </c>
      <c r="M589" s="80" t="str">
        <f>IF(tblPayments[[#This Row],[Balance]]=0,"Full Payment","Deposit")</f>
        <v>Full Payment</v>
      </c>
      <c r="N589" s="43"/>
      <c r="O589" s="83"/>
      <c r="P589" s="87"/>
    </row>
    <row r="590" spans="1:16" x14ac:dyDescent="0.3">
      <c r="A590" s="77" t="s">
        <v>102</v>
      </c>
      <c r="B590" s="80" t="s">
        <v>77</v>
      </c>
      <c r="C590" s="43">
        <v>87731</v>
      </c>
      <c r="D590" s="43">
        <v>21932.75</v>
      </c>
      <c r="E590" s="43">
        <v>65798.25</v>
      </c>
      <c r="F590" s="80" t="s">
        <v>72</v>
      </c>
      <c r="G590" s="83">
        <v>46067</v>
      </c>
      <c r="H590" s="83">
        <v>46074</v>
      </c>
      <c r="I590" s="4">
        <v>7</v>
      </c>
      <c r="J590" s="80" t="str">
        <f>TEXT(tblPayments[[#This Row],[Arrival]],"mmm")</f>
        <v>Feb</v>
      </c>
      <c r="K590" s="80">
        <f>MONTH(tblPayments[[#This Row],[Arrival]])</f>
        <v>2</v>
      </c>
      <c r="L590" s="80">
        <f>YEAR(tblPayments[[#This Row],[Arrival]])</f>
        <v>2026</v>
      </c>
      <c r="M590" s="80" t="str">
        <f>IF(tblPayments[[#This Row],[Balance]]=0,"Full Payment","Deposit")</f>
        <v>Deposit</v>
      </c>
      <c r="N590" s="43">
        <v>36250.97</v>
      </c>
      <c r="O590" s="83">
        <v>45950</v>
      </c>
      <c r="P590" s="87" t="s">
        <v>2</v>
      </c>
    </row>
    <row r="591" spans="1:16" x14ac:dyDescent="0.3">
      <c r="A591" s="77" t="s">
        <v>102</v>
      </c>
      <c r="B591" s="80" t="s">
        <v>77</v>
      </c>
      <c r="C591" s="43">
        <v>138817.97</v>
      </c>
      <c r="D591" s="43">
        <v>34704.49</v>
      </c>
      <c r="E591" s="43">
        <v>104113.48</v>
      </c>
      <c r="F591" s="80" t="s">
        <v>72</v>
      </c>
      <c r="G591" s="83">
        <v>46067</v>
      </c>
      <c r="H591" s="83">
        <v>46074</v>
      </c>
      <c r="I591" s="4">
        <v>7</v>
      </c>
      <c r="J591" s="80" t="str">
        <f>TEXT(tblPayments[[#This Row],[Arrival]],"mmm")</f>
        <v>Feb</v>
      </c>
      <c r="K591" s="80">
        <f>MONTH(tblPayments[[#This Row],[Arrival]])</f>
        <v>2</v>
      </c>
      <c r="L591" s="80">
        <f>YEAR(tblPayments[[#This Row],[Arrival]])</f>
        <v>2026</v>
      </c>
      <c r="M591" s="80" t="str">
        <f>IF(tblPayments[[#This Row],[Balance]]=0,"Full Payment","Deposit")</f>
        <v>Deposit</v>
      </c>
      <c r="N591" s="43">
        <v>73612.63</v>
      </c>
      <c r="O591" s="83">
        <v>45963</v>
      </c>
      <c r="P591" s="87" t="s">
        <v>61</v>
      </c>
    </row>
    <row r="592" spans="1:16" x14ac:dyDescent="0.3">
      <c r="A592" s="77" t="s">
        <v>102</v>
      </c>
      <c r="B592" s="80" t="s">
        <v>77</v>
      </c>
      <c r="C592" s="43">
        <v>9552</v>
      </c>
      <c r="D592" s="43"/>
      <c r="E592" s="43">
        <v>9552</v>
      </c>
      <c r="F592" s="80" t="s">
        <v>75</v>
      </c>
      <c r="G592" s="83">
        <v>46067</v>
      </c>
      <c r="H592" s="83">
        <v>46069</v>
      </c>
      <c r="I592" s="4">
        <v>2</v>
      </c>
      <c r="J592" s="80" t="str">
        <f>TEXT(tblPayments[[#This Row],[Arrival]],"mmm")</f>
        <v>Feb</v>
      </c>
      <c r="K592" s="80">
        <f>MONTH(tblPayments[[#This Row],[Arrival]])</f>
        <v>2</v>
      </c>
      <c r="L592" s="80">
        <f>YEAR(tblPayments[[#This Row],[Arrival]])</f>
        <v>2026</v>
      </c>
      <c r="M592" s="80" t="str">
        <f>IF(tblPayments[[#This Row],[Balance]]=0,"Full Payment","Deposit")</f>
        <v>Deposit</v>
      </c>
      <c r="N592" s="43">
        <v>12538.16</v>
      </c>
      <c r="O592" s="83">
        <v>46001</v>
      </c>
      <c r="P592" s="87" t="s">
        <v>31</v>
      </c>
    </row>
    <row r="593" spans="1:16" x14ac:dyDescent="0.3">
      <c r="A593" s="77" t="s">
        <v>102</v>
      </c>
      <c r="B593" s="80" t="s">
        <v>77</v>
      </c>
      <c r="C593" s="43">
        <v>15196</v>
      </c>
      <c r="D593" s="43">
        <v>3799</v>
      </c>
      <c r="E593" s="43">
        <v>11397</v>
      </c>
      <c r="F593" s="80" t="s">
        <v>72</v>
      </c>
      <c r="G593" s="83">
        <v>46067</v>
      </c>
      <c r="H593" s="83">
        <v>46071</v>
      </c>
      <c r="I593" s="4">
        <v>4</v>
      </c>
      <c r="J593" s="80" t="str">
        <f>TEXT(tblPayments[[#This Row],[Arrival]],"mmm")</f>
        <v>Feb</v>
      </c>
      <c r="K593" s="80">
        <f>MONTH(tblPayments[[#This Row],[Arrival]])</f>
        <v>2</v>
      </c>
      <c r="L593" s="80">
        <f>YEAR(tblPayments[[#This Row],[Arrival]])</f>
        <v>2026</v>
      </c>
      <c r="M593" s="80" t="str">
        <f>IF(tblPayments[[#This Row],[Balance]]=0,"Full Payment","Deposit")</f>
        <v>Deposit</v>
      </c>
      <c r="N593" s="43">
        <v>11328.68</v>
      </c>
      <c r="O593" s="83">
        <v>45958</v>
      </c>
      <c r="P593" s="87" t="s">
        <v>31</v>
      </c>
    </row>
    <row r="594" spans="1:16" x14ac:dyDescent="0.3">
      <c r="A594" s="77" t="s">
        <v>102</v>
      </c>
      <c r="B594" s="80" t="s">
        <v>77</v>
      </c>
      <c r="C594" s="43">
        <v>0</v>
      </c>
      <c r="D594" s="43"/>
      <c r="E594" s="43">
        <v>0</v>
      </c>
      <c r="F594" s="80" t="s">
        <v>73</v>
      </c>
      <c r="G594" s="83">
        <v>46067</v>
      </c>
      <c r="H594" s="83">
        <v>46072</v>
      </c>
      <c r="I594" s="4">
        <v>5</v>
      </c>
      <c r="J594" s="80" t="str">
        <f>TEXT(tblPayments[[#This Row],[Arrival]],"mmm")</f>
        <v>Feb</v>
      </c>
      <c r="K594" s="80">
        <f>MONTH(tblPayments[[#This Row],[Arrival]])</f>
        <v>2</v>
      </c>
      <c r="L594" s="80">
        <f>YEAR(tblPayments[[#This Row],[Arrival]])</f>
        <v>2026</v>
      </c>
      <c r="M594" s="80" t="str">
        <f>IF(tblPayments[[#This Row],[Balance]]=0,"Full Payment","Deposit")</f>
        <v>Full Payment</v>
      </c>
      <c r="N594" s="43">
        <v>0</v>
      </c>
      <c r="O594" s="83">
        <v>45986</v>
      </c>
      <c r="P594" s="87" t="s">
        <v>9</v>
      </c>
    </row>
    <row r="595" spans="1:16" x14ac:dyDescent="0.3">
      <c r="A595" s="77" t="s">
        <v>102</v>
      </c>
      <c r="B595" s="80" t="s">
        <v>77</v>
      </c>
      <c r="C595" s="43">
        <v>9821</v>
      </c>
      <c r="D595" s="43"/>
      <c r="E595" s="43">
        <v>9821</v>
      </c>
      <c r="F595" s="80" t="s">
        <v>75</v>
      </c>
      <c r="G595" s="83">
        <v>46067</v>
      </c>
      <c r="H595" s="83">
        <v>46069</v>
      </c>
      <c r="I595" s="4">
        <v>2</v>
      </c>
      <c r="J595" s="80" t="str">
        <f>TEXT(tblPayments[[#This Row],[Arrival]],"mmm")</f>
        <v>Feb</v>
      </c>
      <c r="K595" s="80">
        <f>MONTH(tblPayments[[#This Row],[Arrival]])</f>
        <v>2</v>
      </c>
      <c r="L595" s="80">
        <f>YEAR(tblPayments[[#This Row],[Arrival]])</f>
        <v>2026</v>
      </c>
      <c r="M595" s="80" t="str">
        <f>IF(tblPayments[[#This Row],[Balance]]=0,"Full Payment","Deposit")</f>
        <v>Deposit</v>
      </c>
      <c r="N595" s="43">
        <v>5236.9799999999996</v>
      </c>
      <c r="O595" s="83">
        <v>46000</v>
      </c>
      <c r="P595" s="87" t="s">
        <v>31</v>
      </c>
    </row>
    <row r="596" spans="1:16" x14ac:dyDescent="0.3">
      <c r="A596" s="77" t="s">
        <v>102</v>
      </c>
      <c r="B596" s="80" t="s">
        <v>77</v>
      </c>
      <c r="C596" s="43">
        <v>74156</v>
      </c>
      <c r="D596" s="43"/>
      <c r="E596" s="43">
        <v>74156</v>
      </c>
      <c r="F596" s="80" t="s">
        <v>75</v>
      </c>
      <c r="G596" s="83">
        <v>46067</v>
      </c>
      <c r="H596" s="83">
        <v>46076</v>
      </c>
      <c r="I596" s="4">
        <v>9</v>
      </c>
      <c r="J596" s="80" t="str">
        <f>TEXT(tblPayments[[#This Row],[Arrival]],"mmm")</f>
        <v>Feb</v>
      </c>
      <c r="K596" s="80">
        <f>MONTH(tblPayments[[#This Row],[Arrival]])</f>
        <v>2</v>
      </c>
      <c r="L596" s="80">
        <f>YEAR(tblPayments[[#This Row],[Arrival]])</f>
        <v>2026</v>
      </c>
      <c r="M596" s="80" t="str">
        <f>IF(tblPayments[[#This Row],[Balance]]=0,"Full Payment","Deposit")</f>
        <v>Deposit</v>
      </c>
      <c r="N596" s="43">
        <v>0</v>
      </c>
      <c r="O596" s="83">
        <v>45939</v>
      </c>
      <c r="P596" s="87" t="s">
        <v>16</v>
      </c>
    </row>
    <row r="597" spans="1:16" x14ac:dyDescent="0.3">
      <c r="A597" s="77" t="s">
        <v>102</v>
      </c>
      <c r="B597" s="80" t="s">
        <v>77</v>
      </c>
      <c r="C597" s="43">
        <v>30871.25</v>
      </c>
      <c r="D597" s="43"/>
      <c r="E597" s="43">
        <v>30871.25</v>
      </c>
      <c r="F597" s="80" t="s">
        <v>75</v>
      </c>
      <c r="G597" s="83">
        <v>46067</v>
      </c>
      <c r="H597" s="83">
        <v>46070</v>
      </c>
      <c r="I597" s="4">
        <v>3</v>
      </c>
      <c r="J597" s="80" t="str">
        <f>TEXT(tblPayments[[#This Row],[Arrival]],"mmm")</f>
        <v>Feb</v>
      </c>
      <c r="K597" s="80">
        <f>MONTH(tblPayments[[#This Row],[Arrival]])</f>
        <v>2</v>
      </c>
      <c r="L597" s="80">
        <f>YEAR(tblPayments[[#This Row],[Arrival]])</f>
        <v>2026</v>
      </c>
      <c r="M597" s="80" t="str">
        <f>IF(tblPayments[[#This Row],[Balance]]=0,"Full Payment","Deposit")</f>
        <v>Deposit</v>
      </c>
      <c r="N597" s="43">
        <v>18270.18</v>
      </c>
      <c r="O597" s="83">
        <v>45986</v>
      </c>
      <c r="P597" s="87" t="s">
        <v>33</v>
      </c>
    </row>
    <row r="598" spans="1:16" x14ac:dyDescent="0.3">
      <c r="A598" s="77" t="s">
        <v>102</v>
      </c>
      <c r="B598" s="80" t="s">
        <v>77</v>
      </c>
      <c r="C598" s="43">
        <v>97560</v>
      </c>
      <c r="D598" s="43">
        <v>92175.2</v>
      </c>
      <c r="E598" s="43">
        <v>5384.8</v>
      </c>
      <c r="F598" s="80" t="s">
        <v>72</v>
      </c>
      <c r="G598" s="83">
        <v>46067</v>
      </c>
      <c r="H598" s="83">
        <v>46074</v>
      </c>
      <c r="I598" s="4">
        <v>7</v>
      </c>
      <c r="J598" s="80" t="str">
        <f>TEXT(tblPayments[[#This Row],[Arrival]],"mmm")</f>
        <v>Feb</v>
      </c>
      <c r="K598" s="80">
        <f>MONTH(tblPayments[[#This Row],[Arrival]])</f>
        <v>2</v>
      </c>
      <c r="L598" s="80">
        <f>YEAR(tblPayments[[#This Row],[Arrival]])</f>
        <v>2026</v>
      </c>
      <c r="M598" s="80" t="str">
        <f>IF(tblPayments[[#This Row],[Balance]]=0,"Full Payment","Deposit")</f>
        <v>Deposit</v>
      </c>
      <c r="N598" s="43">
        <v>68958.33</v>
      </c>
      <c r="O598" s="83">
        <v>45750</v>
      </c>
      <c r="P598" s="87" t="s">
        <v>15</v>
      </c>
    </row>
    <row r="599" spans="1:16" x14ac:dyDescent="0.3">
      <c r="A599" s="77" t="s">
        <v>102</v>
      </c>
      <c r="B599" s="80" t="s">
        <v>77</v>
      </c>
      <c r="C599" s="43">
        <v>10824.5</v>
      </c>
      <c r="D599" s="43">
        <v>3391.5</v>
      </c>
      <c r="E599" s="43">
        <v>7433</v>
      </c>
      <c r="F599" s="80" t="s">
        <v>72</v>
      </c>
      <c r="G599" s="83">
        <v>46067</v>
      </c>
      <c r="H599" s="83">
        <v>46070</v>
      </c>
      <c r="I599" s="4">
        <v>3</v>
      </c>
      <c r="J599" s="80" t="str">
        <f>TEXT(tblPayments[[#This Row],[Arrival]],"mmm")</f>
        <v>Feb</v>
      </c>
      <c r="K599" s="80">
        <f>MONTH(tblPayments[[#This Row],[Arrival]])</f>
        <v>2</v>
      </c>
      <c r="L599" s="80">
        <f>YEAR(tblPayments[[#This Row],[Arrival]])</f>
        <v>2026</v>
      </c>
      <c r="M599" s="80" t="str">
        <f>IF(tblPayments[[#This Row],[Balance]]=0,"Full Payment","Deposit")</f>
        <v>Deposit</v>
      </c>
      <c r="N599" s="43">
        <v>6031.47</v>
      </c>
      <c r="O599" s="83">
        <v>45967</v>
      </c>
      <c r="P599" s="87" t="s">
        <v>31</v>
      </c>
    </row>
    <row r="600" spans="1:16" x14ac:dyDescent="0.3">
      <c r="A600" s="77" t="s">
        <v>102</v>
      </c>
      <c r="B600" s="80" t="s">
        <v>77</v>
      </c>
      <c r="C600" s="43">
        <v>12542</v>
      </c>
      <c r="D600" s="43">
        <v>3135.5</v>
      </c>
      <c r="E600" s="43">
        <v>9406.5</v>
      </c>
      <c r="F600" s="80" t="s">
        <v>72</v>
      </c>
      <c r="G600" s="83">
        <v>46067</v>
      </c>
      <c r="H600" s="83">
        <v>46071</v>
      </c>
      <c r="I600" s="4">
        <v>4</v>
      </c>
      <c r="J600" s="80" t="str">
        <f>TEXT(tblPayments[[#This Row],[Arrival]],"mmm")</f>
        <v>Feb</v>
      </c>
      <c r="K600" s="80">
        <f>MONTH(tblPayments[[#This Row],[Arrival]])</f>
        <v>2</v>
      </c>
      <c r="L600" s="80">
        <f>YEAR(tblPayments[[#This Row],[Arrival]])</f>
        <v>2026</v>
      </c>
      <c r="M600" s="80" t="str">
        <f>IF(tblPayments[[#This Row],[Balance]]=0,"Full Payment","Deposit")</f>
        <v>Deposit</v>
      </c>
      <c r="N600" s="43">
        <v>7544.68</v>
      </c>
      <c r="O600" s="83">
        <v>45959</v>
      </c>
      <c r="P600" s="87" t="s">
        <v>31</v>
      </c>
    </row>
    <row r="601" spans="1:16" x14ac:dyDescent="0.3">
      <c r="A601" s="77" t="s">
        <v>102</v>
      </c>
      <c r="B601" s="80" t="s">
        <v>77</v>
      </c>
      <c r="C601" s="43">
        <v>93448.35</v>
      </c>
      <c r="D601" s="43">
        <v>93448.35</v>
      </c>
      <c r="E601" s="43"/>
      <c r="F601" s="80" t="s">
        <v>70</v>
      </c>
      <c r="G601" s="83">
        <v>46068</v>
      </c>
      <c r="H601" s="83">
        <v>46075</v>
      </c>
      <c r="I601" s="4">
        <v>7</v>
      </c>
      <c r="J601" s="80" t="str">
        <f>TEXT(tblPayments[[#This Row],[Arrival]],"mmm")</f>
        <v>Feb</v>
      </c>
      <c r="K601" s="80">
        <f>MONTH(tblPayments[[#This Row],[Arrival]])</f>
        <v>2</v>
      </c>
      <c r="L601" s="80">
        <f>YEAR(tblPayments[[#This Row],[Arrival]])</f>
        <v>2026</v>
      </c>
      <c r="M601" s="80" t="str">
        <f>IF(tblPayments[[#This Row],[Balance]]=0,"Full Payment","Deposit")</f>
        <v>Full Payment</v>
      </c>
      <c r="N601" s="43">
        <v>64781.22</v>
      </c>
      <c r="O601" s="83">
        <v>45796</v>
      </c>
      <c r="P601" s="87" t="s">
        <v>2</v>
      </c>
    </row>
    <row r="602" spans="1:16" x14ac:dyDescent="0.3">
      <c r="A602" s="77" t="s">
        <v>102</v>
      </c>
      <c r="B602" s="80" t="s">
        <v>77</v>
      </c>
      <c r="C602" s="43">
        <v>17711.400000000001</v>
      </c>
      <c r="D602" s="43">
        <v>17711.400000000001</v>
      </c>
      <c r="E602" s="43"/>
      <c r="F602" s="80" t="s">
        <v>70</v>
      </c>
      <c r="G602" s="83">
        <v>46068</v>
      </c>
      <c r="H602" s="83">
        <v>46072</v>
      </c>
      <c r="I602" s="4">
        <v>4</v>
      </c>
      <c r="J602" s="80" t="str">
        <f>TEXT(tblPayments[[#This Row],[Arrival]],"mmm")</f>
        <v>Feb</v>
      </c>
      <c r="K602" s="80">
        <f>MONTH(tblPayments[[#This Row],[Arrival]])</f>
        <v>2</v>
      </c>
      <c r="L602" s="80">
        <f>YEAR(tblPayments[[#This Row],[Arrival]])</f>
        <v>2026</v>
      </c>
      <c r="M602" s="80" t="str">
        <f>IF(tblPayments[[#This Row],[Balance]]=0,"Full Payment","Deposit")</f>
        <v>Full Payment</v>
      </c>
      <c r="N602" s="43">
        <v>10744.36</v>
      </c>
      <c r="O602" s="83">
        <v>45971</v>
      </c>
      <c r="P602" s="87" t="s">
        <v>15</v>
      </c>
    </row>
    <row r="603" spans="1:16" x14ac:dyDescent="0.3">
      <c r="A603" s="77" t="s">
        <v>102</v>
      </c>
      <c r="B603" s="80" t="s">
        <v>77</v>
      </c>
      <c r="C603" s="43">
        <v>24540</v>
      </c>
      <c r="D603" s="43">
        <v>5070</v>
      </c>
      <c r="E603" s="43">
        <v>19470</v>
      </c>
      <c r="F603" s="80" t="s">
        <v>72</v>
      </c>
      <c r="G603" s="83">
        <v>46068</v>
      </c>
      <c r="H603" s="83">
        <v>46073</v>
      </c>
      <c r="I603" s="4">
        <v>5</v>
      </c>
      <c r="J603" s="80" t="str">
        <f>TEXT(tblPayments[[#This Row],[Arrival]],"mmm")</f>
        <v>Feb</v>
      </c>
      <c r="K603" s="80">
        <f>MONTH(tblPayments[[#This Row],[Arrival]])</f>
        <v>2</v>
      </c>
      <c r="L603" s="80">
        <f>YEAR(tblPayments[[#This Row],[Arrival]])</f>
        <v>2026</v>
      </c>
      <c r="M603" s="80" t="str">
        <f>IF(tblPayments[[#This Row],[Balance]]=0,"Full Payment","Deposit")</f>
        <v>Deposit</v>
      </c>
      <c r="N603" s="43">
        <v>11829.85</v>
      </c>
      <c r="O603" s="83">
        <v>45960</v>
      </c>
      <c r="P603" s="87" t="s">
        <v>44</v>
      </c>
    </row>
    <row r="604" spans="1:16" x14ac:dyDescent="0.3">
      <c r="A604" s="77" t="s">
        <v>102</v>
      </c>
      <c r="B604" s="80" t="s">
        <v>77</v>
      </c>
      <c r="C604" s="43">
        <v>15470</v>
      </c>
      <c r="D604" s="43">
        <v>7735</v>
      </c>
      <c r="E604" s="43">
        <v>7735</v>
      </c>
      <c r="F604" s="80" t="s">
        <v>72</v>
      </c>
      <c r="G604" s="83">
        <v>46068</v>
      </c>
      <c r="H604" s="83">
        <v>46073</v>
      </c>
      <c r="I604" s="4">
        <v>5</v>
      </c>
      <c r="J604" s="80" t="str">
        <f>TEXT(tblPayments[[#This Row],[Arrival]],"mmm")</f>
        <v>Feb</v>
      </c>
      <c r="K604" s="80">
        <f>MONTH(tblPayments[[#This Row],[Arrival]])</f>
        <v>2</v>
      </c>
      <c r="L604" s="80">
        <f>YEAR(tblPayments[[#This Row],[Arrival]])</f>
        <v>2026</v>
      </c>
      <c r="M604" s="80" t="str">
        <f>IF(tblPayments[[#This Row],[Balance]]=0,"Full Payment","Deposit")</f>
        <v>Deposit</v>
      </c>
      <c r="N604" s="43">
        <v>9401.7000000000007</v>
      </c>
      <c r="O604" s="83">
        <v>45954</v>
      </c>
      <c r="P604" s="87" t="s">
        <v>31</v>
      </c>
    </row>
    <row r="605" spans="1:16" x14ac:dyDescent="0.3">
      <c r="A605" s="77" t="s">
        <v>102</v>
      </c>
      <c r="B605" s="80" t="s">
        <v>77</v>
      </c>
      <c r="C605" s="43">
        <v>20096.64</v>
      </c>
      <c r="D605" s="43">
        <v>9884</v>
      </c>
      <c r="E605" s="43">
        <v>10212.64</v>
      </c>
      <c r="F605" s="80" t="s">
        <v>72</v>
      </c>
      <c r="G605" s="83">
        <v>46068</v>
      </c>
      <c r="H605" s="83">
        <v>46070</v>
      </c>
      <c r="I605" s="4">
        <v>2</v>
      </c>
      <c r="J605" s="80" t="str">
        <f>TEXT(tblPayments[[#This Row],[Arrival]],"mmm")</f>
        <v>Feb</v>
      </c>
      <c r="K605" s="80">
        <f>MONTH(tblPayments[[#This Row],[Arrival]])</f>
        <v>2</v>
      </c>
      <c r="L605" s="80">
        <f>YEAR(tblPayments[[#This Row],[Arrival]])</f>
        <v>2026</v>
      </c>
      <c r="M605" s="80" t="str">
        <f>IF(tblPayments[[#This Row],[Balance]]=0,"Full Payment","Deposit")</f>
        <v>Deposit</v>
      </c>
      <c r="N605" s="43">
        <v>12882.06</v>
      </c>
      <c r="O605" s="83">
        <v>45954</v>
      </c>
      <c r="P605" s="87" t="s">
        <v>13</v>
      </c>
    </row>
    <row r="606" spans="1:16" x14ac:dyDescent="0.3">
      <c r="A606" s="77" t="s">
        <v>102</v>
      </c>
      <c r="B606" s="80" t="s">
        <v>77</v>
      </c>
      <c r="C606" s="43">
        <v>25539.24</v>
      </c>
      <c r="D606" s="43">
        <v>6384.81</v>
      </c>
      <c r="E606" s="43">
        <v>19154.43</v>
      </c>
      <c r="F606" s="80" t="s">
        <v>72</v>
      </c>
      <c r="G606" s="83">
        <v>46068</v>
      </c>
      <c r="H606" s="83">
        <v>46073</v>
      </c>
      <c r="I606" s="4">
        <v>5</v>
      </c>
      <c r="J606" s="80" t="str">
        <f>TEXT(tblPayments[[#This Row],[Arrival]],"mmm")</f>
        <v>Feb</v>
      </c>
      <c r="K606" s="80">
        <f>MONTH(tblPayments[[#This Row],[Arrival]])</f>
        <v>2</v>
      </c>
      <c r="L606" s="80">
        <f>YEAR(tblPayments[[#This Row],[Arrival]])</f>
        <v>2026</v>
      </c>
      <c r="M606" s="80" t="str">
        <f>IF(tblPayments[[#This Row],[Balance]]=0,"Full Payment","Deposit")</f>
        <v>Deposit</v>
      </c>
      <c r="N606" s="43">
        <v>13621.2</v>
      </c>
      <c r="O606" s="83">
        <v>45961</v>
      </c>
      <c r="P606" s="87" t="s">
        <v>15</v>
      </c>
    </row>
    <row r="607" spans="1:16" x14ac:dyDescent="0.3">
      <c r="A607" s="77" t="s">
        <v>102</v>
      </c>
      <c r="B607" s="80" t="s">
        <v>77</v>
      </c>
      <c r="C607" s="43">
        <v>16576</v>
      </c>
      <c r="D607" s="43">
        <v>4144</v>
      </c>
      <c r="E607" s="43">
        <v>12432</v>
      </c>
      <c r="F607" s="80" t="s">
        <v>72</v>
      </c>
      <c r="G607" s="83">
        <v>46068</v>
      </c>
      <c r="H607" s="83">
        <v>46072</v>
      </c>
      <c r="I607" s="4">
        <v>4</v>
      </c>
      <c r="J607" s="80" t="str">
        <f>TEXT(tblPayments[[#This Row],[Arrival]],"mmm")</f>
        <v>Feb</v>
      </c>
      <c r="K607" s="80">
        <f>MONTH(tblPayments[[#This Row],[Arrival]])</f>
        <v>2</v>
      </c>
      <c r="L607" s="80">
        <f>YEAR(tblPayments[[#This Row],[Arrival]])</f>
        <v>2026</v>
      </c>
      <c r="M607" s="80" t="str">
        <f>IF(tblPayments[[#This Row],[Balance]]=0,"Full Payment","Deposit")</f>
        <v>Deposit</v>
      </c>
      <c r="N607" s="43">
        <v>8440.18</v>
      </c>
      <c r="O607" s="83">
        <v>45965</v>
      </c>
      <c r="P607" s="87" t="s">
        <v>30</v>
      </c>
    </row>
    <row r="608" spans="1:16" x14ac:dyDescent="0.3">
      <c r="A608" s="77" t="s">
        <v>102</v>
      </c>
      <c r="B608" s="80" t="s">
        <v>77</v>
      </c>
      <c r="C608" s="43">
        <v>12204</v>
      </c>
      <c r="D608" s="43"/>
      <c r="E608" s="43">
        <v>12204</v>
      </c>
      <c r="F608" s="80" t="s">
        <v>75</v>
      </c>
      <c r="G608" s="83">
        <v>46068</v>
      </c>
      <c r="H608" s="83">
        <v>46071</v>
      </c>
      <c r="I608" s="4">
        <v>3</v>
      </c>
      <c r="J608" s="80" t="str">
        <f>TEXT(tblPayments[[#This Row],[Arrival]],"mmm")</f>
        <v>Feb</v>
      </c>
      <c r="K608" s="80">
        <f>MONTH(tblPayments[[#This Row],[Arrival]])</f>
        <v>2</v>
      </c>
      <c r="L608" s="80">
        <f>YEAR(tblPayments[[#This Row],[Arrival]])</f>
        <v>2026</v>
      </c>
      <c r="M608" s="80" t="str">
        <f>IF(tblPayments[[#This Row],[Balance]]=0,"Full Payment","Deposit")</f>
        <v>Deposit</v>
      </c>
      <c r="N608" s="43">
        <v>0</v>
      </c>
      <c r="O608" s="83">
        <v>45998</v>
      </c>
      <c r="P608" s="87" t="s">
        <v>31</v>
      </c>
    </row>
    <row r="609" spans="1:16" x14ac:dyDescent="0.3">
      <c r="A609" s="77" t="s">
        <v>102</v>
      </c>
      <c r="B609" s="80" t="s">
        <v>77</v>
      </c>
      <c r="C609" s="43">
        <v>15470</v>
      </c>
      <c r="D609" s="43"/>
      <c r="E609" s="43">
        <v>15470</v>
      </c>
      <c r="F609" s="80" t="s">
        <v>75</v>
      </c>
      <c r="G609" s="83">
        <v>46068</v>
      </c>
      <c r="H609" s="83">
        <v>46073</v>
      </c>
      <c r="I609" s="4">
        <v>5</v>
      </c>
      <c r="J609" s="80" t="str">
        <f>TEXT(tblPayments[[#This Row],[Arrival]],"mmm")</f>
        <v>Feb</v>
      </c>
      <c r="K609" s="80">
        <f>MONTH(tblPayments[[#This Row],[Arrival]])</f>
        <v>2</v>
      </c>
      <c r="L609" s="80">
        <f>YEAR(tblPayments[[#This Row],[Arrival]])</f>
        <v>2026</v>
      </c>
      <c r="M609" s="80" t="str">
        <f>IF(tblPayments[[#This Row],[Balance]]=0,"Full Payment","Deposit")</f>
        <v>Deposit</v>
      </c>
      <c r="N609" s="43">
        <v>9401.7000000000007</v>
      </c>
      <c r="O609" s="83">
        <v>45954</v>
      </c>
      <c r="P609" s="87" t="s">
        <v>31</v>
      </c>
    </row>
    <row r="610" spans="1:16" x14ac:dyDescent="0.3">
      <c r="A610" s="77" t="s">
        <v>102</v>
      </c>
      <c r="B610" s="80" t="s">
        <v>77</v>
      </c>
      <c r="C610" s="43">
        <v>49923.360000000001</v>
      </c>
      <c r="D610" s="43">
        <v>49923.360000000001</v>
      </c>
      <c r="E610" s="43"/>
      <c r="F610" s="80" t="s">
        <v>70</v>
      </c>
      <c r="G610" s="83">
        <v>46068</v>
      </c>
      <c r="H610" s="83">
        <v>46075</v>
      </c>
      <c r="I610" s="4">
        <v>7</v>
      </c>
      <c r="J610" s="80" t="str">
        <f>TEXT(tblPayments[[#This Row],[Arrival]],"mmm")</f>
        <v>Feb</v>
      </c>
      <c r="K610" s="80">
        <f>MONTH(tblPayments[[#This Row],[Arrival]])</f>
        <v>2</v>
      </c>
      <c r="L610" s="80">
        <f>YEAR(tblPayments[[#This Row],[Arrival]])</f>
        <v>2026</v>
      </c>
      <c r="M610" s="80" t="str">
        <f>IF(tblPayments[[#This Row],[Balance]]=0,"Full Payment","Deposit")</f>
        <v>Full Payment</v>
      </c>
      <c r="N610" s="43">
        <v>31072.44</v>
      </c>
      <c r="O610" s="83">
        <v>45950</v>
      </c>
      <c r="P610" s="87" t="s">
        <v>2</v>
      </c>
    </row>
    <row r="611" spans="1:16" x14ac:dyDescent="0.3">
      <c r="A611" s="77" t="s">
        <v>102</v>
      </c>
      <c r="B611" s="80" t="s">
        <v>77</v>
      </c>
      <c r="C611" s="43">
        <v>86051.04</v>
      </c>
      <c r="D611" s="43">
        <v>86051.04</v>
      </c>
      <c r="E611" s="43"/>
      <c r="F611" s="80" t="s">
        <v>70</v>
      </c>
      <c r="G611" s="83">
        <v>46068</v>
      </c>
      <c r="H611" s="83">
        <v>46074</v>
      </c>
      <c r="I611" s="4">
        <v>6</v>
      </c>
      <c r="J611" s="80" t="str">
        <f>TEXT(tblPayments[[#This Row],[Arrival]],"mmm")</f>
        <v>Feb</v>
      </c>
      <c r="K611" s="80">
        <f>MONTH(tblPayments[[#This Row],[Arrival]])</f>
        <v>2</v>
      </c>
      <c r="L611" s="80">
        <f>YEAR(tblPayments[[#This Row],[Arrival]])</f>
        <v>2026</v>
      </c>
      <c r="M611" s="80" t="str">
        <f>IF(tblPayments[[#This Row],[Balance]]=0,"Full Payment","Deposit")</f>
        <v>Full Payment</v>
      </c>
      <c r="N611" s="43">
        <v>57600</v>
      </c>
      <c r="O611" s="83">
        <v>45992</v>
      </c>
      <c r="P611" s="87" t="s">
        <v>2</v>
      </c>
    </row>
    <row r="612" spans="1:16" x14ac:dyDescent="0.3">
      <c r="A612" s="77" t="s">
        <v>102</v>
      </c>
      <c r="B612" s="80" t="s">
        <v>77</v>
      </c>
      <c r="C612" s="43">
        <v>36392.370000000003</v>
      </c>
      <c r="D612" s="43">
        <v>35098.089999999997</v>
      </c>
      <c r="E612" s="43">
        <v>1294.28</v>
      </c>
      <c r="F612" s="80" t="s">
        <v>72</v>
      </c>
      <c r="G612" s="83">
        <v>46068</v>
      </c>
      <c r="H612" s="83">
        <v>46074</v>
      </c>
      <c r="I612" s="4">
        <v>6</v>
      </c>
      <c r="J612" s="80" t="str">
        <f>TEXT(tblPayments[[#This Row],[Arrival]],"mmm")</f>
        <v>Feb</v>
      </c>
      <c r="K612" s="80">
        <f>MONTH(tblPayments[[#This Row],[Arrival]])</f>
        <v>2</v>
      </c>
      <c r="L612" s="80">
        <f>YEAR(tblPayments[[#This Row],[Arrival]])</f>
        <v>2026</v>
      </c>
      <c r="M612" s="80" t="str">
        <f>IF(tblPayments[[#This Row],[Balance]]=0,"Full Payment","Deposit")</f>
        <v>Deposit</v>
      </c>
      <c r="N612" s="43">
        <v>24348.54</v>
      </c>
      <c r="O612" s="83">
        <v>45756</v>
      </c>
      <c r="P612" s="87" t="s">
        <v>5</v>
      </c>
    </row>
    <row r="613" spans="1:16" x14ac:dyDescent="0.3">
      <c r="A613" s="77" t="s">
        <v>102</v>
      </c>
      <c r="B613" s="80" t="s">
        <v>77</v>
      </c>
      <c r="C613" s="43">
        <v>16124</v>
      </c>
      <c r="D613" s="43">
        <v>4031</v>
      </c>
      <c r="E613" s="43">
        <v>12093</v>
      </c>
      <c r="F613" s="80" t="s">
        <v>72</v>
      </c>
      <c r="G613" s="83">
        <v>46068</v>
      </c>
      <c r="H613" s="83">
        <v>46072</v>
      </c>
      <c r="I613" s="4">
        <v>4</v>
      </c>
      <c r="J613" s="80" t="str">
        <f>TEXT(tblPayments[[#This Row],[Arrival]],"mmm")</f>
        <v>Feb</v>
      </c>
      <c r="K613" s="80">
        <f>MONTH(tblPayments[[#This Row],[Arrival]])</f>
        <v>2</v>
      </c>
      <c r="L613" s="80">
        <f>YEAR(tblPayments[[#This Row],[Arrival]])</f>
        <v>2026</v>
      </c>
      <c r="M613" s="80" t="str">
        <f>IF(tblPayments[[#This Row],[Balance]]=0,"Full Payment","Deposit")</f>
        <v>Deposit</v>
      </c>
      <c r="N613" s="43">
        <v>8890.41</v>
      </c>
      <c r="O613" s="83">
        <v>45965</v>
      </c>
      <c r="P613" s="87" t="s">
        <v>30</v>
      </c>
    </row>
    <row r="614" spans="1:16" x14ac:dyDescent="0.3">
      <c r="A614" s="77" t="s">
        <v>102</v>
      </c>
      <c r="B614" s="80" t="s">
        <v>77</v>
      </c>
      <c r="C614" s="43">
        <v>15136</v>
      </c>
      <c r="D614" s="43">
        <v>3799</v>
      </c>
      <c r="E614" s="43">
        <v>11337</v>
      </c>
      <c r="F614" s="80" t="s">
        <v>72</v>
      </c>
      <c r="G614" s="83">
        <v>46068</v>
      </c>
      <c r="H614" s="83">
        <v>46072</v>
      </c>
      <c r="I614" s="4">
        <v>4</v>
      </c>
      <c r="J614" s="80" t="str">
        <f>TEXT(tblPayments[[#This Row],[Arrival]],"mmm")</f>
        <v>Feb</v>
      </c>
      <c r="K614" s="80">
        <f>MONTH(tblPayments[[#This Row],[Arrival]])</f>
        <v>2</v>
      </c>
      <c r="L614" s="80">
        <f>YEAR(tblPayments[[#This Row],[Arrival]])</f>
        <v>2026</v>
      </c>
      <c r="M614" s="80" t="str">
        <f>IF(tblPayments[[#This Row],[Balance]]=0,"Full Payment","Deposit")</f>
        <v>Deposit</v>
      </c>
      <c r="N614" s="43">
        <v>11328.68</v>
      </c>
      <c r="O614" s="83">
        <v>45958</v>
      </c>
      <c r="P614" s="87" t="s">
        <v>31</v>
      </c>
    </row>
    <row r="615" spans="1:16" x14ac:dyDescent="0.3">
      <c r="A615" s="77" t="s">
        <v>102</v>
      </c>
      <c r="B615" s="80" t="s">
        <v>77</v>
      </c>
      <c r="C615" s="43">
        <v>15656</v>
      </c>
      <c r="D615" s="43">
        <v>3944</v>
      </c>
      <c r="E615" s="43">
        <v>11712</v>
      </c>
      <c r="F615" s="80" t="s">
        <v>72</v>
      </c>
      <c r="G615" s="83">
        <v>46068</v>
      </c>
      <c r="H615" s="83">
        <v>46072</v>
      </c>
      <c r="I615" s="4">
        <v>4</v>
      </c>
      <c r="J615" s="80" t="str">
        <f>TEXT(tblPayments[[#This Row],[Arrival]],"mmm")</f>
        <v>Feb</v>
      </c>
      <c r="K615" s="80">
        <f>MONTH(tblPayments[[#This Row],[Arrival]])</f>
        <v>2</v>
      </c>
      <c r="L615" s="80">
        <f>YEAR(tblPayments[[#This Row],[Arrival]])</f>
        <v>2026</v>
      </c>
      <c r="M615" s="80" t="str">
        <f>IF(tblPayments[[#This Row],[Balance]]=0,"Full Payment","Deposit")</f>
        <v>Deposit</v>
      </c>
      <c r="N615" s="43">
        <v>9665.8799999999992</v>
      </c>
      <c r="O615" s="83">
        <v>45961</v>
      </c>
      <c r="P615" s="87" t="s">
        <v>44</v>
      </c>
    </row>
    <row r="616" spans="1:16" x14ac:dyDescent="0.3">
      <c r="A616" s="77" t="s">
        <v>102</v>
      </c>
      <c r="B616" s="80" t="s">
        <v>77</v>
      </c>
      <c r="C616" s="43">
        <v>16529</v>
      </c>
      <c r="D616" s="43">
        <v>4132.25</v>
      </c>
      <c r="E616" s="43">
        <v>12396.75</v>
      </c>
      <c r="F616" s="80" t="s">
        <v>72</v>
      </c>
      <c r="G616" s="83">
        <v>46068</v>
      </c>
      <c r="H616" s="83">
        <v>46072</v>
      </c>
      <c r="I616" s="4">
        <v>4</v>
      </c>
      <c r="J616" s="80" t="str">
        <f>TEXT(tblPayments[[#This Row],[Arrival]],"mmm")</f>
        <v>Feb</v>
      </c>
      <c r="K616" s="80">
        <f>MONTH(tblPayments[[#This Row],[Arrival]])</f>
        <v>2</v>
      </c>
      <c r="L616" s="80">
        <f>YEAR(tblPayments[[#This Row],[Arrival]])</f>
        <v>2026</v>
      </c>
      <c r="M616" s="80" t="str">
        <f>IF(tblPayments[[#This Row],[Balance]]=0,"Full Payment","Deposit")</f>
        <v>Deposit</v>
      </c>
      <c r="N616" s="43">
        <v>8417.27</v>
      </c>
      <c r="O616" s="83">
        <v>45982</v>
      </c>
      <c r="P616" s="87" t="s">
        <v>31</v>
      </c>
    </row>
    <row r="617" spans="1:16" x14ac:dyDescent="0.3">
      <c r="A617" s="77" t="s">
        <v>102</v>
      </c>
      <c r="B617" s="80" t="s">
        <v>77</v>
      </c>
      <c r="C617" s="43">
        <v>19302</v>
      </c>
      <c r="D617" s="43">
        <v>4825.5</v>
      </c>
      <c r="E617" s="43">
        <v>14476.5</v>
      </c>
      <c r="F617" s="80" t="s">
        <v>72</v>
      </c>
      <c r="G617" s="83">
        <v>46068</v>
      </c>
      <c r="H617" s="83">
        <v>46072</v>
      </c>
      <c r="I617" s="4">
        <v>4</v>
      </c>
      <c r="J617" s="80" t="str">
        <f>TEXT(tblPayments[[#This Row],[Arrival]],"mmm")</f>
        <v>Feb</v>
      </c>
      <c r="K617" s="80">
        <f>MONTH(tblPayments[[#This Row],[Arrival]])</f>
        <v>2</v>
      </c>
      <c r="L617" s="80">
        <f>YEAR(tblPayments[[#This Row],[Arrival]])</f>
        <v>2026</v>
      </c>
      <c r="M617" s="80" t="str">
        <f>IF(tblPayments[[#This Row],[Balance]]=0,"Full Payment","Deposit")</f>
        <v>Deposit</v>
      </c>
      <c r="N617" s="43">
        <v>9210.93</v>
      </c>
      <c r="O617" s="83">
        <v>45986</v>
      </c>
      <c r="P617" s="87" t="s">
        <v>31</v>
      </c>
    </row>
    <row r="618" spans="1:16" x14ac:dyDescent="0.3">
      <c r="A618" s="77" t="s">
        <v>102</v>
      </c>
      <c r="B618" s="80" t="s">
        <v>77</v>
      </c>
      <c r="C618" s="43">
        <v>17004</v>
      </c>
      <c r="D618" s="43">
        <v>4251</v>
      </c>
      <c r="E618" s="43">
        <v>12753</v>
      </c>
      <c r="F618" s="80" t="s">
        <v>72</v>
      </c>
      <c r="G618" s="83">
        <v>46068</v>
      </c>
      <c r="H618" s="83">
        <v>46072</v>
      </c>
      <c r="I618" s="4">
        <v>4</v>
      </c>
      <c r="J618" s="80" t="str">
        <f>TEXT(tblPayments[[#This Row],[Arrival]],"mmm")</f>
        <v>Feb</v>
      </c>
      <c r="K618" s="80">
        <f>MONTH(tblPayments[[#This Row],[Arrival]])</f>
        <v>2</v>
      </c>
      <c r="L618" s="80">
        <f>YEAR(tblPayments[[#This Row],[Arrival]])</f>
        <v>2026</v>
      </c>
      <c r="M618" s="80" t="str">
        <f>IF(tblPayments[[#This Row],[Balance]]=0,"Full Payment","Deposit")</f>
        <v>Deposit</v>
      </c>
      <c r="N618" s="43">
        <v>9463.8799999999992</v>
      </c>
      <c r="O618" s="83">
        <v>45961</v>
      </c>
      <c r="P618" s="87" t="s">
        <v>44</v>
      </c>
    </row>
    <row r="619" spans="1:16" x14ac:dyDescent="0.3">
      <c r="A619" s="77" t="s">
        <v>102</v>
      </c>
      <c r="B619" s="80" t="s">
        <v>77</v>
      </c>
      <c r="C619" s="43"/>
      <c r="D619" s="43"/>
      <c r="E619" s="43"/>
      <c r="F619" s="80" t="s">
        <v>73</v>
      </c>
      <c r="G619" s="83">
        <v>46069</v>
      </c>
      <c r="H619" s="83">
        <v>46071</v>
      </c>
      <c r="I619" s="4">
        <v>2</v>
      </c>
      <c r="J619" s="80" t="str">
        <f>TEXT(tblPayments[[#This Row],[Arrival]],"mmm")</f>
        <v>Feb</v>
      </c>
      <c r="K619" s="80">
        <f>MONTH(tblPayments[[#This Row],[Arrival]])</f>
        <v>2</v>
      </c>
      <c r="L619" s="80">
        <f>YEAR(tblPayments[[#This Row],[Arrival]])</f>
        <v>2026</v>
      </c>
      <c r="M619" s="80" t="str">
        <f>IF(tblPayments[[#This Row],[Balance]]=0,"Full Payment","Deposit")</f>
        <v>Full Payment</v>
      </c>
      <c r="N619" s="43">
        <v>0</v>
      </c>
      <c r="O619" s="83">
        <v>46001</v>
      </c>
      <c r="P619" s="87" t="s">
        <v>43</v>
      </c>
    </row>
    <row r="620" spans="1:16" x14ac:dyDescent="0.3">
      <c r="A620" s="77" t="s">
        <v>102</v>
      </c>
      <c r="B620" s="80" t="s">
        <v>77</v>
      </c>
      <c r="C620" s="43">
        <v>35527.480000000003</v>
      </c>
      <c r="D620" s="43">
        <v>20302.400000000001</v>
      </c>
      <c r="E620" s="43">
        <v>15225.08</v>
      </c>
      <c r="F620" s="80" t="s">
        <v>72</v>
      </c>
      <c r="G620" s="83">
        <v>46069</v>
      </c>
      <c r="H620" s="83">
        <v>46073</v>
      </c>
      <c r="I620" s="4">
        <v>4</v>
      </c>
      <c r="J620" s="80" t="str">
        <f>TEXT(tblPayments[[#This Row],[Arrival]],"mmm")</f>
        <v>Feb</v>
      </c>
      <c r="K620" s="80">
        <f>MONTH(tblPayments[[#This Row],[Arrival]])</f>
        <v>2</v>
      </c>
      <c r="L620" s="80">
        <f>YEAR(tblPayments[[#This Row],[Arrival]])</f>
        <v>2026</v>
      </c>
      <c r="M620" s="80" t="str">
        <f>IF(tblPayments[[#This Row],[Balance]]=0,"Full Payment","Deposit")</f>
        <v>Deposit</v>
      </c>
      <c r="N620" s="43">
        <v>11150.4</v>
      </c>
      <c r="O620" s="83">
        <v>45979</v>
      </c>
      <c r="P620" s="87" t="s">
        <v>44</v>
      </c>
    </row>
    <row r="621" spans="1:16" x14ac:dyDescent="0.3">
      <c r="A621" s="77" t="s">
        <v>102</v>
      </c>
      <c r="B621" s="80" t="s">
        <v>77</v>
      </c>
      <c r="C621" s="43">
        <v>14328</v>
      </c>
      <c r="D621" s="43"/>
      <c r="E621" s="43">
        <v>14328</v>
      </c>
      <c r="F621" s="80" t="s">
        <v>75</v>
      </c>
      <c r="G621" s="83">
        <v>46069</v>
      </c>
      <c r="H621" s="83">
        <v>46072</v>
      </c>
      <c r="I621" s="4">
        <v>3</v>
      </c>
      <c r="J621" s="80" t="str">
        <f>TEXT(tblPayments[[#This Row],[Arrival]],"mmm")</f>
        <v>Feb</v>
      </c>
      <c r="K621" s="80">
        <f>MONTH(tblPayments[[#This Row],[Arrival]])</f>
        <v>2</v>
      </c>
      <c r="L621" s="80">
        <f>YEAR(tblPayments[[#This Row],[Arrival]])</f>
        <v>2026</v>
      </c>
      <c r="M621" s="80" t="str">
        <f>IF(tblPayments[[#This Row],[Balance]]=0,"Full Payment","Deposit")</f>
        <v>Deposit</v>
      </c>
      <c r="N621" s="43">
        <v>9741.2999999999993</v>
      </c>
      <c r="O621" s="83">
        <v>46001</v>
      </c>
      <c r="P621" s="87" t="s">
        <v>31</v>
      </c>
    </row>
    <row r="622" spans="1:16" x14ac:dyDescent="0.3">
      <c r="A622" s="77" t="s">
        <v>102</v>
      </c>
      <c r="B622" s="80" t="s">
        <v>77</v>
      </c>
      <c r="C622" s="43">
        <v>15227.48</v>
      </c>
      <c r="D622" s="43"/>
      <c r="E622" s="43">
        <v>15227.48</v>
      </c>
      <c r="F622" s="80" t="s">
        <v>75</v>
      </c>
      <c r="G622" s="83">
        <v>46069</v>
      </c>
      <c r="H622" s="83">
        <v>46073</v>
      </c>
      <c r="I622" s="4">
        <v>4</v>
      </c>
      <c r="J622" s="80" t="str">
        <f>TEXT(tblPayments[[#This Row],[Arrival]],"mmm")</f>
        <v>Feb</v>
      </c>
      <c r="K622" s="80">
        <f>MONTH(tblPayments[[#This Row],[Arrival]])</f>
        <v>2</v>
      </c>
      <c r="L622" s="80">
        <f>YEAR(tblPayments[[#This Row],[Arrival]])</f>
        <v>2026</v>
      </c>
      <c r="M622" s="80" t="str">
        <f>IF(tblPayments[[#This Row],[Balance]]=0,"Full Payment","Deposit")</f>
        <v>Deposit</v>
      </c>
      <c r="N622" s="43">
        <v>10832.92</v>
      </c>
      <c r="O622" s="83">
        <v>45979</v>
      </c>
      <c r="P622" s="87" t="s">
        <v>44</v>
      </c>
    </row>
    <row r="623" spans="1:16" x14ac:dyDescent="0.3">
      <c r="A623" s="77" t="s">
        <v>102</v>
      </c>
      <c r="B623" s="80" t="s">
        <v>77</v>
      </c>
      <c r="C623" s="43">
        <v>15227.48</v>
      </c>
      <c r="D623" s="43"/>
      <c r="E623" s="43">
        <v>15227.48</v>
      </c>
      <c r="F623" s="80" t="s">
        <v>75</v>
      </c>
      <c r="G623" s="83">
        <v>46069</v>
      </c>
      <c r="H623" s="83">
        <v>46073</v>
      </c>
      <c r="I623" s="4">
        <v>4</v>
      </c>
      <c r="J623" s="80" t="str">
        <f>TEXT(tblPayments[[#This Row],[Arrival]],"mmm")</f>
        <v>Feb</v>
      </c>
      <c r="K623" s="80">
        <f>MONTH(tblPayments[[#This Row],[Arrival]])</f>
        <v>2</v>
      </c>
      <c r="L623" s="80">
        <f>YEAR(tblPayments[[#This Row],[Arrival]])</f>
        <v>2026</v>
      </c>
      <c r="M623" s="80" t="str">
        <f>IF(tblPayments[[#This Row],[Balance]]=0,"Full Payment","Deposit")</f>
        <v>Deposit</v>
      </c>
      <c r="N623" s="43">
        <v>11385.44</v>
      </c>
      <c r="O623" s="83">
        <v>45979</v>
      </c>
      <c r="P623" s="87" t="s">
        <v>44</v>
      </c>
    </row>
    <row r="624" spans="1:16" x14ac:dyDescent="0.3">
      <c r="A624" s="77" t="s">
        <v>102</v>
      </c>
      <c r="B624" s="80" t="s">
        <v>77</v>
      </c>
      <c r="C624" s="43">
        <v>57021.75</v>
      </c>
      <c r="D624" s="43"/>
      <c r="E624" s="43">
        <v>57021.75</v>
      </c>
      <c r="F624" s="80" t="s">
        <v>75</v>
      </c>
      <c r="G624" s="83">
        <v>46069</v>
      </c>
      <c r="H624" s="83">
        <v>46074</v>
      </c>
      <c r="I624" s="4">
        <v>5</v>
      </c>
      <c r="J624" s="80" t="str">
        <f>TEXT(tblPayments[[#This Row],[Arrival]],"mmm")</f>
        <v>Feb</v>
      </c>
      <c r="K624" s="80">
        <f>MONTH(tblPayments[[#This Row],[Arrival]])</f>
        <v>2</v>
      </c>
      <c r="L624" s="80">
        <f>YEAR(tblPayments[[#This Row],[Arrival]])</f>
        <v>2026</v>
      </c>
      <c r="M624" s="80" t="str">
        <f>IF(tblPayments[[#This Row],[Balance]]=0,"Full Payment","Deposit")</f>
        <v>Deposit</v>
      </c>
      <c r="N624" s="43">
        <v>31403.95</v>
      </c>
      <c r="O624" s="83">
        <v>45874</v>
      </c>
      <c r="P624" s="87" t="s">
        <v>14</v>
      </c>
    </row>
    <row r="625" spans="1:16" x14ac:dyDescent="0.3">
      <c r="A625" s="77" t="s">
        <v>102</v>
      </c>
      <c r="B625" s="80" t="s">
        <v>77</v>
      </c>
      <c r="C625" s="43">
        <v>15227.48</v>
      </c>
      <c r="D625" s="43"/>
      <c r="E625" s="43">
        <v>15227.48</v>
      </c>
      <c r="F625" s="80" t="s">
        <v>75</v>
      </c>
      <c r="G625" s="83">
        <v>46069</v>
      </c>
      <c r="H625" s="83">
        <v>46073</v>
      </c>
      <c r="I625" s="4">
        <v>4</v>
      </c>
      <c r="J625" s="80" t="str">
        <f>TEXT(tblPayments[[#This Row],[Arrival]],"mmm")</f>
        <v>Feb</v>
      </c>
      <c r="K625" s="80">
        <f>MONTH(tblPayments[[#This Row],[Arrival]])</f>
        <v>2</v>
      </c>
      <c r="L625" s="80">
        <f>YEAR(tblPayments[[#This Row],[Arrival]])</f>
        <v>2026</v>
      </c>
      <c r="M625" s="80" t="str">
        <f>IF(tblPayments[[#This Row],[Balance]]=0,"Full Payment","Deposit")</f>
        <v>Deposit</v>
      </c>
      <c r="N625" s="43">
        <v>10832.92</v>
      </c>
      <c r="O625" s="83">
        <v>45979</v>
      </c>
      <c r="P625" s="87" t="s">
        <v>44</v>
      </c>
    </row>
    <row r="626" spans="1:16" x14ac:dyDescent="0.3">
      <c r="A626" s="77" t="s">
        <v>102</v>
      </c>
      <c r="B626" s="80" t="s">
        <v>77</v>
      </c>
      <c r="C626" s="43">
        <v>38176</v>
      </c>
      <c r="D626" s="43">
        <v>4550</v>
      </c>
      <c r="E626" s="43">
        <v>33626</v>
      </c>
      <c r="F626" s="80" t="s">
        <v>72</v>
      </c>
      <c r="G626" s="83">
        <v>46069</v>
      </c>
      <c r="H626" s="83">
        <v>46074</v>
      </c>
      <c r="I626" s="4">
        <v>5</v>
      </c>
      <c r="J626" s="80" t="str">
        <f>TEXT(tblPayments[[#This Row],[Arrival]],"mmm")</f>
        <v>Feb</v>
      </c>
      <c r="K626" s="80">
        <f>MONTH(tblPayments[[#This Row],[Arrival]])</f>
        <v>2</v>
      </c>
      <c r="L626" s="80">
        <f>YEAR(tblPayments[[#This Row],[Arrival]])</f>
        <v>2026</v>
      </c>
      <c r="M626" s="80" t="str">
        <f>IF(tblPayments[[#This Row],[Balance]]=0,"Full Payment","Deposit")</f>
        <v>Deposit</v>
      </c>
      <c r="N626" s="43">
        <v>24581.05</v>
      </c>
      <c r="O626" s="83">
        <v>45951</v>
      </c>
      <c r="P626" s="87" t="s">
        <v>31</v>
      </c>
    </row>
    <row r="627" spans="1:16" x14ac:dyDescent="0.3">
      <c r="A627" s="77" t="s">
        <v>102</v>
      </c>
      <c r="B627" s="80" t="s">
        <v>77</v>
      </c>
      <c r="C627" s="43">
        <v>42048</v>
      </c>
      <c r="D627" s="43"/>
      <c r="E627" s="43">
        <v>42048</v>
      </c>
      <c r="F627" s="80" t="s">
        <v>75</v>
      </c>
      <c r="G627" s="83">
        <v>46069</v>
      </c>
      <c r="H627" s="83">
        <v>46073</v>
      </c>
      <c r="I627" s="4">
        <v>4</v>
      </c>
      <c r="J627" s="80" t="str">
        <f>TEXT(tblPayments[[#This Row],[Arrival]],"mmm")</f>
        <v>Feb</v>
      </c>
      <c r="K627" s="80">
        <f>MONTH(tblPayments[[#This Row],[Arrival]])</f>
        <v>2</v>
      </c>
      <c r="L627" s="80">
        <f>YEAR(tblPayments[[#This Row],[Arrival]])</f>
        <v>2026</v>
      </c>
      <c r="M627" s="80" t="str">
        <f>IF(tblPayments[[#This Row],[Balance]]=0,"Full Payment","Deposit")</f>
        <v>Deposit</v>
      </c>
      <c r="N627" s="43">
        <v>0</v>
      </c>
      <c r="O627" s="83">
        <v>45980</v>
      </c>
      <c r="P627" s="87" t="s">
        <v>31</v>
      </c>
    </row>
    <row r="628" spans="1:16" x14ac:dyDescent="0.3">
      <c r="A628" s="77" t="s">
        <v>102</v>
      </c>
      <c r="B628" s="80" t="s">
        <v>77</v>
      </c>
      <c r="C628" s="43">
        <v>17316</v>
      </c>
      <c r="D628" s="43">
        <v>8808</v>
      </c>
      <c r="E628" s="43">
        <v>8508</v>
      </c>
      <c r="F628" s="80" t="s">
        <v>72</v>
      </c>
      <c r="G628" s="83">
        <v>46070</v>
      </c>
      <c r="H628" s="83">
        <v>46076</v>
      </c>
      <c r="I628" s="4">
        <v>6</v>
      </c>
      <c r="J628" s="80" t="str">
        <f>TEXT(tblPayments[[#This Row],[Arrival]],"mmm")</f>
        <v>Feb</v>
      </c>
      <c r="K628" s="80">
        <f>MONTH(tblPayments[[#This Row],[Arrival]])</f>
        <v>2</v>
      </c>
      <c r="L628" s="80">
        <f>YEAR(tblPayments[[#This Row],[Arrival]])</f>
        <v>2026</v>
      </c>
      <c r="M628" s="80" t="str">
        <f>IF(tblPayments[[#This Row],[Balance]]=0,"Full Payment","Deposit")</f>
        <v>Deposit</v>
      </c>
      <c r="N628" s="43">
        <v>11804.22</v>
      </c>
      <c r="O628" s="83">
        <v>45954</v>
      </c>
      <c r="P628" s="87" t="s">
        <v>31</v>
      </c>
    </row>
    <row r="629" spans="1:16" x14ac:dyDescent="0.3">
      <c r="A629" s="77" t="s">
        <v>102</v>
      </c>
      <c r="B629" s="80" t="s">
        <v>77</v>
      </c>
      <c r="C629" s="43">
        <v>17916</v>
      </c>
      <c r="D629" s="43"/>
      <c r="E629" s="43">
        <v>17916</v>
      </c>
      <c r="F629" s="80" t="s">
        <v>75</v>
      </c>
      <c r="G629" s="83">
        <v>46070</v>
      </c>
      <c r="H629" s="83">
        <v>46076</v>
      </c>
      <c r="I629" s="4">
        <v>6</v>
      </c>
      <c r="J629" s="80" t="str">
        <f>TEXT(tblPayments[[#This Row],[Arrival]],"mmm")</f>
        <v>Feb</v>
      </c>
      <c r="K629" s="80">
        <f>MONTH(tblPayments[[#This Row],[Arrival]])</f>
        <v>2</v>
      </c>
      <c r="L629" s="80">
        <f>YEAR(tblPayments[[#This Row],[Arrival]])</f>
        <v>2026</v>
      </c>
      <c r="M629" s="80" t="str">
        <f>IF(tblPayments[[#This Row],[Balance]]=0,"Full Payment","Deposit")</f>
        <v>Deposit</v>
      </c>
      <c r="N629" s="43">
        <v>11319.36</v>
      </c>
      <c r="O629" s="83">
        <v>45954</v>
      </c>
      <c r="P629" s="87" t="s">
        <v>31</v>
      </c>
    </row>
    <row r="630" spans="1:16" x14ac:dyDescent="0.3">
      <c r="A630" s="77" t="s">
        <v>102</v>
      </c>
      <c r="B630" s="80" t="s">
        <v>77</v>
      </c>
      <c r="C630" s="43">
        <v>20186</v>
      </c>
      <c r="D630" s="43">
        <v>20186</v>
      </c>
      <c r="E630" s="43"/>
      <c r="F630" s="80" t="s">
        <v>70</v>
      </c>
      <c r="G630" s="83">
        <v>46070</v>
      </c>
      <c r="H630" s="83">
        <v>46072</v>
      </c>
      <c r="I630" s="4">
        <v>2</v>
      </c>
      <c r="J630" s="80" t="str">
        <f>TEXT(tblPayments[[#This Row],[Arrival]],"mmm")</f>
        <v>Feb</v>
      </c>
      <c r="K630" s="80">
        <f>MONTH(tblPayments[[#This Row],[Arrival]])</f>
        <v>2</v>
      </c>
      <c r="L630" s="80">
        <f>YEAR(tblPayments[[#This Row],[Arrival]])</f>
        <v>2026</v>
      </c>
      <c r="M630" s="80" t="str">
        <f>IF(tblPayments[[#This Row],[Balance]]=0,"Full Payment","Deposit")</f>
        <v>Full Payment</v>
      </c>
      <c r="N630" s="43">
        <v>12609.9</v>
      </c>
      <c r="O630" s="83">
        <v>45793</v>
      </c>
      <c r="P630" s="87" t="s">
        <v>14</v>
      </c>
    </row>
    <row r="631" spans="1:16" x14ac:dyDescent="0.3">
      <c r="A631" s="77" t="s">
        <v>102</v>
      </c>
      <c r="B631" s="80" t="s">
        <v>77</v>
      </c>
      <c r="C631" s="43">
        <v>27240</v>
      </c>
      <c r="D631" s="43">
        <v>6810</v>
      </c>
      <c r="E631" s="43">
        <v>20430</v>
      </c>
      <c r="F631" s="80" t="s">
        <v>72</v>
      </c>
      <c r="G631" s="83">
        <v>46070</v>
      </c>
      <c r="H631" s="83">
        <v>46075</v>
      </c>
      <c r="I631" s="4">
        <v>5</v>
      </c>
      <c r="J631" s="80" t="str">
        <f>TEXT(tblPayments[[#This Row],[Arrival]],"mmm")</f>
        <v>Feb</v>
      </c>
      <c r="K631" s="80">
        <f>MONTH(tblPayments[[#This Row],[Arrival]])</f>
        <v>2</v>
      </c>
      <c r="L631" s="80">
        <f>YEAR(tblPayments[[#This Row],[Arrival]])</f>
        <v>2026</v>
      </c>
      <c r="M631" s="80" t="str">
        <f>IF(tblPayments[[#This Row],[Balance]]=0,"Full Payment","Deposit")</f>
        <v>Deposit</v>
      </c>
      <c r="N631" s="43">
        <v>15186.5</v>
      </c>
      <c r="O631" s="83">
        <v>45815</v>
      </c>
      <c r="P631" s="87" t="s">
        <v>2</v>
      </c>
    </row>
    <row r="632" spans="1:16" x14ac:dyDescent="0.3">
      <c r="A632" s="77" t="s">
        <v>102</v>
      </c>
      <c r="B632" s="80" t="s">
        <v>77</v>
      </c>
      <c r="C632" s="43">
        <v>58366</v>
      </c>
      <c r="D632" s="43"/>
      <c r="E632" s="43">
        <v>58366</v>
      </c>
      <c r="F632" s="80" t="s">
        <v>75</v>
      </c>
      <c r="G632" s="83">
        <v>46070</v>
      </c>
      <c r="H632" s="83">
        <v>46074</v>
      </c>
      <c r="I632" s="4">
        <v>4</v>
      </c>
      <c r="J632" s="80" t="str">
        <f>TEXT(tblPayments[[#This Row],[Arrival]],"mmm")</f>
        <v>Feb</v>
      </c>
      <c r="K632" s="80">
        <f>MONTH(tblPayments[[#This Row],[Arrival]])</f>
        <v>2</v>
      </c>
      <c r="L632" s="80">
        <f>YEAR(tblPayments[[#This Row],[Arrival]])</f>
        <v>2026</v>
      </c>
      <c r="M632" s="80" t="str">
        <f>IF(tblPayments[[#This Row],[Balance]]=0,"Full Payment","Deposit")</f>
        <v>Deposit</v>
      </c>
      <c r="N632" s="43">
        <v>36416.480000000003</v>
      </c>
      <c r="O632" s="83">
        <v>45818</v>
      </c>
      <c r="P632" s="87" t="s">
        <v>40</v>
      </c>
    </row>
    <row r="633" spans="1:16" x14ac:dyDescent="0.3">
      <c r="A633" s="77" t="s">
        <v>102</v>
      </c>
      <c r="B633" s="80" t="s">
        <v>77</v>
      </c>
      <c r="C633" s="43">
        <v>51204</v>
      </c>
      <c r="D633" s="43">
        <v>12801</v>
      </c>
      <c r="E633" s="43">
        <v>38403</v>
      </c>
      <c r="F633" s="80" t="s">
        <v>72</v>
      </c>
      <c r="G633" s="83">
        <v>46070</v>
      </c>
      <c r="H633" s="83">
        <v>46074</v>
      </c>
      <c r="I633" s="4">
        <v>4</v>
      </c>
      <c r="J633" s="80" t="str">
        <f>TEXT(tblPayments[[#This Row],[Arrival]],"mmm")</f>
        <v>Feb</v>
      </c>
      <c r="K633" s="80">
        <f>MONTH(tblPayments[[#This Row],[Arrival]])</f>
        <v>2</v>
      </c>
      <c r="L633" s="80">
        <f>YEAR(tblPayments[[#This Row],[Arrival]])</f>
        <v>2026</v>
      </c>
      <c r="M633" s="80" t="str">
        <f>IF(tblPayments[[#This Row],[Balance]]=0,"Full Payment","Deposit")</f>
        <v>Deposit</v>
      </c>
      <c r="N633" s="43">
        <v>24603.17</v>
      </c>
      <c r="O633" s="83">
        <v>45968</v>
      </c>
      <c r="P633" s="87" t="s">
        <v>31</v>
      </c>
    </row>
    <row r="634" spans="1:16" x14ac:dyDescent="0.3">
      <c r="A634" s="77" t="s">
        <v>102</v>
      </c>
      <c r="B634" s="80" t="s">
        <v>77</v>
      </c>
      <c r="C634" s="43">
        <v>23564</v>
      </c>
      <c r="D634" s="43"/>
      <c r="E634" s="43">
        <v>23564</v>
      </c>
      <c r="F634" s="80" t="s">
        <v>75</v>
      </c>
      <c r="G634" s="83">
        <v>46070</v>
      </c>
      <c r="H634" s="83">
        <v>46076</v>
      </c>
      <c r="I634" s="4">
        <v>6</v>
      </c>
      <c r="J634" s="80" t="str">
        <f>TEXT(tblPayments[[#This Row],[Arrival]],"mmm")</f>
        <v>Feb</v>
      </c>
      <c r="K634" s="80">
        <f>MONTH(tblPayments[[#This Row],[Arrival]])</f>
        <v>2</v>
      </c>
      <c r="L634" s="80">
        <f>YEAR(tblPayments[[#This Row],[Arrival]])</f>
        <v>2026</v>
      </c>
      <c r="M634" s="80" t="str">
        <f>IF(tblPayments[[#This Row],[Balance]]=0,"Full Payment","Deposit")</f>
        <v>Deposit</v>
      </c>
      <c r="N634" s="43">
        <v>0</v>
      </c>
      <c r="O634" s="83">
        <v>45998</v>
      </c>
      <c r="P634" s="87" t="s">
        <v>15</v>
      </c>
    </row>
    <row r="635" spans="1:16" x14ac:dyDescent="0.3">
      <c r="A635" s="77" t="s">
        <v>102</v>
      </c>
      <c r="B635" s="80" t="s">
        <v>77</v>
      </c>
      <c r="C635" s="43">
        <v>36396</v>
      </c>
      <c r="D635" s="43"/>
      <c r="E635" s="43">
        <v>36396</v>
      </c>
      <c r="F635" s="80" t="s">
        <v>75</v>
      </c>
      <c r="G635" s="83">
        <v>46070</v>
      </c>
      <c r="H635" s="83">
        <v>46074</v>
      </c>
      <c r="I635" s="4">
        <v>4</v>
      </c>
      <c r="J635" s="80" t="str">
        <f>TEXT(tblPayments[[#This Row],[Arrival]],"mmm")</f>
        <v>Feb</v>
      </c>
      <c r="K635" s="80">
        <f>MONTH(tblPayments[[#This Row],[Arrival]])</f>
        <v>2</v>
      </c>
      <c r="L635" s="80">
        <f>YEAR(tblPayments[[#This Row],[Arrival]])</f>
        <v>2026</v>
      </c>
      <c r="M635" s="80" t="str">
        <f>IF(tblPayments[[#This Row],[Balance]]=0,"Full Payment","Deposit")</f>
        <v>Deposit</v>
      </c>
      <c r="N635" s="43">
        <v>0</v>
      </c>
      <c r="O635" s="83">
        <v>45988</v>
      </c>
      <c r="P635" s="87" t="s">
        <v>62</v>
      </c>
    </row>
    <row r="636" spans="1:16" x14ac:dyDescent="0.3">
      <c r="A636" s="77" t="s">
        <v>102</v>
      </c>
      <c r="B636" s="80" t="s">
        <v>77</v>
      </c>
      <c r="C636" s="43">
        <v>2741.5</v>
      </c>
      <c r="D636" s="43"/>
      <c r="E636" s="43">
        <v>2741.5</v>
      </c>
      <c r="F636" s="80" t="s">
        <v>75</v>
      </c>
      <c r="G636" s="83">
        <v>46070</v>
      </c>
      <c r="H636" s="83">
        <v>46071</v>
      </c>
      <c r="I636" s="4">
        <v>1</v>
      </c>
      <c r="J636" s="80" t="str">
        <f>TEXT(tblPayments[[#This Row],[Arrival]],"mmm")</f>
        <v>Feb</v>
      </c>
      <c r="K636" s="80">
        <f>MONTH(tblPayments[[#This Row],[Arrival]])</f>
        <v>2</v>
      </c>
      <c r="L636" s="80">
        <f>YEAR(tblPayments[[#This Row],[Arrival]])</f>
        <v>2026</v>
      </c>
      <c r="M636" s="80" t="str">
        <f>IF(tblPayments[[#This Row],[Balance]]=0,"Full Payment","Deposit")</f>
        <v>Deposit</v>
      </c>
      <c r="N636" s="43">
        <v>2010.49</v>
      </c>
      <c r="O636" s="83">
        <v>45964</v>
      </c>
      <c r="P636" s="87" t="s">
        <v>31</v>
      </c>
    </row>
    <row r="637" spans="1:16" x14ac:dyDescent="0.3">
      <c r="A637" s="77" t="s">
        <v>102</v>
      </c>
      <c r="B637" s="80" t="s">
        <v>77</v>
      </c>
      <c r="C637" s="43"/>
      <c r="D637" s="43"/>
      <c r="E637" s="43"/>
      <c r="F637" s="80"/>
      <c r="G637" s="83">
        <v>46071</v>
      </c>
      <c r="H637" s="83">
        <v>46075</v>
      </c>
      <c r="I637" s="4">
        <v>4</v>
      </c>
      <c r="J637" s="80" t="str">
        <f>TEXT(tblPayments[[#This Row],[Arrival]],"mmm")</f>
        <v>Feb</v>
      </c>
      <c r="K637" s="80">
        <f>MONTH(tblPayments[[#This Row],[Arrival]])</f>
        <v>2</v>
      </c>
      <c r="L637" s="80">
        <f>YEAR(tblPayments[[#This Row],[Arrival]])</f>
        <v>2026</v>
      </c>
      <c r="M637" s="80" t="str">
        <f>IF(tblPayments[[#This Row],[Balance]]=0,"Full Payment","Deposit")</f>
        <v>Full Payment</v>
      </c>
      <c r="N637" s="43"/>
      <c r="O637" s="83"/>
      <c r="P637" s="87"/>
    </row>
    <row r="638" spans="1:16" x14ac:dyDescent="0.3">
      <c r="A638" s="77" t="s">
        <v>102</v>
      </c>
      <c r="B638" s="80" t="s">
        <v>77</v>
      </c>
      <c r="C638" s="43">
        <v>8136</v>
      </c>
      <c r="D638" s="43"/>
      <c r="E638" s="43">
        <v>8136</v>
      </c>
      <c r="F638" s="80" t="s">
        <v>75</v>
      </c>
      <c r="G638" s="83">
        <v>46071</v>
      </c>
      <c r="H638" s="83">
        <v>46073</v>
      </c>
      <c r="I638" s="4">
        <v>2</v>
      </c>
      <c r="J638" s="80" t="str">
        <f>TEXT(tblPayments[[#This Row],[Arrival]],"mmm")</f>
        <v>Feb</v>
      </c>
      <c r="K638" s="80">
        <f>MONTH(tblPayments[[#This Row],[Arrival]])</f>
        <v>2</v>
      </c>
      <c r="L638" s="80">
        <f>YEAR(tblPayments[[#This Row],[Arrival]])</f>
        <v>2026</v>
      </c>
      <c r="M638" s="80" t="str">
        <f>IF(tblPayments[[#This Row],[Balance]]=0,"Full Payment","Deposit")</f>
        <v>Deposit</v>
      </c>
      <c r="N638" s="43">
        <v>4368.13</v>
      </c>
      <c r="O638" s="83">
        <v>45996</v>
      </c>
      <c r="P638" s="87" t="s">
        <v>31</v>
      </c>
    </row>
    <row r="639" spans="1:16" x14ac:dyDescent="0.3">
      <c r="A639" s="77" t="s">
        <v>102</v>
      </c>
      <c r="B639" s="80" t="s">
        <v>77</v>
      </c>
      <c r="C639" s="43">
        <v>15920</v>
      </c>
      <c r="D639" s="43">
        <v>3980</v>
      </c>
      <c r="E639" s="43">
        <v>11940</v>
      </c>
      <c r="F639" s="80" t="s">
        <v>72</v>
      </c>
      <c r="G639" s="83">
        <v>46071</v>
      </c>
      <c r="H639" s="83">
        <v>46076</v>
      </c>
      <c r="I639" s="4">
        <v>5</v>
      </c>
      <c r="J639" s="80" t="str">
        <f>TEXT(tblPayments[[#This Row],[Arrival]],"mmm")</f>
        <v>Feb</v>
      </c>
      <c r="K639" s="80">
        <f>MONTH(tblPayments[[#This Row],[Arrival]])</f>
        <v>2</v>
      </c>
      <c r="L639" s="80">
        <f>YEAR(tblPayments[[#This Row],[Arrival]])</f>
        <v>2026</v>
      </c>
      <c r="M639" s="80" t="str">
        <f>IF(tblPayments[[#This Row],[Balance]]=0,"Full Payment","Deposit")</f>
        <v>Deposit</v>
      </c>
      <c r="N639" s="43">
        <v>9751.35</v>
      </c>
      <c r="O639" s="83">
        <v>45916</v>
      </c>
      <c r="P639" s="87" t="s">
        <v>31</v>
      </c>
    </row>
    <row r="640" spans="1:16" x14ac:dyDescent="0.3">
      <c r="A640" s="77" t="s">
        <v>102</v>
      </c>
      <c r="B640" s="80" t="s">
        <v>77</v>
      </c>
      <c r="C640" s="43"/>
      <c r="D640" s="43"/>
      <c r="E640" s="43"/>
      <c r="F640" s="80"/>
      <c r="G640" s="83">
        <v>46071</v>
      </c>
      <c r="H640" s="83">
        <v>46075</v>
      </c>
      <c r="I640" s="4">
        <v>4</v>
      </c>
      <c r="J640" s="80" t="str">
        <f>TEXT(tblPayments[[#This Row],[Arrival]],"mmm")</f>
        <v>Feb</v>
      </c>
      <c r="K640" s="80">
        <f>MONTH(tblPayments[[#This Row],[Arrival]])</f>
        <v>2</v>
      </c>
      <c r="L640" s="80">
        <f>YEAR(tblPayments[[#This Row],[Arrival]])</f>
        <v>2026</v>
      </c>
      <c r="M640" s="80" t="str">
        <f>IF(tblPayments[[#This Row],[Balance]]=0,"Full Payment","Deposit")</f>
        <v>Full Payment</v>
      </c>
      <c r="N640" s="43">
        <v>30884.48</v>
      </c>
      <c r="O640" s="83">
        <v>45811</v>
      </c>
      <c r="P640" s="87" t="s">
        <v>60</v>
      </c>
    </row>
    <row r="641" spans="1:16" x14ac:dyDescent="0.3">
      <c r="A641" s="77" t="s">
        <v>102</v>
      </c>
      <c r="B641" s="80" t="s">
        <v>77</v>
      </c>
      <c r="C641" s="43">
        <v>5112</v>
      </c>
      <c r="D641" s="43"/>
      <c r="E641" s="43">
        <v>5112</v>
      </c>
      <c r="F641" s="80" t="s">
        <v>75</v>
      </c>
      <c r="G641" s="83">
        <v>46071</v>
      </c>
      <c r="H641" s="83">
        <v>46073</v>
      </c>
      <c r="I641" s="4">
        <v>2</v>
      </c>
      <c r="J641" s="80" t="str">
        <f>TEXT(tblPayments[[#This Row],[Arrival]],"mmm")</f>
        <v>Feb</v>
      </c>
      <c r="K641" s="80">
        <f>MONTH(tblPayments[[#This Row],[Arrival]])</f>
        <v>2</v>
      </c>
      <c r="L641" s="80">
        <f>YEAR(tblPayments[[#This Row],[Arrival]])</f>
        <v>2026</v>
      </c>
      <c r="M641" s="80" t="str">
        <f>IF(tblPayments[[#This Row],[Balance]]=0,"Full Payment","Deposit")</f>
        <v>Deposit</v>
      </c>
      <c r="N641" s="43">
        <v>3586.7</v>
      </c>
      <c r="O641" s="83">
        <v>45983</v>
      </c>
      <c r="P641" s="87" t="s">
        <v>36</v>
      </c>
    </row>
    <row r="642" spans="1:16" x14ac:dyDescent="0.3">
      <c r="A642" s="77" t="s">
        <v>102</v>
      </c>
      <c r="B642" s="80" t="s">
        <v>77</v>
      </c>
      <c r="C642" s="43">
        <v>51760.72</v>
      </c>
      <c r="D642" s="43">
        <v>51760.72</v>
      </c>
      <c r="E642" s="43"/>
      <c r="F642" s="80" t="s">
        <v>70</v>
      </c>
      <c r="G642" s="83">
        <v>46071</v>
      </c>
      <c r="H642" s="83">
        <v>46073</v>
      </c>
      <c r="I642" s="4">
        <v>2</v>
      </c>
      <c r="J642" s="80" t="str">
        <f>TEXT(tblPayments[[#This Row],[Arrival]],"mmm")</f>
        <v>Feb</v>
      </c>
      <c r="K642" s="80">
        <f>MONTH(tblPayments[[#This Row],[Arrival]])</f>
        <v>2</v>
      </c>
      <c r="L642" s="80">
        <f>YEAR(tblPayments[[#This Row],[Arrival]])</f>
        <v>2026</v>
      </c>
      <c r="M642" s="80" t="str">
        <f>IF(tblPayments[[#This Row],[Balance]]=0,"Full Payment","Deposit")</f>
        <v>Full Payment</v>
      </c>
      <c r="N642" s="43">
        <v>2744.2</v>
      </c>
      <c r="O642" s="83">
        <v>45995</v>
      </c>
      <c r="P642" s="87" t="s">
        <v>31</v>
      </c>
    </row>
    <row r="643" spans="1:16" x14ac:dyDescent="0.3">
      <c r="A643" s="77" t="s">
        <v>102</v>
      </c>
      <c r="B643" s="80" t="s">
        <v>77</v>
      </c>
      <c r="C643" s="43">
        <v>7848</v>
      </c>
      <c r="D643" s="43"/>
      <c r="E643" s="43">
        <v>7848</v>
      </c>
      <c r="F643" s="80" t="s">
        <v>75</v>
      </c>
      <c r="G643" s="83">
        <v>46071</v>
      </c>
      <c r="H643" s="83">
        <v>46073</v>
      </c>
      <c r="I643" s="4">
        <v>2</v>
      </c>
      <c r="J643" s="80" t="str">
        <f>TEXT(tblPayments[[#This Row],[Arrival]],"mmm")</f>
        <v>Feb</v>
      </c>
      <c r="K643" s="80">
        <f>MONTH(tblPayments[[#This Row],[Arrival]])</f>
        <v>2</v>
      </c>
      <c r="L643" s="80">
        <f>YEAR(tblPayments[[#This Row],[Arrival]])</f>
        <v>2026</v>
      </c>
      <c r="M643" s="80" t="str">
        <f>IF(tblPayments[[#This Row],[Balance]]=0,"Full Payment","Deposit")</f>
        <v>Deposit</v>
      </c>
      <c r="N643" s="43">
        <v>4926.18</v>
      </c>
      <c r="O643" s="83">
        <v>45979</v>
      </c>
      <c r="P643" s="87" t="s">
        <v>31</v>
      </c>
    </row>
    <row r="644" spans="1:16" x14ac:dyDescent="0.3">
      <c r="A644" s="77" t="s">
        <v>102</v>
      </c>
      <c r="B644" s="80" t="s">
        <v>77</v>
      </c>
      <c r="C644" s="43">
        <v>14876</v>
      </c>
      <c r="D644" s="43">
        <v>3719</v>
      </c>
      <c r="E644" s="43">
        <v>11157</v>
      </c>
      <c r="F644" s="80" t="s">
        <v>72</v>
      </c>
      <c r="G644" s="83">
        <v>46071</v>
      </c>
      <c r="H644" s="83">
        <v>46075</v>
      </c>
      <c r="I644" s="4">
        <v>4</v>
      </c>
      <c r="J644" s="80" t="str">
        <f>TEXT(tblPayments[[#This Row],[Arrival]],"mmm")</f>
        <v>Feb</v>
      </c>
      <c r="K644" s="80">
        <f>MONTH(tblPayments[[#This Row],[Arrival]])</f>
        <v>2</v>
      </c>
      <c r="L644" s="80">
        <f>YEAR(tblPayments[[#This Row],[Arrival]])</f>
        <v>2026</v>
      </c>
      <c r="M644" s="80" t="str">
        <f>IF(tblPayments[[#This Row],[Balance]]=0,"Full Payment","Deposit")</f>
        <v>Deposit</v>
      </c>
      <c r="N644" s="43">
        <v>10147.64</v>
      </c>
      <c r="O644" s="83">
        <v>45959</v>
      </c>
      <c r="P644" s="87" t="s">
        <v>31</v>
      </c>
    </row>
    <row r="645" spans="1:16" x14ac:dyDescent="0.3">
      <c r="A645" s="77" t="s">
        <v>102</v>
      </c>
      <c r="B645" s="80" t="s">
        <v>77</v>
      </c>
      <c r="C645" s="43">
        <v>14876</v>
      </c>
      <c r="D645" s="43">
        <v>3719</v>
      </c>
      <c r="E645" s="43">
        <v>11157</v>
      </c>
      <c r="F645" s="80" t="s">
        <v>72</v>
      </c>
      <c r="G645" s="83">
        <v>46071</v>
      </c>
      <c r="H645" s="83">
        <v>46075</v>
      </c>
      <c r="I645" s="4">
        <v>4</v>
      </c>
      <c r="J645" s="80" t="str">
        <f>TEXT(tblPayments[[#This Row],[Arrival]],"mmm")</f>
        <v>Feb</v>
      </c>
      <c r="K645" s="80">
        <f>MONTH(tblPayments[[#This Row],[Arrival]])</f>
        <v>2</v>
      </c>
      <c r="L645" s="80">
        <f>YEAR(tblPayments[[#This Row],[Arrival]])</f>
        <v>2026</v>
      </c>
      <c r="M645" s="80" t="str">
        <f>IF(tblPayments[[#This Row],[Balance]]=0,"Full Payment","Deposit")</f>
        <v>Deposit</v>
      </c>
      <c r="N645" s="43">
        <v>10147.64</v>
      </c>
      <c r="O645" s="83">
        <v>45959</v>
      </c>
      <c r="P645" s="87" t="s">
        <v>31</v>
      </c>
    </row>
    <row r="646" spans="1:16" x14ac:dyDescent="0.3">
      <c r="A646" s="77" t="s">
        <v>102</v>
      </c>
      <c r="B646" s="80" t="s">
        <v>77</v>
      </c>
      <c r="C646" s="43">
        <v>23750</v>
      </c>
      <c r="D646" s="43">
        <v>5937.5</v>
      </c>
      <c r="E646" s="43">
        <v>17812.5</v>
      </c>
      <c r="F646" s="80" t="s">
        <v>72</v>
      </c>
      <c r="G646" s="83">
        <v>46071</v>
      </c>
      <c r="H646" s="83">
        <v>46075</v>
      </c>
      <c r="I646" s="4">
        <v>4</v>
      </c>
      <c r="J646" s="80" t="str">
        <f>TEXT(tblPayments[[#This Row],[Arrival]],"mmm")</f>
        <v>Feb</v>
      </c>
      <c r="K646" s="80">
        <f>MONTH(tblPayments[[#This Row],[Arrival]])</f>
        <v>2</v>
      </c>
      <c r="L646" s="80">
        <f>YEAR(tblPayments[[#This Row],[Arrival]])</f>
        <v>2026</v>
      </c>
      <c r="M646" s="80" t="str">
        <f>IF(tblPayments[[#This Row],[Balance]]=0,"Full Payment","Deposit")</f>
        <v>Deposit</v>
      </c>
      <c r="N646" s="43">
        <v>10500.61</v>
      </c>
      <c r="O646" s="83">
        <v>45974</v>
      </c>
      <c r="P646" s="87" t="s">
        <v>31</v>
      </c>
    </row>
    <row r="647" spans="1:16" x14ac:dyDescent="0.3">
      <c r="A647" s="77" t="s">
        <v>102</v>
      </c>
      <c r="B647" s="80" t="s">
        <v>77</v>
      </c>
      <c r="C647" s="43">
        <v>11436</v>
      </c>
      <c r="D647" s="43">
        <v>2859</v>
      </c>
      <c r="E647" s="43">
        <v>8577</v>
      </c>
      <c r="F647" s="80" t="s">
        <v>72</v>
      </c>
      <c r="G647" s="83">
        <v>46071</v>
      </c>
      <c r="H647" s="83">
        <v>46075</v>
      </c>
      <c r="I647" s="4">
        <v>4</v>
      </c>
      <c r="J647" s="80" t="str">
        <f>TEXT(tblPayments[[#This Row],[Arrival]],"mmm")</f>
        <v>Feb</v>
      </c>
      <c r="K647" s="80">
        <f>MONTH(tblPayments[[#This Row],[Arrival]])</f>
        <v>2</v>
      </c>
      <c r="L647" s="80">
        <f>YEAR(tblPayments[[#This Row],[Arrival]])</f>
        <v>2026</v>
      </c>
      <c r="M647" s="80" t="str">
        <f>IF(tblPayments[[#This Row],[Balance]]=0,"Full Payment","Deposit")</f>
        <v>Deposit</v>
      </c>
      <c r="N647" s="43">
        <v>7474.76</v>
      </c>
      <c r="O647" s="83">
        <v>45954</v>
      </c>
      <c r="P647" s="87" t="s">
        <v>31</v>
      </c>
    </row>
    <row r="648" spans="1:16" x14ac:dyDescent="0.3">
      <c r="A648" s="77" t="s">
        <v>102</v>
      </c>
      <c r="B648" s="80" t="s">
        <v>77</v>
      </c>
      <c r="C648" s="43">
        <v>21865</v>
      </c>
      <c r="D648" s="43">
        <v>5466.25</v>
      </c>
      <c r="E648" s="43">
        <v>16398.75</v>
      </c>
      <c r="F648" s="80" t="s">
        <v>72</v>
      </c>
      <c r="G648" s="83">
        <v>46071</v>
      </c>
      <c r="H648" s="83">
        <v>46075</v>
      </c>
      <c r="I648" s="4">
        <v>4</v>
      </c>
      <c r="J648" s="80" t="str">
        <f>TEXT(tblPayments[[#This Row],[Arrival]],"mmm")</f>
        <v>Feb</v>
      </c>
      <c r="K648" s="80">
        <f>MONTH(tblPayments[[#This Row],[Arrival]])</f>
        <v>2</v>
      </c>
      <c r="L648" s="80">
        <f>YEAR(tblPayments[[#This Row],[Arrival]])</f>
        <v>2026</v>
      </c>
      <c r="M648" s="80" t="str">
        <f>IF(tblPayments[[#This Row],[Balance]]=0,"Full Payment","Deposit")</f>
        <v>Deposit</v>
      </c>
      <c r="N648" s="43">
        <v>7539.67</v>
      </c>
      <c r="O648" s="83">
        <v>45985</v>
      </c>
      <c r="P648" s="87" t="s">
        <v>31</v>
      </c>
    </row>
    <row r="649" spans="1:16" x14ac:dyDescent="0.3">
      <c r="A649" s="77" t="s">
        <v>102</v>
      </c>
      <c r="B649" s="80" t="s">
        <v>77</v>
      </c>
      <c r="C649" s="43">
        <v>21649.88</v>
      </c>
      <c r="D649" s="43">
        <v>6699</v>
      </c>
      <c r="E649" s="43">
        <v>14950.88</v>
      </c>
      <c r="F649" s="80" t="s">
        <v>72</v>
      </c>
      <c r="G649" s="83">
        <v>46072</v>
      </c>
      <c r="H649" s="83">
        <v>46076</v>
      </c>
      <c r="I649" s="4">
        <v>4</v>
      </c>
      <c r="J649" s="80" t="str">
        <f>TEXT(tblPayments[[#This Row],[Arrival]],"mmm")</f>
        <v>Feb</v>
      </c>
      <c r="K649" s="80">
        <f>MONTH(tblPayments[[#This Row],[Arrival]])</f>
        <v>2</v>
      </c>
      <c r="L649" s="80">
        <f>YEAR(tblPayments[[#This Row],[Arrival]])</f>
        <v>2026</v>
      </c>
      <c r="M649" s="80" t="str">
        <f>IF(tblPayments[[#This Row],[Balance]]=0,"Full Payment","Deposit")</f>
        <v>Deposit</v>
      </c>
      <c r="N649" s="43">
        <v>12757.84</v>
      </c>
      <c r="O649" s="83">
        <v>45991</v>
      </c>
      <c r="P649" s="87" t="s">
        <v>5</v>
      </c>
    </row>
    <row r="650" spans="1:16" x14ac:dyDescent="0.3">
      <c r="A650" s="77" t="s">
        <v>102</v>
      </c>
      <c r="B650" s="80" t="s">
        <v>77</v>
      </c>
      <c r="C650" s="43">
        <v>23628</v>
      </c>
      <c r="D650" s="43">
        <v>5907</v>
      </c>
      <c r="E650" s="43">
        <v>17721</v>
      </c>
      <c r="F650" s="80" t="s">
        <v>72</v>
      </c>
      <c r="G650" s="83">
        <v>46072</v>
      </c>
      <c r="H650" s="83">
        <v>46075</v>
      </c>
      <c r="I650" s="4">
        <v>3</v>
      </c>
      <c r="J650" s="80" t="str">
        <f>TEXT(tblPayments[[#This Row],[Arrival]],"mmm")</f>
        <v>Feb</v>
      </c>
      <c r="K650" s="80">
        <f>MONTH(tblPayments[[#This Row],[Arrival]])</f>
        <v>2</v>
      </c>
      <c r="L650" s="80">
        <f>YEAR(tblPayments[[#This Row],[Arrival]])</f>
        <v>2026</v>
      </c>
      <c r="M650" s="80" t="str">
        <f>IF(tblPayments[[#This Row],[Balance]]=0,"Full Payment","Deposit")</f>
        <v>Deposit</v>
      </c>
      <c r="N650" s="43">
        <v>15785.25</v>
      </c>
      <c r="O650" s="83">
        <v>45994</v>
      </c>
      <c r="P650" s="87" t="s">
        <v>31</v>
      </c>
    </row>
    <row r="651" spans="1:16" x14ac:dyDescent="0.3">
      <c r="A651" s="77" t="s">
        <v>102</v>
      </c>
      <c r="B651" s="80" t="s">
        <v>77</v>
      </c>
      <c r="C651" s="43">
        <v>27308</v>
      </c>
      <c r="D651" s="43">
        <v>6827</v>
      </c>
      <c r="E651" s="43">
        <v>20481</v>
      </c>
      <c r="F651" s="80" t="s">
        <v>72</v>
      </c>
      <c r="G651" s="83">
        <v>46072</v>
      </c>
      <c r="H651" s="83">
        <v>46078</v>
      </c>
      <c r="I651" s="4">
        <v>6</v>
      </c>
      <c r="J651" s="80" t="str">
        <f>TEXT(tblPayments[[#This Row],[Arrival]],"mmm")</f>
        <v>Feb</v>
      </c>
      <c r="K651" s="80">
        <f>MONTH(tblPayments[[#This Row],[Arrival]])</f>
        <v>2</v>
      </c>
      <c r="L651" s="80">
        <f>YEAR(tblPayments[[#This Row],[Arrival]])</f>
        <v>2026</v>
      </c>
      <c r="M651" s="80" t="str">
        <f>IF(tblPayments[[#This Row],[Balance]]=0,"Full Payment","Deposit")</f>
        <v>Deposit</v>
      </c>
      <c r="N651" s="43">
        <v>18235.650000000001</v>
      </c>
      <c r="O651" s="83">
        <v>45973</v>
      </c>
      <c r="P651" s="87" t="s">
        <v>31</v>
      </c>
    </row>
    <row r="652" spans="1:16" x14ac:dyDescent="0.3">
      <c r="A652" s="77" t="s">
        <v>102</v>
      </c>
      <c r="B652" s="80" t="s">
        <v>77</v>
      </c>
      <c r="C652" s="43">
        <v>23256.36</v>
      </c>
      <c r="D652" s="43"/>
      <c r="E652" s="43">
        <v>23256.36</v>
      </c>
      <c r="F652" s="80" t="s">
        <v>80</v>
      </c>
      <c r="G652" s="83">
        <v>46072</v>
      </c>
      <c r="H652" s="83">
        <v>46076</v>
      </c>
      <c r="I652" s="4">
        <v>4</v>
      </c>
      <c r="J652" s="80" t="str">
        <f>TEXT(tblPayments[[#This Row],[Arrival]],"mmm")</f>
        <v>Feb</v>
      </c>
      <c r="K652" s="80">
        <f>MONTH(tblPayments[[#This Row],[Arrival]])</f>
        <v>2</v>
      </c>
      <c r="L652" s="80">
        <f>YEAR(tblPayments[[#This Row],[Arrival]])</f>
        <v>2026</v>
      </c>
      <c r="M652" s="80" t="str">
        <f>IF(tblPayments[[#This Row],[Balance]]=0,"Full Payment","Deposit")</f>
        <v>Deposit</v>
      </c>
      <c r="N652" s="43">
        <v>15058.28</v>
      </c>
      <c r="O652" s="83">
        <v>45941</v>
      </c>
      <c r="P652" s="87" t="s">
        <v>31</v>
      </c>
    </row>
    <row r="653" spans="1:16" x14ac:dyDescent="0.3">
      <c r="A653" s="77" t="s">
        <v>102</v>
      </c>
      <c r="B653" s="80" t="s">
        <v>77</v>
      </c>
      <c r="C653" s="43">
        <v>39110.959999999999</v>
      </c>
      <c r="D653" s="43">
        <v>14095.9</v>
      </c>
      <c r="E653" s="43">
        <v>25014.99</v>
      </c>
      <c r="F653" s="80" t="s">
        <v>72</v>
      </c>
      <c r="G653" s="83">
        <v>46073</v>
      </c>
      <c r="H653" s="83">
        <v>46080</v>
      </c>
      <c r="I653" s="4">
        <v>7</v>
      </c>
      <c r="J653" s="80" t="str">
        <f>TEXT(tblPayments[[#This Row],[Arrival]],"mmm")</f>
        <v>Feb</v>
      </c>
      <c r="K653" s="80">
        <f>MONTH(tblPayments[[#This Row],[Arrival]])</f>
        <v>2</v>
      </c>
      <c r="L653" s="80">
        <f>YEAR(tblPayments[[#This Row],[Arrival]])</f>
        <v>2026</v>
      </c>
      <c r="M653" s="80" t="str">
        <f>IF(tblPayments[[#This Row],[Balance]]=0,"Full Payment","Deposit")</f>
        <v>Deposit</v>
      </c>
      <c r="N653" s="43">
        <v>21235.41</v>
      </c>
      <c r="O653" s="83">
        <v>45952</v>
      </c>
      <c r="P653" s="87" t="s">
        <v>2</v>
      </c>
    </row>
    <row r="654" spans="1:16" x14ac:dyDescent="0.3">
      <c r="A654" s="77" t="s">
        <v>102</v>
      </c>
      <c r="B654" s="80" t="s">
        <v>77</v>
      </c>
      <c r="C654" s="43">
        <v>15271.49</v>
      </c>
      <c r="D654" s="43"/>
      <c r="E654" s="43">
        <v>15271.49</v>
      </c>
      <c r="F654" s="80" t="s">
        <v>75</v>
      </c>
      <c r="G654" s="83">
        <v>46073</v>
      </c>
      <c r="H654" s="83">
        <v>46076</v>
      </c>
      <c r="I654" s="4">
        <v>3</v>
      </c>
      <c r="J654" s="80" t="str">
        <f>TEXT(tblPayments[[#This Row],[Arrival]],"mmm")</f>
        <v>Feb</v>
      </c>
      <c r="K654" s="80">
        <f>MONTH(tblPayments[[#This Row],[Arrival]])</f>
        <v>2</v>
      </c>
      <c r="L654" s="80">
        <f>YEAR(tblPayments[[#This Row],[Arrival]])</f>
        <v>2026</v>
      </c>
      <c r="M654" s="80" t="str">
        <f>IF(tblPayments[[#This Row],[Balance]]=0,"Full Payment","Deposit")</f>
        <v>Deposit</v>
      </c>
      <c r="N654" s="43">
        <v>6984.9</v>
      </c>
      <c r="O654" s="83">
        <v>46001</v>
      </c>
      <c r="P654" s="87"/>
    </row>
    <row r="655" spans="1:16" x14ac:dyDescent="0.3">
      <c r="A655" s="77" t="s">
        <v>102</v>
      </c>
      <c r="B655" s="80" t="s">
        <v>77</v>
      </c>
      <c r="C655" s="43"/>
      <c r="D655" s="43"/>
      <c r="E655" s="43"/>
      <c r="F655" s="80" t="s">
        <v>74</v>
      </c>
      <c r="G655" s="83">
        <v>46073</v>
      </c>
      <c r="H655" s="83">
        <v>46077</v>
      </c>
      <c r="I655" s="4">
        <v>4</v>
      </c>
      <c r="J655" s="80" t="str">
        <f>TEXT(tblPayments[[#This Row],[Arrival]],"mmm")</f>
        <v>Feb</v>
      </c>
      <c r="K655" s="80">
        <f>MONTH(tblPayments[[#This Row],[Arrival]])</f>
        <v>2</v>
      </c>
      <c r="L655" s="80">
        <f>YEAR(tblPayments[[#This Row],[Arrival]])</f>
        <v>2026</v>
      </c>
      <c r="M655" s="80" t="str">
        <f>IF(tblPayments[[#This Row],[Balance]]=0,"Full Payment","Deposit")</f>
        <v>Full Payment</v>
      </c>
      <c r="N655" s="43">
        <v>12622.12</v>
      </c>
      <c r="O655" s="83">
        <v>46001</v>
      </c>
      <c r="P655" s="87" t="s">
        <v>31</v>
      </c>
    </row>
    <row r="656" spans="1:16" x14ac:dyDescent="0.3">
      <c r="A656" s="77" t="s">
        <v>102</v>
      </c>
      <c r="B656" s="80" t="s">
        <v>77</v>
      </c>
      <c r="C656" s="43">
        <v>9908</v>
      </c>
      <c r="D656" s="43"/>
      <c r="E656" s="43">
        <v>9908</v>
      </c>
      <c r="F656" s="80" t="s">
        <v>75</v>
      </c>
      <c r="G656" s="83">
        <v>46073</v>
      </c>
      <c r="H656" s="83">
        <v>46075</v>
      </c>
      <c r="I656" s="4">
        <v>2</v>
      </c>
      <c r="J656" s="80" t="str">
        <f>TEXT(tblPayments[[#This Row],[Arrival]],"mmm")</f>
        <v>Feb</v>
      </c>
      <c r="K656" s="80">
        <f>MONTH(tblPayments[[#This Row],[Arrival]])</f>
        <v>2</v>
      </c>
      <c r="L656" s="80">
        <f>YEAR(tblPayments[[#This Row],[Arrival]])</f>
        <v>2026</v>
      </c>
      <c r="M656" s="80" t="str">
        <f>IF(tblPayments[[#This Row],[Balance]]=0,"Full Payment","Deposit")</f>
        <v>Deposit</v>
      </c>
      <c r="N656" s="43">
        <v>6063.8</v>
      </c>
      <c r="O656" s="83">
        <v>45995</v>
      </c>
      <c r="P656" s="87" t="s">
        <v>31</v>
      </c>
    </row>
    <row r="657" spans="1:16" x14ac:dyDescent="0.3">
      <c r="A657" s="77" t="s">
        <v>102</v>
      </c>
      <c r="B657" s="80" t="s">
        <v>77</v>
      </c>
      <c r="C657" s="43">
        <v>22902</v>
      </c>
      <c r="D657" s="43"/>
      <c r="E657" s="43">
        <v>22902</v>
      </c>
      <c r="F657" s="80" t="s">
        <v>75</v>
      </c>
      <c r="G657" s="83">
        <v>46073</v>
      </c>
      <c r="H657" s="83">
        <v>46077</v>
      </c>
      <c r="I657" s="4">
        <v>4</v>
      </c>
      <c r="J657" s="80" t="str">
        <f>TEXT(tblPayments[[#This Row],[Arrival]],"mmm")</f>
        <v>Feb</v>
      </c>
      <c r="K657" s="80">
        <f>MONTH(tblPayments[[#This Row],[Arrival]])</f>
        <v>2</v>
      </c>
      <c r="L657" s="80">
        <f>YEAR(tblPayments[[#This Row],[Arrival]])</f>
        <v>2026</v>
      </c>
      <c r="M657" s="80" t="str">
        <f>IF(tblPayments[[#This Row],[Balance]]=0,"Full Payment","Deposit")</f>
        <v>Deposit</v>
      </c>
      <c r="N657" s="43">
        <v>10508.25</v>
      </c>
      <c r="O657" s="83">
        <v>45990</v>
      </c>
      <c r="P657" s="87" t="s">
        <v>31</v>
      </c>
    </row>
    <row r="658" spans="1:16" x14ac:dyDescent="0.3">
      <c r="A658" s="77" t="s">
        <v>102</v>
      </c>
      <c r="B658" s="80" t="s">
        <v>77</v>
      </c>
      <c r="C658" s="43">
        <v>19922</v>
      </c>
      <c r="D658" s="43">
        <v>4980.5</v>
      </c>
      <c r="E658" s="43">
        <v>14941.5</v>
      </c>
      <c r="F658" s="80" t="s">
        <v>72</v>
      </c>
      <c r="G658" s="83">
        <v>46073</v>
      </c>
      <c r="H658" s="83">
        <v>46077</v>
      </c>
      <c r="I658" s="4">
        <v>4</v>
      </c>
      <c r="J658" s="80" t="str">
        <f>TEXT(tblPayments[[#This Row],[Arrival]],"mmm")</f>
        <v>Feb</v>
      </c>
      <c r="K658" s="80">
        <f>MONTH(tblPayments[[#This Row],[Arrival]])</f>
        <v>2</v>
      </c>
      <c r="L658" s="80">
        <f>YEAR(tblPayments[[#This Row],[Arrival]])</f>
        <v>2026</v>
      </c>
      <c r="M658" s="80" t="str">
        <f>IF(tblPayments[[#This Row],[Balance]]=0,"Full Payment","Deposit")</f>
        <v>Deposit</v>
      </c>
      <c r="N658" s="43">
        <v>9684.06</v>
      </c>
      <c r="O658" s="83">
        <v>45986</v>
      </c>
      <c r="P658" s="87" t="s">
        <v>31</v>
      </c>
    </row>
    <row r="659" spans="1:16" x14ac:dyDescent="0.3">
      <c r="A659" s="77" t="s">
        <v>102</v>
      </c>
      <c r="B659" s="80" t="s">
        <v>77</v>
      </c>
      <c r="C659" s="43">
        <v>27120</v>
      </c>
      <c r="D659" s="43"/>
      <c r="E659" s="43">
        <v>27120</v>
      </c>
      <c r="F659" s="80" t="s">
        <v>75</v>
      </c>
      <c r="G659" s="83">
        <v>46074</v>
      </c>
      <c r="H659" s="83">
        <v>46079</v>
      </c>
      <c r="I659" s="4">
        <v>5</v>
      </c>
      <c r="J659" s="80" t="str">
        <f>TEXT(tblPayments[[#This Row],[Arrival]],"mmm")</f>
        <v>Feb</v>
      </c>
      <c r="K659" s="80">
        <f>MONTH(tblPayments[[#This Row],[Arrival]])</f>
        <v>2</v>
      </c>
      <c r="L659" s="80">
        <f>YEAR(tblPayments[[#This Row],[Arrival]])</f>
        <v>2026</v>
      </c>
      <c r="M659" s="80" t="str">
        <f>IF(tblPayments[[#This Row],[Balance]]=0,"Full Payment","Deposit")</f>
        <v>Deposit</v>
      </c>
      <c r="N659" s="43">
        <v>18453.75</v>
      </c>
      <c r="O659" s="83">
        <v>45899</v>
      </c>
      <c r="P659" s="87" t="s">
        <v>15</v>
      </c>
    </row>
    <row r="660" spans="1:16" x14ac:dyDescent="0.3">
      <c r="A660" s="77" t="s">
        <v>102</v>
      </c>
      <c r="B660" s="80" t="s">
        <v>77</v>
      </c>
      <c r="C660" s="43">
        <v>30773.279999999999</v>
      </c>
      <c r="D660" s="43">
        <v>30773.279999999999</v>
      </c>
      <c r="E660" s="43"/>
      <c r="F660" s="80"/>
      <c r="G660" s="83">
        <v>46074</v>
      </c>
      <c r="H660" s="83">
        <v>46078</v>
      </c>
      <c r="I660" s="4">
        <v>4</v>
      </c>
      <c r="J660" s="80" t="str">
        <f>TEXT(tblPayments[[#This Row],[Arrival]],"mmm")</f>
        <v>Feb</v>
      </c>
      <c r="K660" s="80">
        <f>MONTH(tblPayments[[#This Row],[Arrival]])</f>
        <v>2</v>
      </c>
      <c r="L660" s="80">
        <f>YEAR(tblPayments[[#This Row],[Arrival]])</f>
        <v>2026</v>
      </c>
      <c r="M660" s="80" t="str">
        <f>IF(tblPayments[[#This Row],[Balance]]=0,"Full Payment","Deposit")</f>
        <v>Full Payment</v>
      </c>
      <c r="N660" s="43">
        <v>15999.44</v>
      </c>
      <c r="O660" s="83">
        <v>45950</v>
      </c>
      <c r="P660" s="87" t="s">
        <v>31</v>
      </c>
    </row>
    <row r="661" spans="1:16" x14ac:dyDescent="0.3">
      <c r="A661" s="77" t="s">
        <v>102</v>
      </c>
      <c r="B661" s="80" t="s">
        <v>77</v>
      </c>
      <c r="C661" s="43">
        <v>20770.66</v>
      </c>
      <c r="D661" s="43"/>
      <c r="E661" s="43">
        <v>20770.66</v>
      </c>
      <c r="F661" s="80" t="s">
        <v>75</v>
      </c>
      <c r="G661" s="83">
        <v>46074</v>
      </c>
      <c r="H661" s="83">
        <v>46076</v>
      </c>
      <c r="I661" s="4">
        <v>2</v>
      </c>
      <c r="J661" s="80" t="str">
        <f>TEXT(tblPayments[[#This Row],[Arrival]],"mmm")</f>
        <v>Feb</v>
      </c>
      <c r="K661" s="80">
        <f>MONTH(tblPayments[[#This Row],[Arrival]])</f>
        <v>2</v>
      </c>
      <c r="L661" s="80">
        <f>YEAR(tblPayments[[#This Row],[Arrival]])</f>
        <v>2026</v>
      </c>
      <c r="M661" s="80" t="str">
        <f>IF(tblPayments[[#This Row],[Balance]]=0,"Full Payment","Deposit")</f>
        <v>Deposit</v>
      </c>
      <c r="N661" s="43">
        <v>6051.32</v>
      </c>
      <c r="O661" s="83">
        <v>45963</v>
      </c>
      <c r="P661" s="87" t="s">
        <v>59</v>
      </c>
    </row>
    <row r="662" spans="1:16" x14ac:dyDescent="0.3">
      <c r="A662" s="77" t="s">
        <v>102</v>
      </c>
      <c r="B662" s="80" t="s">
        <v>77</v>
      </c>
      <c r="C662" s="43">
        <v>3704</v>
      </c>
      <c r="D662" s="43"/>
      <c r="E662" s="43">
        <v>3704</v>
      </c>
      <c r="F662" s="80" t="s">
        <v>75</v>
      </c>
      <c r="G662" s="83">
        <v>46075</v>
      </c>
      <c r="H662" s="83">
        <v>46083</v>
      </c>
      <c r="I662" s="4">
        <v>8</v>
      </c>
      <c r="J662" s="80" t="str">
        <f>TEXT(tblPayments[[#This Row],[Arrival]],"mmm")</f>
        <v>Feb</v>
      </c>
      <c r="K662" s="80">
        <f>MONTH(tblPayments[[#This Row],[Arrival]])</f>
        <v>2</v>
      </c>
      <c r="L662" s="80">
        <f>YEAR(tblPayments[[#This Row],[Arrival]])</f>
        <v>2026</v>
      </c>
      <c r="M662" s="80" t="str">
        <f>IF(tblPayments[[#This Row],[Balance]]=0,"Full Payment","Deposit")</f>
        <v>Deposit</v>
      </c>
      <c r="N662" s="43">
        <v>1971.92</v>
      </c>
      <c r="O662" s="83">
        <v>45966</v>
      </c>
      <c r="P662" s="87" t="s">
        <v>63</v>
      </c>
    </row>
    <row r="663" spans="1:16" x14ac:dyDescent="0.3">
      <c r="A663" s="77" t="s">
        <v>102</v>
      </c>
      <c r="B663" s="80" t="s">
        <v>77</v>
      </c>
      <c r="C663" s="43">
        <v>7732.72</v>
      </c>
      <c r="D663" s="43"/>
      <c r="E663" s="43">
        <v>7732.72</v>
      </c>
      <c r="F663" s="80" t="s">
        <v>75</v>
      </c>
      <c r="G663" s="83">
        <v>46076</v>
      </c>
      <c r="H663" s="83">
        <v>46078</v>
      </c>
      <c r="I663" s="4">
        <v>2</v>
      </c>
      <c r="J663" s="80" t="str">
        <f>TEXT(tblPayments[[#This Row],[Arrival]],"mmm")</f>
        <v>Feb</v>
      </c>
      <c r="K663" s="80">
        <f>MONTH(tblPayments[[#This Row],[Arrival]])</f>
        <v>2</v>
      </c>
      <c r="L663" s="80">
        <f>YEAR(tblPayments[[#This Row],[Arrival]])</f>
        <v>2026</v>
      </c>
      <c r="M663" s="80" t="str">
        <f>IF(tblPayments[[#This Row],[Balance]]=0,"Full Payment","Deposit")</f>
        <v>Deposit</v>
      </c>
      <c r="N663" s="43">
        <v>5649.36</v>
      </c>
      <c r="O663" s="83">
        <v>45968</v>
      </c>
      <c r="P663" s="87" t="s">
        <v>31</v>
      </c>
    </row>
    <row r="664" spans="1:16" x14ac:dyDescent="0.3">
      <c r="A664" s="77" t="s">
        <v>102</v>
      </c>
      <c r="B664" s="80" t="s">
        <v>77</v>
      </c>
      <c r="C664" s="43">
        <v>18124</v>
      </c>
      <c r="D664" s="43"/>
      <c r="E664" s="43">
        <v>18124</v>
      </c>
      <c r="F664" s="80" t="s">
        <v>75</v>
      </c>
      <c r="G664" s="83">
        <v>46076</v>
      </c>
      <c r="H664" s="83">
        <v>46081</v>
      </c>
      <c r="I664" s="4">
        <v>5</v>
      </c>
      <c r="J664" s="80" t="str">
        <f>TEXT(tblPayments[[#This Row],[Arrival]],"mmm")</f>
        <v>Feb</v>
      </c>
      <c r="K664" s="80">
        <f>MONTH(tblPayments[[#This Row],[Arrival]])</f>
        <v>2</v>
      </c>
      <c r="L664" s="80">
        <f>YEAR(tblPayments[[#This Row],[Arrival]])</f>
        <v>2026</v>
      </c>
      <c r="M664" s="80" t="str">
        <f>IF(tblPayments[[#This Row],[Balance]]=0,"Full Payment","Deposit")</f>
        <v>Deposit</v>
      </c>
      <c r="N664" s="43">
        <v>8115.1</v>
      </c>
      <c r="O664" s="83">
        <v>45959</v>
      </c>
      <c r="P664" s="87" t="s">
        <v>26</v>
      </c>
    </row>
    <row r="665" spans="1:16" x14ac:dyDescent="0.3">
      <c r="A665" s="77" t="s">
        <v>102</v>
      </c>
      <c r="B665" s="80" t="s">
        <v>77</v>
      </c>
      <c r="C665" s="43">
        <v>16294</v>
      </c>
      <c r="D665" s="43">
        <v>4073.5</v>
      </c>
      <c r="E665" s="43">
        <v>12220.5</v>
      </c>
      <c r="F665" s="80" t="s">
        <v>72</v>
      </c>
      <c r="G665" s="83">
        <v>46076</v>
      </c>
      <c r="H665" s="83">
        <v>46080</v>
      </c>
      <c r="I665" s="4">
        <v>4</v>
      </c>
      <c r="J665" s="80" t="str">
        <f>TEXT(tblPayments[[#This Row],[Arrival]],"mmm")</f>
        <v>Feb</v>
      </c>
      <c r="K665" s="80">
        <f>MONTH(tblPayments[[#This Row],[Arrival]])</f>
        <v>2</v>
      </c>
      <c r="L665" s="80">
        <f>YEAR(tblPayments[[#This Row],[Arrival]])</f>
        <v>2026</v>
      </c>
      <c r="M665" s="80" t="str">
        <f>IF(tblPayments[[#This Row],[Balance]]=0,"Full Payment","Deposit")</f>
        <v>Deposit</v>
      </c>
      <c r="N665" s="43">
        <v>7570.22</v>
      </c>
      <c r="O665" s="83">
        <v>45995</v>
      </c>
      <c r="P665" s="87" t="s">
        <v>31</v>
      </c>
    </row>
    <row r="666" spans="1:16" x14ac:dyDescent="0.3">
      <c r="A666" s="77" t="s">
        <v>102</v>
      </c>
      <c r="B666" s="80" t="s">
        <v>77</v>
      </c>
      <c r="C666" s="43">
        <v>16294</v>
      </c>
      <c r="D666" s="43">
        <v>4073.5</v>
      </c>
      <c r="E666" s="43">
        <v>12220.5</v>
      </c>
      <c r="F666" s="80" t="s">
        <v>72</v>
      </c>
      <c r="G666" s="83">
        <v>46078</v>
      </c>
      <c r="H666" s="83">
        <v>46082</v>
      </c>
      <c r="I666" s="4">
        <v>4</v>
      </c>
      <c r="J666" s="80" t="str">
        <f>TEXT(tblPayments[[#This Row],[Arrival]],"mmm")</f>
        <v>Feb</v>
      </c>
      <c r="K666" s="80">
        <f>MONTH(tblPayments[[#This Row],[Arrival]])</f>
        <v>2</v>
      </c>
      <c r="L666" s="80">
        <f>YEAR(tblPayments[[#This Row],[Arrival]])</f>
        <v>2026</v>
      </c>
      <c r="M666" s="80" t="str">
        <f>IF(tblPayments[[#This Row],[Balance]]=0,"Full Payment","Deposit")</f>
        <v>Deposit</v>
      </c>
      <c r="N666" s="43">
        <v>7570.22</v>
      </c>
      <c r="O666" s="83">
        <v>45980</v>
      </c>
      <c r="P666" s="87" t="s">
        <v>31</v>
      </c>
    </row>
    <row r="667" spans="1:16" x14ac:dyDescent="0.3">
      <c r="A667" s="77" t="s">
        <v>102</v>
      </c>
      <c r="B667" s="80" t="s">
        <v>77</v>
      </c>
      <c r="C667" s="43">
        <v>45890.74</v>
      </c>
      <c r="D667" s="43">
        <v>33515.72</v>
      </c>
      <c r="E667" s="43">
        <v>12375.02</v>
      </c>
      <c r="F667" s="80" t="s">
        <v>72</v>
      </c>
      <c r="G667" s="83">
        <v>46078</v>
      </c>
      <c r="H667" s="83">
        <v>46085</v>
      </c>
      <c r="I667" s="4">
        <v>7</v>
      </c>
      <c r="J667" s="80" t="str">
        <f>TEXT(tblPayments[[#This Row],[Arrival]],"mmm")</f>
        <v>Feb</v>
      </c>
      <c r="K667" s="80">
        <f>MONTH(tblPayments[[#This Row],[Arrival]])</f>
        <v>2</v>
      </c>
      <c r="L667" s="80">
        <f>YEAR(tblPayments[[#This Row],[Arrival]])</f>
        <v>2026</v>
      </c>
      <c r="M667" s="80" t="str">
        <f>IF(tblPayments[[#This Row],[Balance]]=0,"Full Payment","Deposit")</f>
        <v>Deposit</v>
      </c>
      <c r="N667" s="43">
        <v>27999.02</v>
      </c>
      <c r="O667" s="83">
        <v>45950</v>
      </c>
      <c r="P667" s="87" t="s">
        <v>31</v>
      </c>
    </row>
    <row r="668" spans="1:16" x14ac:dyDescent="0.3">
      <c r="A668" s="77" t="s">
        <v>102</v>
      </c>
      <c r="B668" s="80" t="s">
        <v>77</v>
      </c>
      <c r="C668" s="43">
        <v>14472</v>
      </c>
      <c r="D668" s="43">
        <v>3698</v>
      </c>
      <c r="E668" s="43">
        <v>10774</v>
      </c>
      <c r="F668" s="80" t="s">
        <v>72</v>
      </c>
      <c r="G668" s="83">
        <v>46078</v>
      </c>
      <c r="H668" s="83">
        <v>46082</v>
      </c>
      <c r="I668" s="4">
        <v>4</v>
      </c>
      <c r="J668" s="80" t="str">
        <f>TEXT(tblPayments[[#This Row],[Arrival]],"mmm")</f>
        <v>Feb</v>
      </c>
      <c r="K668" s="80">
        <f>MONTH(tblPayments[[#This Row],[Arrival]])</f>
        <v>2</v>
      </c>
      <c r="L668" s="80">
        <f>YEAR(tblPayments[[#This Row],[Arrival]])</f>
        <v>2026</v>
      </c>
      <c r="M668" s="80" t="str">
        <f>IF(tblPayments[[#This Row],[Balance]]=0,"Full Payment","Deposit")</f>
        <v>Deposit</v>
      </c>
      <c r="N668" s="43">
        <v>4395.6099999999997</v>
      </c>
      <c r="O668" s="83">
        <v>45977</v>
      </c>
      <c r="P668" s="87" t="s">
        <v>31</v>
      </c>
    </row>
    <row r="669" spans="1:16" x14ac:dyDescent="0.3">
      <c r="A669" s="77" t="s">
        <v>102</v>
      </c>
      <c r="B669" s="80" t="s">
        <v>77</v>
      </c>
      <c r="C669" s="43">
        <v>16345</v>
      </c>
      <c r="D669" s="43"/>
      <c r="E669" s="43">
        <v>16345</v>
      </c>
      <c r="F669" s="80" t="s">
        <v>75</v>
      </c>
      <c r="G669" s="83">
        <v>46078</v>
      </c>
      <c r="H669" s="83">
        <v>46084</v>
      </c>
      <c r="I669" s="4">
        <v>6</v>
      </c>
      <c r="J669" s="80" t="str">
        <f>TEXT(tblPayments[[#This Row],[Arrival]],"mmm")</f>
        <v>Feb</v>
      </c>
      <c r="K669" s="80">
        <f>MONTH(tblPayments[[#This Row],[Arrival]])</f>
        <v>2</v>
      </c>
      <c r="L669" s="80">
        <f>YEAR(tblPayments[[#This Row],[Arrival]])</f>
        <v>2026</v>
      </c>
      <c r="M669" s="80" t="str">
        <f>IF(tblPayments[[#This Row],[Balance]]=0,"Full Payment","Deposit")</f>
        <v>Deposit</v>
      </c>
      <c r="N669" s="43">
        <v>6245.4</v>
      </c>
      <c r="O669" s="83">
        <v>45735</v>
      </c>
      <c r="P669" s="87" t="s">
        <v>2</v>
      </c>
    </row>
    <row r="670" spans="1:16" x14ac:dyDescent="0.3">
      <c r="A670" s="77" t="s">
        <v>102</v>
      </c>
      <c r="B670" s="80" t="s">
        <v>77</v>
      </c>
      <c r="C670" s="43">
        <v>25400</v>
      </c>
      <c r="D670" s="43">
        <v>6350</v>
      </c>
      <c r="E670" s="43">
        <v>19050</v>
      </c>
      <c r="F670" s="80" t="s">
        <v>72</v>
      </c>
      <c r="G670" s="83">
        <v>46078</v>
      </c>
      <c r="H670" s="83">
        <v>46083</v>
      </c>
      <c r="I670" s="4">
        <v>5</v>
      </c>
      <c r="J670" s="80" t="str">
        <f>TEXT(tblPayments[[#This Row],[Arrival]],"mmm")</f>
        <v>Feb</v>
      </c>
      <c r="K670" s="80">
        <f>MONTH(tblPayments[[#This Row],[Arrival]])</f>
        <v>2</v>
      </c>
      <c r="L670" s="80">
        <f>YEAR(tblPayments[[#This Row],[Arrival]])</f>
        <v>2026</v>
      </c>
      <c r="M670" s="80" t="str">
        <f>IF(tblPayments[[#This Row],[Balance]]=0,"Full Payment","Deposit")</f>
        <v>Deposit</v>
      </c>
      <c r="N670" s="43">
        <v>17117.349999999999</v>
      </c>
      <c r="O670" s="83">
        <v>45636</v>
      </c>
      <c r="P670" s="87" t="s">
        <v>2</v>
      </c>
    </row>
    <row r="671" spans="1:16" x14ac:dyDescent="0.3">
      <c r="A671" s="77" t="s">
        <v>102</v>
      </c>
      <c r="B671" s="80" t="s">
        <v>77</v>
      </c>
      <c r="C671" s="43">
        <v>5187.22</v>
      </c>
      <c r="D671" s="43">
        <v>5187.22</v>
      </c>
      <c r="E671" s="43"/>
      <c r="F671" s="80" t="s">
        <v>70</v>
      </c>
      <c r="G671" s="83">
        <v>46078</v>
      </c>
      <c r="H671" s="83">
        <v>46079</v>
      </c>
      <c r="I671" s="4">
        <v>1</v>
      </c>
      <c r="J671" s="80" t="str">
        <f>TEXT(tblPayments[[#This Row],[Arrival]],"mmm")</f>
        <v>Feb</v>
      </c>
      <c r="K671" s="80">
        <f>MONTH(tblPayments[[#This Row],[Arrival]])</f>
        <v>2</v>
      </c>
      <c r="L671" s="80">
        <f>YEAR(tblPayments[[#This Row],[Arrival]])</f>
        <v>2026</v>
      </c>
      <c r="M671" s="80" t="str">
        <f>IF(tblPayments[[#This Row],[Balance]]=0,"Full Payment","Deposit")</f>
        <v>Full Payment</v>
      </c>
      <c r="N671" s="43">
        <v>2556.79</v>
      </c>
      <c r="O671" s="83">
        <v>45998</v>
      </c>
      <c r="P671" s="87" t="s">
        <v>26</v>
      </c>
    </row>
    <row r="672" spans="1:16" x14ac:dyDescent="0.3">
      <c r="A672" s="77" t="s">
        <v>102</v>
      </c>
      <c r="B672" s="80" t="s">
        <v>77</v>
      </c>
      <c r="C672" s="43">
        <v>15296</v>
      </c>
      <c r="D672" s="43"/>
      <c r="E672" s="43">
        <v>15296</v>
      </c>
      <c r="F672" s="80" t="s">
        <v>75</v>
      </c>
      <c r="G672" s="83">
        <v>46078</v>
      </c>
      <c r="H672" s="83">
        <v>46082</v>
      </c>
      <c r="I672" s="4">
        <v>4</v>
      </c>
      <c r="J672" s="80" t="str">
        <f>TEXT(tblPayments[[#This Row],[Arrival]],"mmm")</f>
        <v>Feb</v>
      </c>
      <c r="K672" s="80">
        <f>MONTH(tblPayments[[#This Row],[Arrival]])</f>
        <v>2</v>
      </c>
      <c r="L672" s="80">
        <f>YEAR(tblPayments[[#This Row],[Arrival]])</f>
        <v>2026</v>
      </c>
      <c r="M672" s="80" t="str">
        <f>IF(tblPayments[[#This Row],[Balance]]=0,"Full Payment","Deposit")</f>
        <v>Deposit</v>
      </c>
      <c r="N672" s="43">
        <v>7463.38</v>
      </c>
      <c r="O672" s="83">
        <v>45986</v>
      </c>
      <c r="P672" s="87" t="s">
        <v>31</v>
      </c>
    </row>
    <row r="673" spans="1:16" x14ac:dyDescent="0.3">
      <c r="A673" s="77" t="s">
        <v>102</v>
      </c>
      <c r="B673" s="80" t="s">
        <v>77</v>
      </c>
      <c r="C673" s="43">
        <v>17142</v>
      </c>
      <c r="D673" s="43"/>
      <c r="E673" s="43">
        <v>17142</v>
      </c>
      <c r="F673" s="80" t="s">
        <v>75</v>
      </c>
      <c r="G673" s="83">
        <v>46078</v>
      </c>
      <c r="H673" s="83">
        <v>46082</v>
      </c>
      <c r="I673" s="4">
        <v>4</v>
      </c>
      <c r="J673" s="80" t="str">
        <f>TEXT(tblPayments[[#This Row],[Arrival]],"mmm")</f>
        <v>Feb</v>
      </c>
      <c r="K673" s="80">
        <f>MONTH(tblPayments[[#This Row],[Arrival]])</f>
        <v>2</v>
      </c>
      <c r="L673" s="80">
        <f>YEAR(tblPayments[[#This Row],[Arrival]])</f>
        <v>2026</v>
      </c>
      <c r="M673" s="80" t="str">
        <f>IF(tblPayments[[#This Row],[Balance]]=0,"Full Payment","Deposit")</f>
        <v>Deposit</v>
      </c>
      <c r="N673" s="43">
        <v>7562.58</v>
      </c>
      <c r="O673" s="83">
        <v>45980</v>
      </c>
      <c r="P673" s="87" t="s">
        <v>31</v>
      </c>
    </row>
    <row r="674" spans="1:16" x14ac:dyDescent="0.3">
      <c r="A674" s="77" t="s">
        <v>102</v>
      </c>
      <c r="B674" s="80" t="s">
        <v>77</v>
      </c>
      <c r="C674" s="43"/>
      <c r="D674" s="43"/>
      <c r="E674" s="43"/>
      <c r="F674" s="80"/>
      <c r="G674" s="83">
        <v>46078</v>
      </c>
      <c r="H674" s="83">
        <v>46085</v>
      </c>
      <c r="I674" s="4">
        <v>7</v>
      </c>
      <c r="J674" s="80" t="str">
        <f>TEXT(tblPayments[[#This Row],[Arrival]],"mmm")</f>
        <v>Feb</v>
      </c>
      <c r="K674" s="80">
        <f>MONTH(tblPayments[[#This Row],[Arrival]])</f>
        <v>2</v>
      </c>
      <c r="L674" s="80">
        <f>YEAR(tblPayments[[#This Row],[Arrival]])</f>
        <v>2026</v>
      </c>
      <c r="M674" s="80" t="str">
        <f>IF(tblPayments[[#This Row],[Balance]]=0,"Full Payment","Deposit")</f>
        <v>Full Payment</v>
      </c>
      <c r="N674" s="43">
        <v>14151.41</v>
      </c>
      <c r="O674" s="83"/>
      <c r="P674" s="87"/>
    </row>
    <row r="675" spans="1:16" x14ac:dyDescent="0.3">
      <c r="A675" s="77" t="s">
        <v>102</v>
      </c>
      <c r="B675" s="80" t="s">
        <v>77</v>
      </c>
      <c r="C675" s="43">
        <v>65133.599999999999</v>
      </c>
      <c r="D675" s="43">
        <v>65133.599999999999</v>
      </c>
      <c r="E675" s="43"/>
      <c r="F675" s="80" t="s">
        <v>70</v>
      </c>
      <c r="G675" s="83">
        <v>46079</v>
      </c>
      <c r="H675" s="83">
        <v>46083</v>
      </c>
      <c r="I675" s="4">
        <v>4</v>
      </c>
      <c r="J675" s="80" t="str">
        <f>TEXT(tblPayments[[#This Row],[Arrival]],"mmm")</f>
        <v>Feb</v>
      </c>
      <c r="K675" s="80">
        <f>MONTH(tblPayments[[#This Row],[Arrival]])</f>
        <v>2</v>
      </c>
      <c r="L675" s="80">
        <f>YEAR(tblPayments[[#This Row],[Arrival]])</f>
        <v>2026</v>
      </c>
      <c r="M675" s="80" t="str">
        <f>IF(tblPayments[[#This Row],[Balance]]=0,"Full Payment","Deposit")</f>
        <v>Full Payment</v>
      </c>
      <c r="N675" s="43">
        <v>43487.199999999997</v>
      </c>
      <c r="O675" s="83">
        <v>45866</v>
      </c>
      <c r="P675" s="87" t="s">
        <v>5</v>
      </c>
    </row>
    <row r="676" spans="1:16" x14ac:dyDescent="0.3">
      <c r="A676" s="77" t="s">
        <v>102</v>
      </c>
      <c r="B676" s="80" t="s">
        <v>77</v>
      </c>
      <c r="C676" s="43">
        <v>34119.25</v>
      </c>
      <c r="D676" s="43">
        <v>8529.81</v>
      </c>
      <c r="E676" s="43">
        <v>25589.439999999999</v>
      </c>
      <c r="F676" s="80" t="s">
        <v>72</v>
      </c>
      <c r="G676" s="83">
        <v>46079</v>
      </c>
      <c r="H676" s="83">
        <v>46084</v>
      </c>
      <c r="I676" s="4">
        <v>5</v>
      </c>
      <c r="J676" s="80" t="str">
        <f>TEXT(tblPayments[[#This Row],[Arrival]],"mmm")</f>
        <v>Feb</v>
      </c>
      <c r="K676" s="80">
        <f>MONTH(tblPayments[[#This Row],[Arrival]])</f>
        <v>2</v>
      </c>
      <c r="L676" s="80">
        <f>YEAR(tblPayments[[#This Row],[Arrival]])</f>
        <v>2026</v>
      </c>
      <c r="M676" s="80" t="str">
        <f>IF(tblPayments[[#This Row],[Balance]]=0,"Full Payment","Deposit")</f>
        <v>Deposit</v>
      </c>
      <c r="N676" s="43">
        <v>14018.05</v>
      </c>
      <c r="O676" s="83">
        <v>45953</v>
      </c>
      <c r="P676" s="87" t="s">
        <v>15</v>
      </c>
    </row>
    <row r="677" spans="1:16" x14ac:dyDescent="0.3">
      <c r="A677" s="77" t="s">
        <v>102</v>
      </c>
      <c r="B677" s="80" t="s">
        <v>77</v>
      </c>
      <c r="C677" s="43">
        <v>13461.68</v>
      </c>
      <c r="D677" s="43">
        <v>13461.68</v>
      </c>
      <c r="E677" s="43"/>
      <c r="F677" s="80" t="s">
        <v>73</v>
      </c>
      <c r="G677" s="83">
        <v>46079</v>
      </c>
      <c r="H677" s="83">
        <v>46083</v>
      </c>
      <c r="I677" s="4">
        <v>4</v>
      </c>
      <c r="J677" s="80" t="str">
        <f>TEXT(tblPayments[[#This Row],[Arrival]],"mmm")</f>
        <v>Feb</v>
      </c>
      <c r="K677" s="80">
        <f>MONTH(tblPayments[[#This Row],[Arrival]])</f>
        <v>2</v>
      </c>
      <c r="L677" s="80">
        <f>YEAR(tblPayments[[#This Row],[Arrival]])</f>
        <v>2026</v>
      </c>
      <c r="M677" s="80" t="str">
        <f>IF(tblPayments[[#This Row],[Balance]]=0,"Full Payment","Deposit")</f>
        <v>Full Payment</v>
      </c>
      <c r="N677" s="43">
        <v>3725.34</v>
      </c>
      <c r="O677" s="83">
        <v>45958</v>
      </c>
      <c r="P677" s="87" t="s">
        <v>13</v>
      </c>
    </row>
    <row r="678" spans="1:16" x14ac:dyDescent="0.3">
      <c r="A678" s="77" t="s">
        <v>102</v>
      </c>
      <c r="B678" s="80" t="s">
        <v>77</v>
      </c>
      <c r="C678" s="43"/>
      <c r="D678" s="43"/>
      <c r="E678" s="43"/>
      <c r="F678" s="80"/>
      <c r="G678" s="83">
        <v>46079</v>
      </c>
      <c r="H678" s="83">
        <v>46081</v>
      </c>
      <c r="I678" s="4">
        <v>2</v>
      </c>
      <c r="J678" s="80" t="str">
        <f>TEXT(tblPayments[[#This Row],[Arrival]],"mmm")</f>
        <v>Feb</v>
      </c>
      <c r="K678" s="80">
        <f>MONTH(tblPayments[[#This Row],[Arrival]])</f>
        <v>2</v>
      </c>
      <c r="L678" s="80">
        <f>YEAR(tblPayments[[#This Row],[Arrival]])</f>
        <v>2026</v>
      </c>
      <c r="M678" s="80" t="str">
        <f>IF(tblPayments[[#This Row],[Balance]]=0,"Full Payment","Deposit")</f>
        <v>Full Payment</v>
      </c>
      <c r="N678" s="43"/>
      <c r="O678" s="83"/>
      <c r="P678" s="87"/>
    </row>
    <row r="679" spans="1:16" x14ac:dyDescent="0.3">
      <c r="A679" s="77" t="s">
        <v>102</v>
      </c>
      <c r="B679" s="80" t="s">
        <v>77</v>
      </c>
      <c r="C679" s="43"/>
      <c r="D679" s="43"/>
      <c r="E679" s="43"/>
      <c r="F679" s="80"/>
      <c r="G679" s="83">
        <v>46081</v>
      </c>
      <c r="H679" s="83">
        <v>46083</v>
      </c>
      <c r="I679" s="4">
        <v>2</v>
      </c>
      <c r="J679" s="80" t="str">
        <f>TEXT(tblPayments[[#This Row],[Arrival]],"mmm")</f>
        <v>Feb</v>
      </c>
      <c r="K679" s="80">
        <f>MONTH(tblPayments[[#This Row],[Arrival]])</f>
        <v>2</v>
      </c>
      <c r="L679" s="80">
        <f>YEAR(tblPayments[[#This Row],[Arrival]])</f>
        <v>2026</v>
      </c>
      <c r="M679" s="80" t="str">
        <f>IF(tblPayments[[#This Row],[Balance]]=0,"Full Payment","Deposit")</f>
        <v>Full Payment</v>
      </c>
      <c r="N679" s="43"/>
      <c r="O679" s="83"/>
      <c r="P679" s="87"/>
    </row>
    <row r="680" spans="1:16" x14ac:dyDescent="0.3">
      <c r="A680" s="77" t="s">
        <v>102</v>
      </c>
      <c r="B680" s="80" t="s">
        <v>77</v>
      </c>
      <c r="C680" s="43">
        <v>31024.639999999999</v>
      </c>
      <c r="D680" s="43">
        <v>7756.16</v>
      </c>
      <c r="E680" s="43">
        <v>23268.48</v>
      </c>
      <c r="F680" s="80" t="s">
        <v>72</v>
      </c>
      <c r="G680" s="83">
        <v>46080</v>
      </c>
      <c r="H680" s="83">
        <v>46085</v>
      </c>
      <c r="I680" s="4">
        <v>5</v>
      </c>
      <c r="J680" s="80" t="str">
        <f>TEXT(tblPayments[[#This Row],[Arrival]],"mmm")</f>
        <v>Feb</v>
      </c>
      <c r="K680" s="80">
        <f>MONTH(tblPayments[[#This Row],[Arrival]])</f>
        <v>2</v>
      </c>
      <c r="L680" s="80">
        <f>YEAR(tblPayments[[#This Row],[Arrival]])</f>
        <v>2026</v>
      </c>
      <c r="M680" s="80" t="str">
        <f>IF(tblPayments[[#This Row],[Balance]]=0,"Full Payment","Deposit")</f>
        <v>Deposit</v>
      </c>
      <c r="N680" s="43">
        <v>21030.74</v>
      </c>
      <c r="O680" s="83">
        <v>45952</v>
      </c>
      <c r="P680" s="87" t="s">
        <v>12</v>
      </c>
    </row>
    <row r="681" spans="1:16" x14ac:dyDescent="0.3">
      <c r="A681" s="77" t="s">
        <v>102</v>
      </c>
      <c r="B681" s="80" t="s">
        <v>77</v>
      </c>
      <c r="C681" s="43">
        <v>11976</v>
      </c>
      <c r="D681" s="43"/>
      <c r="E681" s="43">
        <v>11976</v>
      </c>
      <c r="F681" s="80" t="s">
        <v>75</v>
      </c>
      <c r="G681" s="83">
        <v>46080</v>
      </c>
      <c r="H681" s="83">
        <v>46084</v>
      </c>
      <c r="I681" s="4">
        <v>4</v>
      </c>
      <c r="J681" s="80" t="str">
        <f>TEXT(tblPayments[[#This Row],[Arrival]],"mmm")</f>
        <v>Feb</v>
      </c>
      <c r="K681" s="80">
        <f>MONTH(tblPayments[[#This Row],[Arrival]])</f>
        <v>2</v>
      </c>
      <c r="L681" s="80">
        <f>YEAR(tblPayments[[#This Row],[Arrival]])</f>
        <v>2026</v>
      </c>
      <c r="M681" s="80" t="str">
        <f>IF(tblPayments[[#This Row],[Balance]]=0,"Full Payment","Deposit")</f>
        <v>Deposit</v>
      </c>
      <c r="N681" s="43">
        <v>6806.52</v>
      </c>
      <c r="O681" s="83">
        <v>45930</v>
      </c>
      <c r="P681" s="87" t="s">
        <v>13</v>
      </c>
    </row>
    <row r="682" spans="1:16" x14ac:dyDescent="0.3">
      <c r="A682" s="77" t="s">
        <v>102</v>
      </c>
      <c r="B682" s="80" t="s">
        <v>77</v>
      </c>
      <c r="C682" s="43">
        <v>288</v>
      </c>
      <c r="D682" s="43"/>
      <c r="E682" s="43">
        <v>288</v>
      </c>
      <c r="F682" s="80" t="s">
        <v>82</v>
      </c>
      <c r="G682" s="83">
        <v>46081</v>
      </c>
      <c r="H682" s="83">
        <v>46085</v>
      </c>
      <c r="I682" s="4">
        <v>4</v>
      </c>
      <c r="J682" s="80" t="str">
        <f>TEXT(tblPayments[[#This Row],[Arrival]],"mmm")</f>
        <v>Feb</v>
      </c>
      <c r="K682" s="80">
        <f>MONTH(tblPayments[[#This Row],[Arrival]])</f>
        <v>2</v>
      </c>
      <c r="L682" s="80">
        <f>YEAR(tblPayments[[#This Row],[Arrival]])</f>
        <v>2026</v>
      </c>
      <c r="M682" s="80" t="str">
        <f>IF(tblPayments[[#This Row],[Balance]]=0,"Full Payment","Deposit")</f>
        <v>Deposit</v>
      </c>
      <c r="N682" s="43">
        <v>0</v>
      </c>
      <c r="O682" s="83">
        <v>45968</v>
      </c>
      <c r="P682" s="87" t="s">
        <v>24</v>
      </c>
    </row>
    <row r="683" spans="1:16" x14ac:dyDescent="0.3">
      <c r="A683" s="77" t="s">
        <v>102</v>
      </c>
      <c r="B683" s="80" t="s">
        <v>77</v>
      </c>
      <c r="C683" s="43">
        <v>24537.81</v>
      </c>
      <c r="D683" s="43">
        <v>24537.81</v>
      </c>
      <c r="E683" s="43"/>
      <c r="F683" s="80" t="s">
        <v>70</v>
      </c>
      <c r="G683" s="83">
        <v>46081</v>
      </c>
      <c r="H683" s="83">
        <v>46088</v>
      </c>
      <c r="I683" s="4">
        <v>7</v>
      </c>
      <c r="J683" s="80" t="str">
        <f>TEXT(tblPayments[[#This Row],[Arrival]],"mmm")</f>
        <v>Feb</v>
      </c>
      <c r="K683" s="80">
        <f>MONTH(tblPayments[[#This Row],[Arrival]])</f>
        <v>2</v>
      </c>
      <c r="L683" s="80">
        <f>YEAR(tblPayments[[#This Row],[Arrival]])</f>
        <v>2026</v>
      </c>
      <c r="M683" s="80" t="str">
        <f>IF(tblPayments[[#This Row],[Balance]]=0,"Full Payment","Deposit")</f>
        <v>Full Payment</v>
      </c>
      <c r="N683" s="43">
        <v>15918.63</v>
      </c>
      <c r="O683" s="83">
        <v>45989</v>
      </c>
      <c r="P683" s="87" t="s">
        <v>40</v>
      </c>
    </row>
    <row r="684" spans="1:16" x14ac:dyDescent="0.3">
      <c r="A684" s="77" t="s">
        <v>102</v>
      </c>
      <c r="B684" s="80" t="s">
        <v>77</v>
      </c>
      <c r="C684" s="43">
        <v>35847.14</v>
      </c>
      <c r="D684" s="43"/>
      <c r="E684" s="43">
        <v>35847.14</v>
      </c>
      <c r="F684" s="80" t="s">
        <v>75</v>
      </c>
      <c r="G684" s="83">
        <v>46082</v>
      </c>
      <c r="H684" s="83">
        <v>46089</v>
      </c>
      <c r="I684" s="4">
        <v>7</v>
      </c>
      <c r="J684" s="80" t="str">
        <f>TEXT(tblPayments[[#This Row],[Arrival]],"mmm")</f>
        <v>Mar</v>
      </c>
      <c r="K684" s="80">
        <f>MONTH(tblPayments[[#This Row],[Arrival]])</f>
        <v>3</v>
      </c>
      <c r="L684" s="80">
        <f>YEAR(tblPayments[[#This Row],[Arrival]])</f>
        <v>2026</v>
      </c>
      <c r="M684" s="80" t="str">
        <f>IF(tblPayments[[#This Row],[Balance]]=0,"Full Payment","Deposit")</f>
        <v>Deposit</v>
      </c>
      <c r="N684" s="43">
        <v>23001.5</v>
      </c>
      <c r="O684" s="83">
        <v>45993</v>
      </c>
      <c r="P684" s="87" t="s">
        <v>34</v>
      </c>
    </row>
    <row r="685" spans="1:16" x14ac:dyDescent="0.3">
      <c r="A685" s="77" t="s">
        <v>102</v>
      </c>
      <c r="B685" s="80" t="s">
        <v>77</v>
      </c>
      <c r="C685" s="43">
        <v>36538.28</v>
      </c>
      <c r="D685" s="43"/>
      <c r="E685" s="43">
        <v>36538.28</v>
      </c>
      <c r="F685" s="80" t="s">
        <v>75</v>
      </c>
      <c r="G685" s="83">
        <v>46083</v>
      </c>
      <c r="H685" s="83">
        <v>46089</v>
      </c>
      <c r="I685" s="4">
        <v>6</v>
      </c>
      <c r="J685" s="80" t="str">
        <f>TEXT(tblPayments[[#This Row],[Arrival]],"mmm")</f>
        <v>Mar</v>
      </c>
      <c r="K685" s="80">
        <f>MONTH(tblPayments[[#This Row],[Arrival]])</f>
        <v>3</v>
      </c>
      <c r="L685" s="80">
        <f>YEAR(tblPayments[[#This Row],[Arrival]])</f>
        <v>2026</v>
      </c>
      <c r="M685" s="80" t="str">
        <f>IF(tblPayments[[#This Row],[Balance]]=0,"Full Payment","Deposit")</f>
        <v>Deposit</v>
      </c>
      <c r="N685" s="43">
        <v>13747.14</v>
      </c>
      <c r="O685" s="83">
        <v>46001</v>
      </c>
      <c r="P685" s="87" t="s">
        <v>2</v>
      </c>
    </row>
    <row r="686" spans="1:16" x14ac:dyDescent="0.3">
      <c r="A686" s="77" t="s">
        <v>102</v>
      </c>
      <c r="B686" s="80" t="s">
        <v>77</v>
      </c>
      <c r="C686" s="43">
        <v>0</v>
      </c>
      <c r="D686" s="43"/>
      <c r="E686" s="43">
        <v>0</v>
      </c>
      <c r="F686" s="80" t="s">
        <v>73</v>
      </c>
      <c r="G686" s="83">
        <v>46085</v>
      </c>
      <c r="H686" s="83">
        <v>46087</v>
      </c>
      <c r="I686" s="4">
        <v>2</v>
      </c>
      <c r="J686" s="80" t="str">
        <f>TEXT(tblPayments[[#This Row],[Arrival]],"mmm")</f>
        <v>Mar</v>
      </c>
      <c r="K686" s="80">
        <f>MONTH(tblPayments[[#This Row],[Arrival]])</f>
        <v>3</v>
      </c>
      <c r="L686" s="80">
        <f>YEAR(tblPayments[[#This Row],[Arrival]])</f>
        <v>2026</v>
      </c>
      <c r="M686" s="80" t="str">
        <f>IF(tblPayments[[#This Row],[Balance]]=0,"Full Payment","Deposit")</f>
        <v>Full Payment</v>
      </c>
      <c r="N686" s="43">
        <v>0</v>
      </c>
      <c r="O686" s="83">
        <v>45961</v>
      </c>
      <c r="P686" s="87" t="s">
        <v>31</v>
      </c>
    </row>
    <row r="687" spans="1:16" x14ac:dyDescent="0.3">
      <c r="A687" s="77" t="s">
        <v>102</v>
      </c>
      <c r="B687" s="80" t="s">
        <v>77</v>
      </c>
      <c r="C687" s="43">
        <v>14190.41</v>
      </c>
      <c r="D687" s="43"/>
      <c r="E687" s="43">
        <v>14190.41</v>
      </c>
      <c r="F687" s="80" t="s">
        <v>75</v>
      </c>
      <c r="G687" s="83">
        <v>46085</v>
      </c>
      <c r="H687" s="83">
        <v>46088</v>
      </c>
      <c r="I687" s="4">
        <v>3</v>
      </c>
      <c r="J687" s="80" t="str">
        <f>TEXT(tblPayments[[#This Row],[Arrival]],"mmm")</f>
        <v>Mar</v>
      </c>
      <c r="K687" s="80">
        <f>MONTH(tblPayments[[#This Row],[Arrival]])</f>
        <v>3</v>
      </c>
      <c r="L687" s="80">
        <f>YEAR(tblPayments[[#This Row],[Arrival]])</f>
        <v>2026</v>
      </c>
      <c r="M687" s="80" t="str">
        <f>IF(tblPayments[[#This Row],[Balance]]=0,"Full Payment","Deposit")</f>
        <v>Deposit</v>
      </c>
      <c r="N687" s="43">
        <v>8492.3700000000008</v>
      </c>
      <c r="O687" s="83">
        <v>45993</v>
      </c>
      <c r="P687" s="87" t="s">
        <v>15</v>
      </c>
    </row>
    <row r="688" spans="1:16" x14ac:dyDescent="0.3">
      <c r="A688" s="77" t="s">
        <v>102</v>
      </c>
      <c r="B688" s="80" t="s">
        <v>77</v>
      </c>
      <c r="C688" s="43">
        <v>21619.25</v>
      </c>
      <c r="D688" s="43">
        <v>5404.81</v>
      </c>
      <c r="E688" s="43">
        <v>16214.44</v>
      </c>
      <c r="F688" s="80" t="s">
        <v>72</v>
      </c>
      <c r="G688" s="83">
        <v>46086</v>
      </c>
      <c r="H688" s="83">
        <v>46091</v>
      </c>
      <c r="I688" s="4">
        <v>5</v>
      </c>
      <c r="J688" s="80" t="str">
        <f>TEXT(tblPayments[[#This Row],[Arrival]],"mmm")</f>
        <v>Mar</v>
      </c>
      <c r="K688" s="80">
        <f>MONTH(tblPayments[[#This Row],[Arrival]])</f>
        <v>3</v>
      </c>
      <c r="L688" s="80">
        <f>YEAR(tblPayments[[#This Row],[Arrival]])</f>
        <v>2026</v>
      </c>
      <c r="M688" s="80" t="str">
        <f>IF(tblPayments[[#This Row],[Balance]]=0,"Full Payment","Deposit")</f>
        <v>Deposit</v>
      </c>
      <c r="N688" s="43">
        <v>13926.45</v>
      </c>
      <c r="O688" s="83">
        <v>45991</v>
      </c>
      <c r="P688" s="87" t="s">
        <v>16</v>
      </c>
    </row>
    <row r="689" spans="1:16" x14ac:dyDescent="0.3">
      <c r="A689" s="77" t="s">
        <v>102</v>
      </c>
      <c r="B689" s="80" t="s">
        <v>77</v>
      </c>
      <c r="C689" s="43">
        <v>11172</v>
      </c>
      <c r="D689" s="43"/>
      <c r="E689" s="43">
        <v>11172</v>
      </c>
      <c r="F689" s="80" t="s">
        <v>75</v>
      </c>
      <c r="G689" s="83">
        <v>46086</v>
      </c>
      <c r="H689" s="83">
        <v>46089</v>
      </c>
      <c r="I689" s="4">
        <v>3</v>
      </c>
      <c r="J689" s="80" t="str">
        <f>TEXT(tblPayments[[#This Row],[Arrival]],"mmm")</f>
        <v>Mar</v>
      </c>
      <c r="K689" s="80">
        <f>MONTH(tblPayments[[#This Row],[Arrival]])</f>
        <v>3</v>
      </c>
      <c r="L689" s="80">
        <f>YEAR(tblPayments[[#This Row],[Arrival]])</f>
        <v>2026</v>
      </c>
      <c r="M689" s="80" t="str">
        <f>IF(tblPayments[[#This Row],[Balance]]=0,"Full Payment","Deposit")</f>
        <v>Deposit</v>
      </c>
      <c r="N689" s="43">
        <v>5990.67</v>
      </c>
      <c r="O689" s="83">
        <v>45996</v>
      </c>
      <c r="P689" s="87" t="s">
        <v>14</v>
      </c>
    </row>
    <row r="690" spans="1:16" x14ac:dyDescent="0.3">
      <c r="A690" s="77" t="s">
        <v>102</v>
      </c>
      <c r="B690" s="80" t="s">
        <v>77</v>
      </c>
      <c r="C690" s="43">
        <v>122505.82</v>
      </c>
      <c r="D690" s="43"/>
      <c r="E690" s="43">
        <v>122505.82</v>
      </c>
      <c r="F690" s="80" t="s">
        <v>75</v>
      </c>
      <c r="G690" s="83">
        <v>46086</v>
      </c>
      <c r="H690" s="83">
        <v>46096</v>
      </c>
      <c r="I690" s="4">
        <v>10</v>
      </c>
      <c r="J690" s="80" t="str">
        <f>TEXT(tblPayments[[#This Row],[Arrival]],"mmm")</f>
        <v>Mar</v>
      </c>
      <c r="K690" s="80">
        <f>MONTH(tblPayments[[#This Row],[Arrival]])</f>
        <v>3</v>
      </c>
      <c r="L690" s="80">
        <f>YEAR(tblPayments[[#This Row],[Arrival]])</f>
        <v>2026</v>
      </c>
      <c r="M690" s="80" t="str">
        <f>IF(tblPayments[[#This Row],[Balance]]=0,"Full Payment","Deposit")</f>
        <v>Deposit</v>
      </c>
      <c r="N690" s="43">
        <v>0</v>
      </c>
      <c r="O690" s="83">
        <v>45896</v>
      </c>
      <c r="P690" s="87"/>
    </row>
    <row r="691" spans="1:16" x14ac:dyDescent="0.3">
      <c r="A691" s="77" t="s">
        <v>102</v>
      </c>
      <c r="B691" s="80" t="s">
        <v>77</v>
      </c>
      <c r="C691" s="43">
        <v>0</v>
      </c>
      <c r="D691" s="43"/>
      <c r="E691" s="43">
        <v>0</v>
      </c>
      <c r="F691" s="80" t="s">
        <v>73</v>
      </c>
      <c r="G691" s="83">
        <v>46086</v>
      </c>
      <c r="H691" s="83">
        <v>46088</v>
      </c>
      <c r="I691" s="4">
        <v>2</v>
      </c>
      <c r="J691" s="80" t="str">
        <f>TEXT(tblPayments[[#This Row],[Arrival]],"mmm")</f>
        <v>Mar</v>
      </c>
      <c r="K691" s="80">
        <f>MONTH(tblPayments[[#This Row],[Arrival]])</f>
        <v>3</v>
      </c>
      <c r="L691" s="80">
        <f>YEAR(tblPayments[[#This Row],[Arrival]])</f>
        <v>2026</v>
      </c>
      <c r="M691" s="80" t="str">
        <f>IF(tblPayments[[#This Row],[Balance]]=0,"Full Payment","Deposit")</f>
        <v>Full Payment</v>
      </c>
      <c r="N691" s="43">
        <v>0</v>
      </c>
      <c r="O691" s="83">
        <v>45993</v>
      </c>
      <c r="P691" s="87" t="s">
        <v>15</v>
      </c>
    </row>
    <row r="692" spans="1:16" x14ac:dyDescent="0.3">
      <c r="A692" s="77" t="s">
        <v>102</v>
      </c>
      <c r="B692" s="80" t="s">
        <v>77</v>
      </c>
      <c r="C692" s="43">
        <v>27879.68</v>
      </c>
      <c r="D692" s="43"/>
      <c r="E692" s="43">
        <v>27879.68</v>
      </c>
      <c r="F692" s="80" t="s">
        <v>75</v>
      </c>
      <c r="G692" s="83">
        <v>46086</v>
      </c>
      <c r="H692" s="83">
        <v>46091</v>
      </c>
      <c r="I692" s="4">
        <v>5</v>
      </c>
      <c r="J692" s="80" t="str">
        <f>TEXT(tblPayments[[#This Row],[Arrival]],"mmm")</f>
        <v>Mar</v>
      </c>
      <c r="K692" s="80">
        <f>MONTH(tblPayments[[#This Row],[Arrival]])</f>
        <v>3</v>
      </c>
      <c r="L692" s="80">
        <f>YEAR(tblPayments[[#This Row],[Arrival]])</f>
        <v>2026</v>
      </c>
      <c r="M692" s="80" t="str">
        <f>IF(tblPayments[[#This Row],[Balance]]=0,"Full Payment","Deposit")</f>
        <v>Deposit</v>
      </c>
      <c r="N692" s="43">
        <v>0</v>
      </c>
      <c r="O692" s="83">
        <v>45926</v>
      </c>
      <c r="P692" s="87" t="s">
        <v>15</v>
      </c>
    </row>
    <row r="693" spans="1:16" x14ac:dyDescent="0.3">
      <c r="A693" s="77" t="s">
        <v>102</v>
      </c>
      <c r="B693" s="80" t="s">
        <v>77</v>
      </c>
      <c r="C693" s="43">
        <v>16696</v>
      </c>
      <c r="D693" s="43"/>
      <c r="E693" s="43">
        <v>16696</v>
      </c>
      <c r="F693" s="80" t="s">
        <v>75</v>
      </c>
      <c r="G693" s="83">
        <v>46087</v>
      </c>
      <c r="H693" s="83">
        <v>46091</v>
      </c>
      <c r="I693" s="4">
        <v>4</v>
      </c>
      <c r="J693" s="80" t="str">
        <f>TEXT(tblPayments[[#This Row],[Arrival]],"mmm")</f>
        <v>Mar</v>
      </c>
      <c r="K693" s="80">
        <f>MONTH(tblPayments[[#This Row],[Arrival]])</f>
        <v>3</v>
      </c>
      <c r="L693" s="80">
        <f>YEAR(tblPayments[[#This Row],[Arrival]])</f>
        <v>2026</v>
      </c>
      <c r="M693" s="80" t="str">
        <f>IF(tblPayments[[#This Row],[Balance]]=0,"Full Payment","Deposit")</f>
        <v>Deposit</v>
      </c>
      <c r="N693" s="43">
        <v>8458.48</v>
      </c>
      <c r="O693" s="83">
        <v>45971</v>
      </c>
      <c r="P693" s="87" t="s">
        <v>31</v>
      </c>
    </row>
    <row r="694" spans="1:16" x14ac:dyDescent="0.3">
      <c r="A694" s="77" t="s">
        <v>102</v>
      </c>
      <c r="B694" s="80" t="s">
        <v>77</v>
      </c>
      <c r="C694" s="43">
        <v>52716.32</v>
      </c>
      <c r="D694" s="43"/>
      <c r="E694" s="43">
        <v>52716.32</v>
      </c>
      <c r="F694" s="80" t="s">
        <v>75</v>
      </c>
      <c r="G694" s="83">
        <v>46087</v>
      </c>
      <c r="H694" s="83">
        <v>46095</v>
      </c>
      <c r="I694" s="4">
        <v>8</v>
      </c>
      <c r="J694" s="80" t="str">
        <f>TEXT(tblPayments[[#This Row],[Arrival]],"mmm")</f>
        <v>Mar</v>
      </c>
      <c r="K694" s="80">
        <f>MONTH(tblPayments[[#This Row],[Arrival]])</f>
        <v>3</v>
      </c>
      <c r="L694" s="80">
        <f>YEAR(tblPayments[[#This Row],[Arrival]])</f>
        <v>2026</v>
      </c>
      <c r="M694" s="80" t="str">
        <f>IF(tblPayments[[#This Row],[Balance]]=0,"Full Payment","Deposit")</f>
        <v>Deposit</v>
      </c>
      <c r="N694" s="43">
        <v>21202.959999999999</v>
      </c>
      <c r="O694" s="83">
        <v>45791</v>
      </c>
      <c r="P694" s="87" t="s">
        <v>2</v>
      </c>
    </row>
    <row r="695" spans="1:16" x14ac:dyDescent="0.3">
      <c r="A695" s="77" t="s">
        <v>102</v>
      </c>
      <c r="B695" s="80" t="s">
        <v>77</v>
      </c>
      <c r="C695" s="43">
        <v>37768</v>
      </c>
      <c r="D695" s="43"/>
      <c r="E695" s="43">
        <v>37768</v>
      </c>
      <c r="F695" s="80" t="s">
        <v>75</v>
      </c>
      <c r="G695" s="83">
        <v>46088</v>
      </c>
      <c r="H695" s="83">
        <v>46094</v>
      </c>
      <c r="I695" s="4">
        <v>6</v>
      </c>
      <c r="J695" s="80" t="str">
        <f>TEXT(tblPayments[[#This Row],[Arrival]],"mmm")</f>
        <v>Mar</v>
      </c>
      <c r="K695" s="80">
        <f>MONTH(tblPayments[[#This Row],[Arrival]])</f>
        <v>3</v>
      </c>
      <c r="L695" s="80">
        <f>YEAR(tblPayments[[#This Row],[Arrival]])</f>
        <v>2026</v>
      </c>
      <c r="M695" s="80" t="str">
        <f>IF(tblPayments[[#This Row],[Balance]]=0,"Full Payment","Deposit")</f>
        <v>Deposit</v>
      </c>
      <c r="N695" s="43">
        <v>16876.439999999999</v>
      </c>
      <c r="O695" s="83">
        <v>45905</v>
      </c>
      <c r="P695" s="87" t="s">
        <v>2</v>
      </c>
    </row>
    <row r="696" spans="1:16" x14ac:dyDescent="0.3">
      <c r="A696" s="77" t="s">
        <v>102</v>
      </c>
      <c r="B696" s="80" t="s">
        <v>77</v>
      </c>
      <c r="C696" s="43">
        <v>0</v>
      </c>
      <c r="D696" s="43"/>
      <c r="E696" s="43">
        <v>0</v>
      </c>
      <c r="F696" s="80" t="s">
        <v>73</v>
      </c>
      <c r="G696" s="83">
        <v>46088</v>
      </c>
      <c r="H696" s="83">
        <v>46095</v>
      </c>
      <c r="I696" s="4">
        <v>7</v>
      </c>
      <c r="J696" s="80" t="str">
        <f>TEXT(tblPayments[[#This Row],[Arrival]],"mmm")</f>
        <v>Mar</v>
      </c>
      <c r="K696" s="80">
        <f>MONTH(tblPayments[[#This Row],[Arrival]])</f>
        <v>3</v>
      </c>
      <c r="L696" s="80">
        <f>YEAR(tblPayments[[#This Row],[Arrival]])</f>
        <v>2026</v>
      </c>
      <c r="M696" s="80" t="str">
        <f>IF(tblPayments[[#This Row],[Balance]]=0,"Full Payment","Deposit")</f>
        <v>Full Payment</v>
      </c>
      <c r="N696" s="43">
        <v>0</v>
      </c>
      <c r="O696" s="83">
        <v>45815</v>
      </c>
      <c r="P696" s="87" t="s">
        <v>2</v>
      </c>
    </row>
    <row r="697" spans="1:16" x14ac:dyDescent="0.3">
      <c r="A697" s="77" t="s">
        <v>102</v>
      </c>
      <c r="B697" s="80" t="s">
        <v>77</v>
      </c>
      <c r="C697" s="43">
        <v>22378.799999999999</v>
      </c>
      <c r="D697" s="43"/>
      <c r="E697" s="43">
        <v>22378.799999999999</v>
      </c>
      <c r="F697" s="80" t="s">
        <v>75</v>
      </c>
      <c r="G697" s="83">
        <v>46088</v>
      </c>
      <c r="H697" s="83">
        <v>46093</v>
      </c>
      <c r="I697" s="4">
        <v>5</v>
      </c>
      <c r="J697" s="80" t="str">
        <f>TEXT(tblPayments[[#This Row],[Arrival]],"mmm")</f>
        <v>Mar</v>
      </c>
      <c r="K697" s="80">
        <f>MONTH(tblPayments[[#This Row],[Arrival]])</f>
        <v>3</v>
      </c>
      <c r="L697" s="80">
        <f>YEAR(tblPayments[[#This Row],[Arrival]])</f>
        <v>2026</v>
      </c>
      <c r="M697" s="80" t="str">
        <f>IF(tblPayments[[#This Row],[Balance]]=0,"Full Payment","Deposit")</f>
        <v>Deposit</v>
      </c>
      <c r="N697" s="43">
        <v>12548.55</v>
      </c>
      <c r="O697" s="83">
        <v>45904</v>
      </c>
      <c r="P697" s="87" t="s">
        <v>2</v>
      </c>
    </row>
    <row r="698" spans="1:16" x14ac:dyDescent="0.3">
      <c r="A698" s="77" t="s">
        <v>102</v>
      </c>
      <c r="B698" s="80" t="s">
        <v>77</v>
      </c>
      <c r="C698" s="43">
        <v>35254.400000000001</v>
      </c>
      <c r="D698" s="43"/>
      <c r="E698" s="43">
        <v>35254.400000000001</v>
      </c>
      <c r="F698" s="80" t="s">
        <v>75</v>
      </c>
      <c r="G698" s="83">
        <v>46090</v>
      </c>
      <c r="H698" s="83">
        <v>46097</v>
      </c>
      <c r="I698" s="4">
        <v>7</v>
      </c>
      <c r="J698" s="80" t="str">
        <f>TEXT(tblPayments[[#This Row],[Arrival]],"mmm")</f>
        <v>Mar</v>
      </c>
      <c r="K698" s="80">
        <f>MONTH(tblPayments[[#This Row],[Arrival]])</f>
        <v>3</v>
      </c>
      <c r="L698" s="80">
        <f>YEAR(tblPayments[[#This Row],[Arrival]])</f>
        <v>2026</v>
      </c>
      <c r="M698" s="80" t="str">
        <f>IF(tblPayments[[#This Row],[Balance]]=0,"Full Payment","Deposit")</f>
        <v>Deposit</v>
      </c>
      <c r="N698" s="43">
        <v>20239.66</v>
      </c>
      <c r="O698" s="83">
        <v>45863</v>
      </c>
      <c r="P698" s="87" t="s">
        <v>27</v>
      </c>
    </row>
    <row r="699" spans="1:16" x14ac:dyDescent="0.3">
      <c r="A699" s="77" t="s">
        <v>102</v>
      </c>
      <c r="B699" s="80" t="s">
        <v>77</v>
      </c>
      <c r="C699" s="43">
        <v>30340</v>
      </c>
      <c r="D699" s="43"/>
      <c r="E699" s="43">
        <v>30340</v>
      </c>
      <c r="F699" s="80" t="s">
        <v>75</v>
      </c>
      <c r="G699" s="83">
        <v>46090</v>
      </c>
      <c r="H699" s="83">
        <v>46094</v>
      </c>
      <c r="I699" s="4">
        <v>4</v>
      </c>
      <c r="J699" s="80" t="str">
        <f>TEXT(tblPayments[[#This Row],[Arrival]],"mmm")</f>
        <v>Mar</v>
      </c>
      <c r="K699" s="80">
        <f>MONTH(tblPayments[[#This Row],[Arrival]])</f>
        <v>3</v>
      </c>
      <c r="L699" s="80">
        <f>YEAR(tblPayments[[#This Row],[Arrival]])</f>
        <v>2026</v>
      </c>
      <c r="M699" s="80" t="str">
        <f>IF(tblPayments[[#This Row],[Balance]]=0,"Full Payment","Deposit")</f>
        <v>Deposit</v>
      </c>
      <c r="N699" s="43">
        <v>5490.27</v>
      </c>
      <c r="O699" s="83">
        <v>45995</v>
      </c>
      <c r="P699" s="87" t="s">
        <v>14</v>
      </c>
    </row>
    <row r="700" spans="1:16" x14ac:dyDescent="0.3">
      <c r="A700" s="77" t="s">
        <v>102</v>
      </c>
      <c r="B700" s="80" t="s">
        <v>77</v>
      </c>
      <c r="C700" s="43">
        <v>10972</v>
      </c>
      <c r="D700" s="43"/>
      <c r="E700" s="43">
        <v>10972</v>
      </c>
      <c r="F700" s="80" t="s">
        <v>75</v>
      </c>
      <c r="G700" s="83">
        <v>46092</v>
      </c>
      <c r="H700" s="83">
        <v>46096</v>
      </c>
      <c r="I700" s="4">
        <v>4</v>
      </c>
      <c r="J700" s="80" t="str">
        <f>TEXT(tblPayments[[#This Row],[Arrival]],"mmm")</f>
        <v>Mar</v>
      </c>
      <c r="K700" s="80">
        <f>MONTH(tblPayments[[#This Row],[Arrival]])</f>
        <v>3</v>
      </c>
      <c r="L700" s="80">
        <f>YEAR(tblPayments[[#This Row],[Arrival]])</f>
        <v>2026</v>
      </c>
      <c r="M700" s="80" t="str">
        <f>IF(tblPayments[[#This Row],[Balance]]=0,"Full Payment","Deposit")</f>
        <v>Deposit</v>
      </c>
      <c r="N700" s="43">
        <v>6910.88</v>
      </c>
      <c r="O700" s="83">
        <v>45991</v>
      </c>
      <c r="P700" s="87" t="s">
        <v>2</v>
      </c>
    </row>
    <row r="701" spans="1:16" x14ac:dyDescent="0.3">
      <c r="A701" s="77" t="s">
        <v>102</v>
      </c>
      <c r="B701" s="80" t="s">
        <v>77</v>
      </c>
      <c r="C701" s="43">
        <v>2600</v>
      </c>
      <c r="D701" s="43"/>
      <c r="E701" s="43">
        <v>2600</v>
      </c>
      <c r="F701" s="80" t="s">
        <v>82</v>
      </c>
      <c r="G701" s="83">
        <v>46092</v>
      </c>
      <c r="H701" s="83">
        <v>46097</v>
      </c>
      <c r="I701" s="4">
        <v>5</v>
      </c>
      <c r="J701" s="80" t="str">
        <f>TEXT(tblPayments[[#This Row],[Arrival]],"mmm")</f>
        <v>Mar</v>
      </c>
      <c r="K701" s="80">
        <f>MONTH(tblPayments[[#This Row],[Arrival]])</f>
        <v>3</v>
      </c>
      <c r="L701" s="80">
        <f>YEAR(tblPayments[[#This Row],[Arrival]])</f>
        <v>2026</v>
      </c>
      <c r="M701" s="80" t="str">
        <f>IF(tblPayments[[#This Row],[Balance]]=0,"Full Payment","Deposit")</f>
        <v>Deposit</v>
      </c>
      <c r="N701" s="43">
        <v>0</v>
      </c>
      <c r="O701" s="83">
        <v>45995</v>
      </c>
      <c r="P701" s="87" t="s">
        <v>24</v>
      </c>
    </row>
    <row r="702" spans="1:16" x14ac:dyDescent="0.3">
      <c r="A702" s="77" t="s">
        <v>102</v>
      </c>
      <c r="B702" s="80" t="s">
        <v>77</v>
      </c>
      <c r="C702" s="43">
        <v>0</v>
      </c>
      <c r="D702" s="43"/>
      <c r="E702" s="43">
        <v>0</v>
      </c>
      <c r="F702" s="80" t="s">
        <v>73</v>
      </c>
      <c r="G702" s="83">
        <v>46094</v>
      </c>
      <c r="H702" s="83">
        <v>46100</v>
      </c>
      <c r="I702" s="4">
        <v>6</v>
      </c>
      <c r="J702" s="80" t="str">
        <f>TEXT(tblPayments[[#This Row],[Arrival]],"mmm")</f>
        <v>Mar</v>
      </c>
      <c r="K702" s="80">
        <f>MONTH(tblPayments[[#This Row],[Arrival]])</f>
        <v>3</v>
      </c>
      <c r="L702" s="80">
        <f>YEAR(tblPayments[[#This Row],[Arrival]])</f>
        <v>2026</v>
      </c>
      <c r="M702" s="80" t="str">
        <f>IF(tblPayments[[#This Row],[Balance]]=0,"Full Payment","Deposit")</f>
        <v>Full Payment</v>
      </c>
      <c r="N702" s="43">
        <v>0</v>
      </c>
      <c r="O702" s="83">
        <v>45978</v>
      </c>
      <c r="P702" s="87" t="s">
        <v>33</v>
      </c>
    </row>
    <row r="703" spans="1:16" x14ac:dyDescent="0.3">
      <c r="A703" s="77" t="s">
        <v>102</v>
      </c>
      <c r="B703" s="80" t="s">
        <v>77</v>
      </c>
      <c r="C703" s="43">
        <v>24296</v>
      </c>
      <c r="D703" s="43"/>
      <c r="E703" s="43">
        <v>24296</v>
      </c>
      <c r="F703" s="80" t="s">
        <v>75</v>
      </c>
      <c r="G703" s="83">
        <v>46094</v>
      </c>
      <c r="H703" s="83">
        <v>46098</v>
      </c>
      <c r="I703" s="4">
        <v>4</v>
      </c>
      <c r="J703" s="80" t="str">
        <f>TEXT(tblPayments[[#This Row],[Arrival]],"mmm")</f>
        <v>Mar</v>
      </c>
      <c r="K703" s="80">
        <f>MONTH(tblPayments[[#This Row],[Arrival]])</f>
        <v>3</v>
      </c>
      <c r="L703" s="80">
        <f>YEAR(tblPayments[[#This Row],[Arrival]])</f>
        <v>2026</v>
      </c>
      <c r="M703" s="80" t="str">
        <f>IF(tblPayments[[#This Row],[Balance]]=0,"Full Payment","Deposit")</f>
        <v>Deposit</v>
      </c>
      <c r="N703" s="43">
        <v>8609.16</v>
      </c>
      <c r="O703" s="83">
        <v>45995</v>
      </c>
      <c r="P703" s="87" t="s">
        <v>14</v>
      </c>
    </row>
    <row r="704" spans="1:16" x14ac:dyDescent="0.3">
      <c r="A704" s="77" t="s">
        <v>102</v>
      </c>
      <c r="B704" s="80" t="s">
        <v>77</v>
      </c>
      <c r="C704" s="43">
        <v>325</v>
      </c>
      <c r="D704" s="43"/>
      <c r="E704" s="43">
        <v>325</v>
      </c>
      <c r="F704" s="80" t="s">
        <v>82</v>
      </c>
      <c r="G704" s="83">
        <v>46095</v>
      </c>
      <c r="H704" s="83">
        <v>46097</v>
      </c>
      <c r="I704" s="4">
        <v>2</v>
      </c>
      <c r="J704" s="80" t="str">
        <f>TEXT(tblPayments[[#This Row],[Arrival]],"mmm")</f>
        <v>Mar</v>
      </c>
      <c r="K704" s="80">
        <f>MONTH(tblPayments[[#This Row],[Arrival]])</f>
        <v>3</v>
      </c>
      <c r="L704" s="80">
        <f>YEAR(tblPayments[[#This Row],[Arrival]])</f>
        <v>2026</v>
      </c>
      <c r="M704" s="80" t="str">
        <f>IF(tblPayments[[#This Row],[Balance]]=0,"Full Payment","Deposit")</f>
        <v>Deposit</v>
      </c>
      <c r="N704" s="43">
        <v>0</v>
      </c>
      <c r="O704" s="83">
        <v>45968</v>
      </c>
      <c r="P704" s="87" t="s">
        <v>15</v>
      </c>
    </row>
    <row r="705" spans="1:16" x14ac:dyDescent="0.3">
      <c r="A705" s="77" t="s">
        <v>102</v>
      </c>
      <c r="B705" s="80" t="s">
        <v>77</v>
      </c>
      <c r="C705" s="43">
        <v>19500</v>
      </c>
      <c r="D705" s="43">
        <v>4875</v>
      </c>
      <c r="E705" s="43">
        <v>14625</v>
      </c>
      <c r="F705" s="80" t="s">
        <v>72</v>
      </c>
      <c r="G705" s="83">
        <v>46095</v>
      </c>
      <c r="H705" s="83">
        <v>46100</v>
      </c>
      <c r="I705" s="4">
        <v>5</v>
      </c>
      <c r="J705" s="80" t="str">
        <f>TEXT(tblPayments[[#This Row],[Arrival]],"mmm")</f>
        <v>Mar</v>
      </c>
      <c r="K705" s="80">
        <f>MONTH(tblPayments[[#This Row],[Arrival]])</f>
        <v>3</v>
      </c>
      <c r="L705" s="80">
        <f>YEAR(tblPayments[[#This Row],[Arrival]])</f>
        <v>2026</v>
      </c>
      <c r="M705" s="80" t="str">
        <f>IF(tblPayments[[#This Row],[Balance]]=0,"Full Payment","Deposit")</f>
        <v>Deposit</v>
      </c>
      <c r="N705" s="43">
        <v>9447.5</v>
      </c>
      <c r="O705" s="83">
        <v>45984</v>
      </c>
      <c r="P705" s="87" t="s">
        <v>8</v>
      </c>
    </row>
    <row r="706" spans="1:16" x14ac:dyDescent="0.3">
      <c r="A706" s="77" t="s">
        <v>102</v>
      </c>
      <c r="B706" s="80" t="s">
        <v>77</v>
      </c>
      <c r="C706" s="43">
        <v>34717.75</v>
      </c>
      <c r="D706" s="43">
        <v>34717.75</v>
      </c>
      <c r="E706" s="43"/>
      <c r="F706" s="80" t="s">
        <v>70</v>
      </c>
      <c r="G706" s="83">
        <v>46095</v>
      </c>
      <c r="H706" s="83">
        <v>46102</v>
      </c>
      <c r="I706" s="4">
        <v>7</v>
      </c>
      <c r="J706" s="80" t="str">
        <f>TEXT(tblPayments[[#This Row],[Arrival]],"mmm")</f>
        <v>Mar</v>
      </c>
      <c r="K706" s="80">
        <f>MONTH(tblPayments[[#This Row],[Arrival]])</f>
        <v>3</v>
      </c>
      <c r="L706" s="80">
        <f>YEAR(tblPayments[[#This Row],[Arrival]])</f>
        <v>2026</v>
      </c>
      <c r="M706" s="80" t="str">
        <f>IF(tblPayments[[#This Row],[Balance]]=0,"Full Payment","Deposit")</f>
        <v>Full Payment</v>
      </c>
      <c r="N706" s="43">
        <v>23687.23</v>
      </c>
      <c r="O706" s="83">
        <v>45703</v>
      </c>
      <c r="P706" s="87" t="s">
        <v>15</v>
      </c>
    </row>
    <row r="707" spans="1:16" x14ac:dyDescent="0.3">
      <c r="A707" s="77" t="s">
        <v>102</v>
      </c>
      <c r="B707" s="80" t="s">
        <v>77</v>
      </c>
      <c r="C707" s="43">
        <v>9564</v>
      </c>
      <c r="D707" s="43"/>
      <c r="E707" s="43">
        <v>9564</v>
      </c>
      <c r="F707" s="80" t="s">
        <v>75</v>
      </c>
      <c r="G707" s="83">
        <v>46095</v>
      </c>
      <c r="H707" s="83">
        <v>46098</v>
      </c>
      <c r="I707" s="4">
        <v>3</v>
      </c>
      <c r="J707" s="80" t="str">
        <f>TEXT(tblPayments[[#This Row],[Arrival]],"mmm")</f>
        <v>Mar</v>
      </c>
      <c r="K707" s="80">
        <f>MONTH(tblPayments[[#This Row],[Arrival]])</f>
        <v>3</v>
      </c>
      <c r="L707" s="80">
        <f>YEAR(tblPayments[[#This Row],[Arrival]])</f>
        <v>2026</v>
      </c>
      <c r="M707" s="80" t="str">
        <f>IF(tblPayments[[#This Row],[Balance]]=0,"Full Payment","Deposit")</f>
        <v>Deposit</v>
      </c>
      <c r="N707" s="43">
        <v>5219.79</v>
      </c>
      <c r="O707" s="83">
        <v>45924</v>
      </c>
      <c r="P707" s="87" t="s">
        <v>9</v>
      </c>
    </row>
    <row r="708" spans="1:16" x14ac:dyDescent="0.3">
      <c r="A708" s="77" t="s">
        <v>102</v>
      </c>
      <c r="B708" s="80" t="s">
        <v>77</v>
      </c>
      <c r="C708" s="43">
        <v>14568</v>
      </c>
      <c r="D708" s="43">
        <v>7737.51</v>
      </c>
      <c r="E708" s="43">
        <v>6830.49</v>
      </c>
      <c r="F708" s="80" t="s">
        <v>72</v>
      </c>
      <c r="G708" s="83">
        <v>46095</v>
      </c>
      <c r="H708" s="83">
        <v>46098</v>
      </c>
      <c r="I708" s="4">
        <v>3</v>
      </c>
      <c r="J708" s="80" t="str">
        <f>TEXT(tblPayments[[#This Row],[Arrival]],"mmm")</f>
        <v>Mar</v>
      </c>
      <c r="K708" s="80">
        <f>MONTH(tblPayments[[#This Row],[Arrival]])</f>
        <v>3</v>
      </c>
      <c r="L708" s="80">
        <f>YEAR(tblPayments[[#This Row],[Arrival]])</f>
        <v>2026</v>
      </c>
      <c r="M708" s="80" t="str">
        <f>IF(tblPayments[[#This Row],[Balance]]=0,"Full Payment","Deposit")</f>
        <v>Deposit</v>
      </c>
      <c r="N708" s="43">
        <v>9202.7999999999993</v>
      </c>
      <c r="O708" s="83">
        <v>45773</v>
      </c>
      <c r="P708" s="87" t="s">
        <v>16</v>
      </c>
    </row>
    <row r="709" spans="1:16" x14ac:dyDescent="0.3">
      <c r="A709" s="77" t="s">
        <v>102</v>
      </c>
      <c r="B709" s="80" t="s">
        <v>77</v>
      </c>
      <c r="C709" s="43">
        <v>96377.45</v>
      </c>
      <c r="D709" s="43"/>
      <c r="E709" s="43">
        <v>96377.45</v>
      </c>
      <c r="F709" s="80" t="s">
        <v>75</v>
      </c>
      <c r="G709" s="83">
        <v>46095</v>
      </c>
      <c r="H709" s="83">
        <v>46102</v>
      </c>
      <c r="I709" s="4">
        <v>7</v>
      </c>
      <c r="J709" s="80" t="str">
        <f>TEXT(tblPayments[[#This Row],[Arrival]],"mmm")</f>
        <v>Mar</v>
      </c>
      <c r="K709" s="80">
        <f>MONTH(tblPayments[[#This Row],[Arrival]])</f>
        <v>3</v>
      </c>
      <c r="L709" s="80">
        <f>YEAR(tblPayments[[#This Row],[Arrival]])</f>
        <v>2026</v>
      </c>
      <c r="M709" s="80" t="str">
        <f>IF(tblPayments[[#This Row],[Balance]]=0,"Full Payment","Deposit")</f>
        <v>Deposit</v>
      </c>
      <c r="N709" s="43">
        <v>32533.9</v>
      </c>
      <c r="O709" s="83">
        <v>45791</v>
      </c>
      <c r="P709" s="87" t="s">
        <v>2</v>
      </c>
    </row>
    <row r="710" spans="1:16" x14ac:dyDescent="0.3">
      <c r="A710" s="77" t="s">
        <v>102</v>
      </c>
      <c r="B710" s="80" t="s">
        <v>77</v>
      </c>
      <c r="C710" s="43">
        <v>4550</v>
      </c>
      <c r="D710" s="43"/>
      <c r="E710" s="43">
        <v>4550</v>
      </c>
      <c r="F710" s="80" t="s">
        <v>82</v>
      </c>
      <c r="G710" s="83">
        <v>46096</v>
      </c>
      <c r="H710" s="83">
        <v>46101</v>
      </c>
      <c r="I710" s="4">
        <v>5</v>
      </c>
      <c r="J710" s="80" t="str">
        <f>TEXT(tblPayments[[#This Row],[Arrival]],"mmm")</f>
        <v>Mar</v>
      </c>
      <c r="K710" s="80">
        <f>MONTH(tblPayments[[#This Row],[Arrival]])</f>
        <v>3</v>
      </c>
      <c r="L710" s="80">
        <f>YEAR(tblPayments[[#This Row],[Arrival]])</f>
        <v>2026</v>
      </c>
      <c r="M710" s="80" t="str">
        <f>IF(tblPayments[[#This Row],[Balance]]=0,"Full Payment","Deposit")</f>
        <v>Deposit</v>
      </c>
      <c r="N710" s="43">
        <v>0</v>
      </c>
      <c r="O710" s="83">
        <v>45928</v>
      </c>
      <c r="P710" s="87" t="s">
        <v>18</v>
      </c>
    </row>
    <row r="711" spans="1:16" x14ac:dyDescent="0.3">
      <c r="A711" s="77" t="s">
        <v>102</v>
      </c>
      <c r="B711" s="80" t="s">
        <v>77</v>
      </c>
      <c r="C711" s="43">
        <v>26789.25</v>
      </c>
      <c r="D711" s="43">
        <v>4784.8</v>
      </c>
      <c r="E711" s="43">
        <v>22004.45</v>
      </c>
      <c r="F711" s="80" t="s">
        <v>72</v>
      </c>
      <c r="G711" s="83">
        <v>46096</v>
      </c>
      <c r="H711" s="83">
        <v>46101</v>
      </c>
      <c r="I711" s="4">
        <v>5</v>
      </c>
      <c r="J711" s="80" t="str">
        <f>TEXT(tblPayments[[#This Row],[Arrival]],"mmm")</f>
        <v>Mar</v>
      </c>
      <c r="K711" s="80">
        <f>MONTH(tblPayments[[#This Row],[Arrival]])</f>
        <v>3</v>
      </c>
      <c r="L711" s="80">
        <f>YEAR(tblPayments[[#This Row],[Arrival]])</f>
        <v>2026</v>
      </c>
      <c r="M711" s="80" t="str">
        <f>IF(tblPayments[[#This Row],[Balance]]=0,"Full Payment","Deposit")</f>
        <v>Deposit</v>
      </c>
      <c r="N711" s="43">
        <v>13621.2</v>
      </c>
      <c r="O711" s="83">
        <v>45972</v>
      </c>
      <c r="P711" s="87" t="s">
        <v>15</v>
      </c>
    </row>
    <row r="712" spans="1:16" x14ac:dyDescent="0.3">
      <c r="A712" s="77" t="s">
        <v>102</v>
      </c>
      <c r="B712" s="80" t="s">
        <v>77</v>
      </c>
      <c r="C712" s="43"/>
      <c r="D712" s="43"/>
      <c r="E712" s="43"/>
      <c r="F712" s="80" t="s">
        <v>73</v>
      </c>
      <c r="G712" s="83">
        <v>46096</v>
      </c>
      <c r="H712" s="83">
        <v>46098</v>
      </c>
      <c r="I712" s="4">
        <v>2</v>
      </c>
      <c r="J712" s="80" t="str">
        <f>TEXT(tblPayments[[#This Row],[Arrival]],"mmm")</f>
        <v>Mar</v>
      </c>
      <c r="K712" s="80">
        <f>MONTH(tblPayments[[#This Row],[Arrival]])</f>
        <v>3</v>
      </c>
      <c r="L712" s="80">
        <f>YEAR(tblPayments[[#This Row],[Arrival]])</f>
        <v>2026</v>
      </c>
      <c r="M712" s="80" t="str">
        <f>IF(tblPayments[[#This Row],[Balance]]=0,"Full Payment","Deposit")</f>
        <v>Full Payment</v>
      </c>
      <c r="N712" s="43">
        <v>0</v>
      </c>
      <c r="O712" s="83">
        <v>45799</v>
      </c>
      <c r="P712" s="87" t="s">
        <v>15</v>
      </c>
    </row>
    <row r="713" spans="1:16" x14ac:dyDescent="0.3">
      <c r="A713" s="77" t="s">
        <v>102</v>
      </c>
      <c r="B713" s="80" t="s">
        <v>77</v>
      </c>
      <c r="C713" s="43">
        <v>49260</v>
      </c>
      <c r="D713" s="43"/>
      <c r="E713" s="43">
        <v>49260</v>
      </c>
      <c r="F713" s="80" t="s">
        <v>75</v>
      </c>
      <c r="G713" s="83">
        <v>46096</v>
      </c>
      <c r="H713" s="83">
        <v>46101</v>
      </c>
      <c r="I713" s="4">
        <v>5</v>
      </c>
      <c r="J713" s="80" t="str">
        <f>TEXT(tblPayments[[#This Row],[Arrival]],"mmm")</f>
        <v>Mar</v>
      </c>
      <c r="K713" s="80">
        <f>MONTH(tblPayments[[#This Row],[Arrival]])</f>
        <v>3</v>
      </c>
      <c r="L713" s="80">
        <f>YEAR(tblPayments[[#This Row],[Arrival]])</f>
        <v>2026</v>
      </c>
      <c r="M713" s="80" t="str">
        <f>IF(tblPayments[[#This Row],[Balance]]=0,"Full Payment","Deposit")</f>
        <v>Deposit</v>
      </c>
      <c r="N713" s="43">
        <v>32448.1</v>
      </c>
      <c r="O713" s="83">
        <v>45828</v>
      </c>
      <c r="P713" s="87" t="s">
        <v>15</v>
      </c>
    </row>
    <row r="714" spans="1:16" x14ac:dyDescent="0.3">
      <c r="A714" s="77" t="s">
        <v>102</v>
      </c>
      <c r="B714" s="80" t="s">
        <v>77</v>
      </c>
      <c r="C714" s="43">
        <v>19997.599999999999</v>
      </c>
      <c r="D714" s="43">
        <v>4349.3999999999996</v>
      </c>
      <c r="E714" s="43">
        <v>15648.2</v>
      </c>
      <c r="F714" s="80" t="s">
        <v>72</v>
      </c>
      <c r="G714" s="83">
        <v>46096</v>
      </c>
      <c r="H714" s="83">
        <v>46101</v>
      </c>
      <c r="I714" s="4">
        <v>5</v>
      </c>
      <c r="J714" s="80" t="str">
        <f>TEXT(tblPayments[[#This Row],[Arrival]],"mmm")</f>
        <v>Mar</v>
      </c>
      <c r="K714" s="80">
        <f>MONTH(tblPayments[[#This Row],[Arrival]])</f>
        <v>3</v>
      </c>
      <c r="L714" s="80">
        <f>YEAR(tblPayments[[#This Row],[Arrival]])</f>
        <v>2026</v>
      </c>
      <c r="M714" s="80" t="str">
        <f>IF(tblPayments[[#This Row],[Balance]]=0,"Full Payment","Deposit")</f>
        <v>Deposit</v>
      </c>
      <c r="N714" s="43">
        <v>12688.95</v>
      </c>
      <c r="O714" s="83">
        <v>45971</v>
      </c>
      <c r="P714" s="87" t="s">
        <v>15</v>
      </c>
    </row>
    <row r="715" spans="1:16" x14ac:dyDescent="0.3">
      <c r="A715" s="77" t="s">
        <v>102</v>
      </c>
      <c r="B715" s="80" t="s">
        <v>77</v>
      </c>
      <c r="C715" s="43"/>
      <c r="D715" s="43"/>
      <c r="E715" s="43"/>
      <c r="F715" s="80" t="s">
        <v>73</v>
      </c>
      <c r="G715" s="83">
        <v>46097</v>
      </c>
      <c r="H715" s="83">
        <v>46099</v>
      </c>
      <c r="I715" s="4">
        <v>2</v>
      </c>
      <c r="J715" s="80" t="str">
        <f>TEXT(tblPayments[[#This Row],[Arrival]],"mmm")</f>
        <v>Mar</v>
      </c>
      <c r="K715" s="80">
        <f>MONTH(tblPayments[[#This Row],[Arrival]])</f>
        <v>3</v>
      </c>
      <c r="L715" s="80">
        <f>YEAR(tblPayments[[#This Row],[Arrival]])</f>
        <v>2026</v>
      </c>
      <c r="M715" s="80" t="str">
        <f>IF(tblPayments[[#This Row],[Balance]]=0,"Full Payment","Deposit")</f>
        <v>Full Payment</v>
      </c>
      <c r="N715" s="43">
        <v>0</v>
      </c>
      <c r="O715" s="83">
        <v>45951</v>
      </c>
      <c r="P715" s="87" t="s">
        <v>31</v>
      </c>
    </row>
    <row r="716" spans="1:16" x14ac:dyDescent="0.3">
      <c r="A716" s="77" t="s">
        <v>102</v>
      </c>
      <c r="B716" s="80" t="s">
        <v>77</v>
      </c>
      <c r="C716" s="43">
        <v>39447.51</v>
      </c>
      <c r="D716" s="43">
        <v>7579.37</v>
      </c>
      <c r="E716" s="43">
        <v>31868.11</v>
      </c>
      <c r="F716" s="80" t="s">
        <v>72</v>
      </c>
      <c r="G716" s="83">
        <v>46097</v>
      </c>
      <c r="H716" s="83">
        <v>46101</v>
      </c>
      <c r="I716" s="4">
        <v>4</v>
      </c>
      <c r="J716" s="80" t="str">
        <f>TEXT(tblPayments[[#This Row],[Arrival]],"mmm")</f>
        <v>Mar</v>
      </c>
      <c r="K716" s="80">
        <f>MONTH(tblPayments[[#This Row],[Arrival]])</f>
        <v>3</v>
      </c>
      <c r="L716" s="80">
        <f>YEAR(tblPayments[[#This Row],[Arrival]])</f>
        <v>2026</v>
      </c>
      <c r="M716" s="80" t="str">
        <f>IF(tblPayments[[#This Row],[Balance]]=0,"Full Payment","Deposit")</f>
        <v>Deposit</v>
      </c>
      <c r="N716" s="43">
        <v>23313.08</v>
      </c>
      <c r="O716" s="83">
        <v>45951</v>
      </c>
      <c r="P716" s="87" t="s">
        <v>15</v>
      </c>
    </row>
    <row r="717" spans="1:16" x14ac:dyDescent="0.3">
      <c r="A717" s="77" t="s">
        <v>102</v>
      </c>
      <c r="B717" s="80" t="s">
        <v>77</v>
      </c>
      <c r="C717" s="43">
        <v>38133.17</v>
      </c>
      <c r="D717" s="43">
        <v>1120</v>
      </c>
      <c r="E717" s="43">
        <v>37013.17</v>
      </c>
      <c r="F717" s="80" t="s">
        <v>72</v>
      </c>
      <c r="G717" s="83">
        <v>46097</v>
      </c>
      <c r="H717" s="83">
        <v>46104</v>
      </c>
      <c r="I717" s="4">
        <v>7</v>
      </c>
      <c r="J717" s="80" t="str">
        <f>TEXT(tblPayments[[#This Row],[Arrival]],"mmm")</f>
        <v>Mar</v>
      </c>
      <c r="K717" s="80">
        <f>MONTH(tblPayments[[#This Row],[Arrival]])</f>
        <v>3</v>
      </c>
      <c r="L717" s="80">
        <f>YEAR(tblPayments[[#This Row],[Arrival]])</f>
        <v>2026</v>
      </c>
      <c r="M717" s="80" t="str">
        <f>IF(tblPayments[[#This Row],[Balance]]=0,"Full Payment","Deposit")</f>
        <v>Deposit</v>
      </c>
      <c r="N717" s="43">
        <v>25438.91</v>
      </c>
      <c r="O717" s="83">
        <v>45801</v>
      </c>
      <c r="P717" s="87" t="s">
        <v>2</v>
      </c>
    </row>
    <row r="718" spans="1:16" x14ac:dyDescent="0.3">
      <c r="A718" s="77" t="s">
        <v>102</v>
      </c>
      <c r="B718" s="80" t="s">
        <v>77</v>
      </c>
      <c r="C718" s="43"/>
      <c r="D718" s="43"/>
      <c r="E718" s="43"/>
      <c r="F718" s="80" t="s">
        <v>73</v>
      </c>
      <c r="G718" s="83">
        <v>46097</v>
      </c>
      <c r="H718" s="83">
        <v>46099</v>
      </c>
      <c r="I718" s="4">
        <v>2</v>
      </c>
      <c r="J718" s="80" t="str">
        <f>TEXT(tblPayments[[#This Row],[Arrival]],"mmm")</f>
        <v>Mar</v>
      </c>
      <c r="K718" s="80">
        <f>MONTH(tblPayments[[#This Row],[Arrival]])</f>
        <v>3</v>
      </c>
      <c r="L718" s="80">
        <f>YEAR(tblPayments[[#This Row],[Arrival]])</f>
        <v>2026</v>
      </c>
      <c r="M718" s="80" t="str">
        <f>IF(tblPayments[[#This Row],[Balance]]=0,"Full Payment","Deposit")</f>
        <v>Full Payment</v>
      </c>
      <c r="N718" s="43">
        <v>0</v>
      </c>
      <c r="O718" s="83">
        <v>45951</v>
      </c>
      <c r="P718" s="87" t="s">
        <v>31</v>
      </c>
    </row>
    <row r="719" spans="1:16" x14ac:dyDescent="0.3">
      <c r="A719" s="77" t="s">
        <v>102</v>
      </c>
      <c r="B719" s="80" t="s">
        <v>77</v>
      </c>
      <c r="C719" s="43"/>
      <c r="D719" s="43"/>
      <c r="E719" s="43"/>
      <c r="F719" s="80" t="s">
        <v>73</v>
      </c>
      <c r="G719" s="83">
        <v>46099</v>
      </c>
      <c r="H719" s="83">
        <v>46101</v>
      </c>
      <c r="I719" s="4">
        <v>2</v>
      </c>
      <c r="J719" s="80" t="str">
        <f>TEXT(tblPayments[[#This Row],[Arrival]],"mmm")</f>
        <v>Mar</v>
      </c>
      <c r="K719" s="80">
        <f>MONTH(tblPayments[[#This Row],[Arrival]])</f>
        <v>3</v>
      </c>
      <c r="L719" s="80">
        <f>YEAR(tblPayments[[#This Row],[Arrival]])</f>
        <v>2026</v>
      </c>
      <c r="M719" s="80" t="str">
        <f>IF(tblPayments[[#This Row],[Balance]]=0,"Full Payment","Deposit")</f>
        <v>Full Payment</v>
      </c>
      <c r="N719" s="43">
        <v>0</v>
      </c>
      <c r="O719" s="83">
        <v>45961</v>
      </c>
      <c r="P719" s="87" t="s">
        <v>31</v>
      </c>
    </row>
    <row r="720" spans="1:16" x14ac:dyDescent="0.3">
      <c r="A720" s="77" t="s">
        <v>102</v>
      </c>
      <c r="B720" s="80" t="s">
        <v>77</v>
      </c>
      <c r="C720" s="43">
        <v>10168.08</v>
      </c>
      <c r="D720" s="43"/>
      <c r="E720" s="43">
        <v>10168.08</v>
      </c>
      <c r="F720" s="80" t="s">
        <v>80</v>
      </c>
      <c r="G720" s="83">
        <v>46100</v>
      </c>
      <c r="H720" s="83">
        <v>46104</v>
      </c>
      <c r="I720" s="4">
        <v>4</v>
      </c>
      <c r="J720" s="80" t="str">
        <f>TEXT(tblPayments[[#This Row],[Arrival]],"mmm")</f>
        <v>Mar</v>
      </c>
      <c r="K720" s="80">
        <f>MONTH(tblPayments[[#This Row],[Arrival]])</f>
        <v>3</v>
      </c>
      <c r="L720" s="80">
        <f>YEAR(tblPayments[[#This Row],[Arrival]])</f>
        <v>2026</v>
      </c>
      <c r="M720" s="80" t="str">
        <f>IF(tblPayments[[#This Row],[Balance]]=0,"Full Payment","Deposit")</f>
        <v>Deposit</v>
      </c>
      <c r="N720" s="43">
        <v>5540.36</v>
      </c>
      <c r="O720" s="83">
        <v>45987</v>
      </c>
      <c r="P720" s="87" t="s">
        <v>9</v>
      </c>
    </row>
    <row r="721" spans="1:16" x14ac:dyDescent="0.3">
      <c r="A721" s="77" t="s">
        <v>102</v>
      </c>
      <c r="B721" s="80" t="s">
        <v>77</v>
      </c>
      <c r="C721" s="43">
        <v>10168.08</v>
      </c>
      <c r="D721" s="43"/>
      <c r="E721" s="43">
        <v>10168.08</v>
      </c>
      <c r="F721" s="80" t="s">
        <v>80</v>
      </c>
      <c r="G721" s="83">
        <v>46100</v>
      </c>
      <c r="H721" s="83">
        <v>46104</v>
      </c>
      <c r="I721" s="4">
        <v>4</v>
      </c>
      <c r="J721" s="80" t="str">
        <f>TEXT(tblPayments[[#This Row],[Arrival]],"mmm")</f>
        <v>Mar</v>
      </c>
      <c r="K721" s="80">
        <f>MONTH(tblPayments[[#This Row],[Arrival]])</f>
        <v>3</v>
      </c>
      <c r="L721" s="80">
        <f>YEAR(tblPayments[[#This Row],[Arrival]])</f>
        <v>2026</v>
      </c>
      <c r="M721" s="80" t="str">
        <f>IF(tblPayments[[#This Row],[Balance]]=0,"Full Payment","Deposit")</f>
        <v>Deposit</v>
      </c>
      <c r="N721" s="43">
        <v>5540.36</v>
      </c>
      <c r="O721" s="83">
        <v>45987</v>
      </c>
      <c r="P721" s="87" t="s">
        <v>9</v>
      </c>
    </row>
    <row r="722" spans="1:16" x14ac:dyDescent="0.3">
      <c r="A722" s="77" t="s">
        <v>102</v>
      </c>
      <c r="B722" s="80" t="s">
        <v>77</v>
      </c>
      <c r="C722" s="43">
        <v>13366</v>
      </c>
      <c r="D722" s="43"/>
      <c r="E722" s="43">
        <v>13366</v>
      </c>
      <c r="F722" s="80" t="s">
        <v>75</v>
      </c>
      <c r="G722" s="83">
        <v>46100</v>
      </c>
      <c r="H722" s="83">
        <v>46104</v>
      </c>
      <c r="I722" s="4">
        <v>4</v>
      </c>
      <c r="J722" s="80" t="str">
        <f>TEXT(tblPayments[[#This Row],[Arrival]],"mmm")</f>
        <v>Mar</v>
      </c>
      <c r="K722" s="80">
        <f>MONTH(tblPayments[[#This Row],[Arrival]])</f>
        <v>3</v>
      </c>
      <c r="L722" s="80">
        <f>YEAR(tblPayments[[#This Row],[Arrival]])</f>
        <v>2026</v>
      </c>
      <c r="M722" s="80" t="str">
        <f>IF(tblPayments[[#This Row],[Balance]]=0,"Full Payment","Deposit")</f>
        <v>Deposit</v>
      </c>
      <c r="N722" s="43">
        <v>7211.52</v>
      </c>
      <c r="O722" s="83">
        <v>45979</v>
      </c>
      <c r="P722" s="87" t="s">
        <v>38</v>
      </c>
    </row>
    <row r="723" spans="1:16" x14ac:dyDescent="0.3">
      <c r="A723" s="77" t="s">
        <v>102</v>
      </c>
      <c r="B723" s="80" t="s">
        <v>77</v>
      </c>
      <c r="C723" s="43"/>
      <c r="D723" s="43"/>
      <c r="E723" s="43"/>
      <c r="F723" s="80"/>
      <c r="G723" s="83">
        <v>46102</v>
      </c>
      <c r="H723" s="83">
        <v>46106</v>
      </c>
      <c r="I723" s="4">
        <v>4</v>
      </c>
      <c r="J723" s="80" t="str">
        <f>TEXT(tblPayments[[#This Row],[Arrival]],"mmm")</f>
        <v>Mar</v>
      </c>
      <c r="K723" s="80">
        <f>MONTH(tblPayments[[#This Row],[Arrival]])</f>
        <v>3</v>
      </c>
      <c r="L723" s="80">
        <f>YEAR(tblPayments[[#This Row],[Arrival]])</f>
        <v>2026</v>
      </c>
      <c r="M723" s="80" t="str">
        <f>IF(tblPayments[[#This Row],[Balance]]=0,"Full Payment","Deposit")</f>
        <v>Full Payment</v>
      </c>
      <c r="N723" s="43">
        <v>9554.34</v>
      </c>
      <c r="O723" s="83"/>
      <c r="P723" s="87"/>
    </row>
    <row r="724" spans="1:16" x14ac:dyDescent="0.3">
      <c r="A724" s="77" t="s">
        <v>102</v>
      </c>
      <c r="B724" s="80" t="s">
        <v>77</v>
      </c>
      <c r="C724" s="43">
        <v>143520</v>
      </c>
      <c r="D724" s="43"/>
      <c r="E724" s="43">
        <v>143520</v>
      </c>
      <c r="F724" s="80" t="s">
        <v>75</v>
      </c>
      <c r="G724" s="83">
        <v>46102</v>
      </c>
      <c r="H724" s="83">
        <v>46109</v>
      </c>
      <c r="I724" s="4">
        <v>7</v>
      </c>
      <c r="J724" s="80" t="str">
        <f>TEXT(tblPayments[[#This Row],[Arrival]],"mmm")</f>
        <v>Mar</v>
      </c>
      <c r="K724" s="80">
        <f>MONTH(tblPayments[[#This Row],[Arrival]])</f>
        <v>3</v>
      </c>
      <c r="L724" s="80">
        <f>YEAR(tblPayments[[#This Row],[Arrival]])</f>
        <v>2026</v>
      </c>
      <c r="M724" s="80" t="str">
        <f>IF(tblPayments[[#This Row],[Balance]]=0,"Full Payment","Deposit")</f>
        <v>Deposit</v>
      </c>
      <c r="N724" s="43">
        <v>0</v>
      </c>
      <c r="O724" s="83">
        <v>45878</v>
      </c>
      <c r="P724" s="87" t="s">
        <v>16</v>
      </c>
    </row>
    <row r="725" spans="1:16" x14ac:dyDescent="0.3">
      <c r="A725" s="77" t="s">
        <v>102</v>
      </c>
      <c r="B725" s="80" t="s">
        <v>77</v>
      </c>
      <c r="C725" s="43">
        <v>26847</v>
      </c>
      <c r="D725" s="43">
        <v>6711.75</v>
      </c>
      <c r="E725" s="43">
        <v>20135.25</v>
      </c>
      <c r="F725" s="80" t="s">
        <v>72</v>
      </c>
      <c r="G725" s="83">
        <v>46102</v>
      </c>
      <c r="H725" s="83">
        <v>46109</v>
      </c>
      <c r="I725" s="4">
        <v>7</v>
      </c>
      <c r="J725" s="80" t="str">
        <f>TEXT(tblPayments[[#This Row],[Arrival]],"mmm")</f>
        <v>Mar</v>
      </c>
      <c r="K725" s="80">
        <f>MONTH(tblPayments[[#This Row],[Arrival]])</f>
        <v>3</v>
      </c>
      <c r="L725" s="80">
        <f>YEAR(tblPayments[[#This Row],[Arrival]])</f>
        <v>2026</v>
      </c>
      <c r="M725" s="80" t="str">
        <f>IF(tblPayments[[#This Row],[Balance]]=0,"Full Payment","Deposit")</f>
        <v>Deposit</v>
      </c>
      <c r="N725" s="43">
        <v>14236.11</v>
      </c>
      <c r="O725" s="83">
        <v>45976</v>
      </c>
      <c r="P725" s="87" t="s">
        <v>13</v>
      </c>
    </row>
    <row r="726" spans="1:16" x14ac:dyDescent="0.3">
      <c r="A726" s="77" t="s">
        <v>102</v>
      </c>
      <c r="B726" s="80" t="s">
        <v>77</v>
      </c>
      <c r="C726" s="43">
        <v>17920</v>
      </c>
      <c r="D726" s="43"/>
      <c r="E726" s="43">
        <v>17920</v>
      </c>
      <c r="F726" s="80" t="s">
        <v>75</v>
      </c>
      <c r="G726" s="83">
        <v>46102</v>
      </c>
      <c r="H726" s="83">
        <v>46107</v>
      </c>
      <c r="I726" s="4">
        <v>5</v>
      </c>
      <c r="J726" s="80" t="str">
        <f>TEXT(tblPayments[[#This Row],[Arrival]],"mmm")</f>
        <v>Mar</v>
      </c>
      <c r="K726" s="80">
        <f>MONTH(tblPayments[[#This Row],[Arrival]])</f>
        <v>3</v>
      </c>
      <c r="L726" s="80">
        <f>YEAR(tblPayments[[#This Row],[Arrival]])</f>
        <v>2026</v>
      </c>
      <c r="M726" s="80" t="str">
        <f>IF(tblPayments[[#This Row],[Balance]]=0,"Full Payment","Deposit")</f>
        <v>Deposit</v>
      </c>
      <c r="N726" s="43">
        <v>9119.35</v>
      </c>
      <c r="O726" s="83">
        <v>45980</v>
      </c>
      <c r="P726" s="87" t="s">
        <v>2</v>
      </c>
    </row>
    <row r="727" spans="1:16" x14ac:dyDescent="0.3">
      <c r="A727" s="77" t="s">
        <v>102</v>
      </c>
      <c r="B727" s="80" t="s">
        <v>77</v>
      </c>
      <c r="C727" s="43">
        <v>22500</v>
      </c>
      <c r="D727" s="43"/>
      <c r="E727" s="43">
        <v>22500</v>
      </c>
      <c r="F727" s="80" t="s">
        <v>75</v>
      </c>
      <c r="G727" s="83">
        <v>46102</v>
      </c>
      <c r="H727" s="83">
        <v>46111</v>
      </c>
      <c r="I727" s="4">
        <v>9</v>
      </c>
      <c r="J727" s="80" t="str">
        <f>TEXT(tblPayments[[#This Row],[Arrival]],"mmm")</f>
        <v>Mar</v>
      </c>
      <c r="K727" s="80">
        <f>MONTH(tblPayments[[#This Row],[Arrival]])</f>
        <v>3</v>
      </c>
      <c r="L727" s="80">
        <f>YEAR(tblPayments[[#This Row],[Arrival]])</f>
        <v>2026</v>
      </c>
      <c r="M727" s="80" t="str">
        <f>IF(tblPayments[[#This Row],[Balance]]=0,"Full Payment","Deposit")</f>
        <v>Deposit</v>
      </c>
      <c r="N727" s="43">
        <v>12545.46</v>
      </c>
      <c r="O727" s="83">
        <v>45998</v>
      </c>
      <c r="P727" s="87" t="s">
        <v>17</v>
      </c>
    </row>
    <row r="728" spans="1:16" x14ac:dyDescent="0.3">
      <c r="A728" s="77" t="s">
        <v>102</v>
      </c>
      <c r="B728" s="80" t="s">
        <v>77</v>
      </c>
      <c r="C728" s="43">
        <v>25026</v>
      </c>
      <c r="D728" s="43"/>
      <c r="E728" s="43">
        <v>25026</v>
      </c>
      <c r="F728" s="80" t="s">
        <v>75</v>
      </c>
      <c r="G728" s="83">
        <v>46103</v>
      </c>
      <c r="H728" s="83">
        <v>46110</v>
      </c>
      <c r="I728" s="4">
        <v>7</v>
      </c>
      <c r="J728" s="80" t="str">
        <f>TEXT(tblPayments[[#This Row],[Arrival]],"mmm")</f>
        <v>Mar</v>
      </c>
      <c r="K728" s="80">
        <f>MONTH(tblPayments[[#This Row],[Arrival]])</f>
        <v>3</v>
      </c>
      <c r="L728" s="80">
        <f>YEAR(tblPayments[[#This Row],[Arrival]])</f>
        <v>2026</v>
      </c>
      <c r="M728" s="80" t="str">
        <f>IF(tblPayments[[#This Row],[Balance]]=0,"Full Payment","Deposit")</f>
        <v>Deposit</v>
      </c>
      <c r="N728" s="43">
        <v>14743.61</v>
      </c>
      <c r="O728" s="83">
        <v>45988</v>
      </c>
      <c r="P728" s="87" t="s">
        <v>16</v>
      </c>
    </row>
    <row r="729" spans="1:16" x14ac:dyDescent="0.3">
      <c r="A729" s="77" t="s">
        <v>102</v>
      </c>
      <c r="B729" s="80" t="s">
        <v>77</v>
      </c>
      <c r="C729" s="43">
        <v>34504.410000000003</v>
      </c>
      <c r="D729" s="43"/>
      <c r="E729" s="43">
        <v>34504.410000000003</v>
      </c>
      <c r="F729" s="80" t="s">
        <v>75</v>
      </c>
      <c r="G729" s="83">
        <v>46103</v>
      </c>
      <c r="H729" s="83">
        <v>46109</v>
      </c>
      <c r="I729" s="4">
        <v>6</v>
      </c>
      <c r="J729" s="80" t="str">
        <f>TEXT(tblPayments[[#This Row],[Arrival]],"mmm")</f>
        <v>Mar</v>
      </c>
      <c r="K729" s="80">
        <f>MONTH(tblPayments[[#This Row],[Arrival]])</f>
        <v>3</v>
      </c>
      <c r="L729" s="80">
        <f>YEAR(tblPayments[[#This Row],[Arrival]])</f>
        <v>2026</v>
      </c>
      <c r="M729" s="80" t="str">
        <f>IF(tblPayments[[#This Row],[Balance]]=0,"Full Payment","Deposit")</f>
        <v>Deposit</v>
      </c>
      <c r="N729" s="43">
        <v>25552.799999999999</v>
      </c>
      <c r="O729" s="83">
        <v>45791</v>
      </c>
      <c r="P729" s="87" t="s">
        <v>9</v>
      </c>
    </row>
    <row r="730" spans="1:16" x14ac:dyDescent="0.3">
      <c r="A730" s="77" t="s">
        <v>102</v>
      </c>
      <c r="B730" s="80" t="s">
        <v>77</v>
      </c>
      <c r="C730" s="43">
        <v>72365</v>
      </c>
      <c r="D730" s="43"/>
      <c r="E730" s="43">
        <v>72365</v>
      </c>
      <c r="F730" s="80" t="s">
        <v>75</v>
      </c>
      <c r="G730" s="83">
        <v>46104</v>
      </c>
      <c r="H730" s="83">
        <v>46109</v>
      </c>
      <c r="I730" s="4">
        <v>5</v>
      </c>
      <c r="J730" s="80" t="str">
        <f>TEXT(tblPayments[[#This Row],[Arrival]],"mmm")</f>
        <v>Mar</v>
      </c>
      <c r="K730" s="80">
        <f>MONTH(tblPayments[[#This Row],[Arrival]])</f>
        <v>3</v>
      </c>
      <c r="L730" s="80">
        <f>YEAR(tblPayments[[#This Row],[Arrival]])</f>
        <v>2026</v>
      </c>
      <c r="M730" s="80" t="str">
        <f>IF(tblPayments[[#This Row],[Balance]]=0,"Full Payment","Deposit")</f>
        <v>Deposit</v>
      </c>
      <c r="N730" s="43">
        <v>35065.65</v>
      </c>
      <c r="O730" s="83">
        <v>45994</v>
      </c>
      <c r="P730" s="87" t="s">
        <v>43</v>
      </c>
    </row>
    <row r="731" spans="1:16" x14ac:dyDescent="0.3">
      <c r="A731" s="77" t="s">
        <v>102</v>
      </c>
      <c r="B731" s="80" t="s">
        <v>77</v>
      </c>
      <c r="C731" s="43"/>
      <c r="D731" s="43"/>
      <c r="E731" s="43"/>
      <c r="F731" s="80"/>
      <c r="G731" s="83">
        <v>46105</v>
      </c>
      <c r="H731" s="83">
        <v>46112</v>
      </c>
      <c r="I731" s="4">
        <v>7</v>
      </c>
      <c r="J731" s="80" t="str">
        <f>TEXT(tblPayments[[#This Row],[Arrival]],"mmm")</f>
        <v>Mar</v>
      </c>
      <c r="K731" s="80">
        <f>MONTH(tblPayments[[#This Row],[Arrival]])</f>
        <v>3</v>
      </c>
      <c r="L731" s="80">
        <f>YEAR(tblPayments[[#This Row],[Arrival]])</f>
        <v>2026</v>
      </c>
      <c r="M731" s="80" t="str">
        <f>IF(tblPayments[[#This Row],[Balance]]=0,"Full Payment","Deposit")</f>
        <v>Full Payment</v>
      </c>
      <c r="N731" s="43">
        <v>10695.17</v>
      </c>
      <c r="O731" s="83"/>
      <c r="P731" s="87"/>
    </row>
    <row r="732" spans="1:16" x14ac:dyDescent="0.3">
      <c r="A732" s="77" t="s">
        <v>102</v>
      </c>
      <c r="B732" s="80" t="s">
        <v>77</v>
      </c>
      <c r="C732" s="43">
        <v>25449.46</v>
      </c>
      <c r="D732" s="43"/>
      <c r="E732" s="43">
        <v>25449.46</v>
      </c>
      <c r="F732" s="80" t="s">
        <v>75</v>
      </c>
      <c r="G732" s="83">
        <v>46105</v>
      </c>
      <c r="H732" s="83">
        <v>46112</v>
      </c>
      <c r="I732" s="4">
        <v>7</v>
      </c>
      <c r="J732" s="80" t="str">
        <f>TEXT(tblPayments[[#This Row],[Arrival]],"mmm")</f>
        <v>Mar</v>
      </c>
      <c r="K732" s="80">
        <f>MONTH(tblPayments[[#This Row],[Arrival]])</f>
        <v>3</v>
      </c>
      <c r="L732" s="80">
        <f>YEAR(tblPayments[[#This Row],[Arrival]])</f>
        <v>2026</v>
      </c>
      <c r="M732" s="80" t="str">
        <f>IF(tblPayments[[#This Row],[Balance]]=0,"Full Payment","Deposit")</f>
        <v>Deposit</v>
      </c>
      <c r="N732" s="43">
        <v>12386.11</v>
      </c>
      <c r="O732" s="83">
        <v>46001</v>
      </c>
      <c r="P732" s="87" t="s">
        <v>64</v>
      </c>
    </row>
    <row r="733" spans="1:16" x14ac:dyDescent="0.3">
      <c r="A733" s="77" t="s">
        <v>102</v>
      </c>
      <c r="B733" s="80" t="s">
        <v>77</v>
      </c>
      <c r="C733" s="43">
        <v>24018.34</v>
      </c>
      <c r="D733" s="43"/>
      <c r="E733" s="43">
        <v>24018.34</v>
      </c>
      <c r="F733" s="80" t="s">
        <v>80</v>
      </c>
      <c r="G733" s="83">
        <v>46105</v>
      </c>
      <c r="H733" s="83">
        <v>46112</v>
      </c>
      <c r="I733" s="4">
        <v>7</v>
      </c>
      <c r="J733" s="80" t="str">
        <f>TEXT(tblPayments[[#This Row],[Arrival]],"mmm")</f>
        <v>Mar</v>
      </c>
      <c r="K733" s="80">
        <f>MONTH(tblPayments[[#This Row],[Arrival]])</f>
        <v>3</v>
      </c>
      <c r="L733" s="80">
        <f>YEAR(tblPayments[[#This Row],[Arrival]])</f>
        <v>2026</v>
      </c>
      <c r="M733" s="80" t="str">
        <f>IF(tblPayments[[#This Row],[Balance]]=0,"Full Payment","Deposit")</f>
        <v>Deposit</v>
      </c>
      <c r="N733" s="43">
        <v>14118.86</v>
      </c>
      <c r="O733" s="83">
        <v>45992</v>
      </c>
      <c r="P733" s="87" t="s">
        <v>15</v>
      </c>
    </row>
    <row r="734" spans="1:16" x14ac:dyDescent="0.3">
      <c r="A734" s="77" t="s">
        <v>102</v>
      </c>
      <c r="B734" s="80" t="s">
        <v>77</v>
      </c>
      <c r="C734" s="43">
        <v>18966</v>
      </c>
      <c r="D734" s="43">
        <v>4741.5</v>
      </c>
      <c r="E734" s="43">
        <v>14224.5</v>
      </c>
      <c r="F734" s="80" t="s">
        <v>72</v>
      </c>
      <c r="G734" s="83">
        <v>46106</v>
      </c>
      <c r="H734" s="83">
        <v>46112</v>
      </c>
      <c r="I734" s="4">
        <v>6</v>
      </c>
      <c r="J734" s="80" t="str">
        <f>TEXT(tblPayments[[#This Row],[Arrival]],"mmm")</f>
        <v>Mar</v>
      </c>
      <c r="K734" s="80">
        <f>MONTH(tblPayments[[#This Row],[Arrival]])</f>
        <v>3</v>
      </c>
      <c r="L734" s="80">
        <f>YEAR(tblPayments[[#This Row],[Arrival]])</f>
        <v>2026</v>
      </c>
      <c r="M734" s="80" t="str">
        <f>IF(tblPayments[[#This Row],[Balance]]=0,"Full Payment","Deposit")</f>
        <v>Deposit</v>
      </c>
      <c r="N734" s="43">
        <v>13128.96</v>
      </c>
      <c r="O734" s="83">
        <v>45991</v>
      </c>
      <c r="P734" s="87" t="s">
        <v>43</v>
      </c>
    </row>
    <row r="735" spans="1:16" x14ac:dyDescent="0.3">
      <c r="A735" s="77" t="s">
        <v>102</v>
      </c>
      <c r="B735" s="80" t="s">
        <v>77</v>
      </c>
      <c r="C735" s="43">
        <v>40071.599999999999</v>
      </c>
      <c r="D735" s="43">
        <v>40071.599999999999</v>
      </c>
      <c r="E735" s="43"/>
      <c r="F735" s="80" t="s">
        <v>70</v>
      </c>
      <c r="G735" s="83">
        <v>46106</v>
      </c>
      <c r="H735" s="83">
        <v>46108</v>
      </c>
      <c r="I735" s="4">
        <v>2</v>
      </c>
      <c r="J735" s="80" t="str">
        <f>TEXT(tblPayments[[#This Row],[Arrival]],"mmm")</f>
        <v>Mar</v>
      </c>
      <c r="K735" s="80">
        <f>MONTH(tblPayments[[#This Row],[Arrival]])</f>
        <v>3</v>
      </c>
      <c r="L735" s="80">
        <f>YEAR(tblPayments[[#This Row],[Arrival]])</f>
        <v>2026</v>
      </c>
      <c r="M735" s="80" t="str">
        <f>IF(tblPayments[[#This Row],[Balance]]=0,"Full Payment","Deposit")</f>
        <v>Full Payment</v>
      </c>
      <c r="N735" s="43">
        <v>28697.8</v>
      </c>
      <c r="O735" s="83">
        <v>45710</v>
      </c>
      <c r="P735" s="87" t="s">
        <v>15</v>
      </c>
    </row>
    <row r="736" spans="1:16" x14ac:dyDescent="0.3">
      <c r="A736" s="77" t="s">
        <v>102</v>
      </c>
      <c r="B736" s="80" t="s">
        <v>77</v>
      </c>
      <c r="C736" s="43">
        <v>23822.15</v>
      </c>
      <c r="D736" s="43"/>
      <c r="E736" s="43">
        <v>23822.15</v>
      </c>
      <c r="F736" s="80" t="s">
        <v>75</v>
      </c>
      <c r="G736" s="83">
        <v>46108</v>
      </c>
      <c r="H736" s="83">
        <v>46111</v>
      </c>
      <c r="I736" s="4">
        <v>3</v>
      </c>
      <c r="J736" s="80" t="str">
        <f>TEXT(tblPayments[[#This Row],[Arrival]],"mmm")</f>
        <v>Mar</v>
      </c>
      <c r="K736" s="80">
        <f>MONTH(tblPayments[[#This Row],[Arrival]])</f>
        <v>3</v>
      </c>
      <c r="L736" s="80">
        <f>YEAR(tblPayments[[#This Row],[Arrival]])</f>
        <v>2026</v>
      </c>
      <c r="M736" s="80" t="str">
        <f>IF(tblPayments[[#This Row],[Balance]]=0,"Full Payment","Deposit")</f>
        <v>Deposit</v>
      </c>
      <c r="N736" s="43">
        <v>15795.27</v>
      </c>
      <c r="O736" s="83">
        <v>45767</v>
      </c>
      <c r="P736" s="87" t="s">
        <v>16</v>
      </c>
    </row>
    <row r="737" spans="1:16" x14ac:dyDescent="0.3">
      <c r="A737" s="77" t="s">
        <v>102</v>
      </c>
      <c r="B737" s="80" t="s">
        <v>77</v>
      </c>
      <c r="C737" s="43">
        <v>23136</v>
      </c>
      <c r="D737" s="43"/>
      <c r="E737" s="43">
        <v>23136</v>
      </c>
      <c r="F737" s="80" t="s">
        <v>75</v>
      </c>
      <c r="G737" s="83">
        <v>46109</v>
      </c>
      <c r="H737" s="83">
        <v>46116</v>
      </c>
      <c r="I737" s="4">
        <v>7</v>
      </c>
      <c r="J737" s="80" t="str">
        <f>TEXT(tblPayments[[#This Row],[Arrival]],"mmm")</f>
        <v>Mar</v>
      </c>
      <c r="K737" s="80">
        <f>MONTH(tblPayments[[#This Row],[Arrival]])</f>
        <v>3</v>
      </c>
      <c r="L737" s="80">
        <f>YEAR(tblPayments[[#This Row],[Arrival]])</f>
        <v>2026</v>
      </c>
      <c r="M737" s="80" t="str">
        <f>IF(tblPayments[[#This Row],[Balance]]=0,"Full Payment","Deposit")</f>
        <v>Deposit</v>
      </c>
      <c r="N737" s="43">
        <v>12455.31</v>
      </c>
      <c r="O737" s="83">
        <v>45834</v>
      </c>
      <c r="P737" s="87" t="s">
        <v>2</v>
      </c>
    </row>
    <row r="738" spans="1:16" x14ac:dyDescent="0.3">
      <c r="A738" s="77" t="s">
        <v>102</v>
      </c>
      <c r="B738" s="80" t="s">
        <v>77</v>
      </c>
      <c r="C738" s="43">
        <v>624</v>
      </c>
      <c r="D738" s="43"/>
      <c r="E738" s="43">
        <v>624</v>
      </c>
      <c r="F738" s="80" t="s">
        <v>82</v>
      </c>
      <c r="G738" s="83">
        <v>46109</v>
      </c>
      <c r="H738" s="83">
        <v>46122</v>
      </c>
      <c r="I738" s="4">
        <v>13</v>
      </c>
      <c r="J738" s="80" t="str">
        <f>TEXT(tblPayments[[#This Row],[Arrival]],"mmm")</f>
        <v>Mar</v>
      </c>
      <c r="K738" s="80">
        <f>MONTH(tblPayments[[#This Row],[Arrival]])</f>
        <v>3</v>
      </c>
      <c r="L738" s="80">
        <f>YEAR(tblPayments[[#This Row],[Arrival]])</f>
        <v>2026</v>
      </c>
      <c r="M738" s="80" t="str">
        <f>IF(tblPayments[[#This Row],[Balance]]=0,"Full Payment","Deposit")</f>
        <v>Deposit</v>
      </c>
      <c r="N738" s="43">
        <v>0</v>
      </c>
      <c r="O738" s="83">
        <v>45893</v>
      </c>
      <c r="P738" s="87" t="s">
        <v>2</v>
      </c>
    </row>
    <row r="739" spans="1:16" x14ac:dyDescent="0.3">
      <c r="A739" s="77" t="s">
        <v>102</v>
      </c>
      <c r="B739" s="80" t="s">
        <v>77</v>
      </c>
      <c r="C739" s="43">
        <v>360</v>
      </c>
      <c r="D739" s="43"/>
      <c r="E739" s="43">
        <v>360</v>
      </c>
      <c r="F739" s="80" t="s">
        <v>82</v>
      </c>
      <c r="G739" s="83">
        <v>46109</v>
      </c>
      <c r="H739" s="83">
        <v>46119</v>
      </c>
      <c r="I739" s="4">
        <v>10</v>
      </c>
      <c r="J739" s="80" t="str">
        <f>TEXT(tblPayments[[#This Row],[Arrival]],"mmm")</f>
        <v>Mar</v>
      </c>
      <c r="K739" s="80">
        <f>MONTH(tblPayments[[#This Row],[Arrival]])</f>
        <v>3</v>
      </c>
      <c r="L739" s="80">
        <f>YEAR(tblPayments[[#This Row],[Arrival]])</f>
        <v>2026</v>
      </c>
      <c r="M739" s="80" t="str">
        <f>IF(tblPayments[[#This Row],[Balance]]=0,"Full Payment","Deposit")</f>
        <v>Deposit</v>
      </c>
      <c r="N739" s="43">
        <v>0</v>
      </c>
      <c r="O739" s="83">
        <v>45905</v>
      </c>
      <c r="P739" s="87" t="s">
        <v>2</v>
      </c>
    </row>
    <row r="740" spans="1:16" x14ac:dyDescent="0.3">
      <c r="A740" s="77" t="s">
        <v>102</v>
      </c>
      <c r="B740" s="80" t="s">
        <v>77</v>
      </c>
      <c r="C740" s="43">
        <v>67019.94</v>
      </c>
      <c r="D740" s="43">
        <v>16754.98</v>
      </c>
      <c r="E740" s="43">
        <v>50264.959999999999</v>
      </c>
      <c r="F740" s="80" t="s">
        <v>72</v>
      </c>
      <c r="G740" s="83">
        <v>46109</v>
      </c>
      <c r="H740" s="83">
        <v>46124</v>
      </c>
      <c r="I740" s="4">
        <v>15</v>
      </c>
      <c r="J740" s="80" t="str">
        <f>TEXT(tblPayments[[#This Row],[Arrival]],"mmm")</f>
        <v>Mar</v>
      </c>
      <c r="K740" s="80">
        <f>MONTH(tblPayments[[#This Row],[Arrival]])</f>
        <v>3</v>
      </c>
      <c r="L740" s="80">
        <f>YEAR(tblPayments[[#This Row],[Arrival]])</f>
        <v>2026</v>
      </c>
      <c r="M740" s="80" t="str">
        <f>IF(tblPayments[[#This Row],[Balance]]=0,"Full Payment","Deposit")</f>
        <v>Deposit</v>
      </c>
      <c r="N740" s="43">
        <v>41246.85</v>
      </c>
      <c r="O740" s="83">
        <v>45963</v>
      </c>
      <c r="P740" s="87" t="s">
        <v>6</v>
      </c>
    </row>
    <row r="741" spans="1:16" x14ac:dyDescent="0.3">
      <c r="A741" s="77" t="s">
        <v>102</v>
      </c>
      <c r="B741" s="80" t="s">
        <v>76</v>
      </c>
      <c r="C741" s="43">
        <v>45920</v>
      </c>
      <c r="D741" s="43">
        <v>45920</v>
      </c>
      <c r="E741" s="43"/>
      <c r="F741" s="80" t="s">
        <v>70</v>
      </c>
      <c r="G741" s="83">
        <v>46110</v>
      </c>
      <c r="H741" s="83">
        <v>46115</v>
      </c>
      <c r="I741" s="4">
        <v>5</v>
      </c>
      <c r="J741" s="80" t="str">
        <f>TEXT(tblPayments[[#This Row],[Arrival]],"mmm")</f>
        <v>Mar</v>
      </c>
      <c r="K741" s="80">
        <f>MONTH(tblPayments[[#This Row],[Arrival]])</f>
        <v>3</v>
      </c>
      <c r="L741" s="80">
        <f>YEAR(tblPayments[[#This Row],[Arrival]])</f>
        <v>2026</v>
      </c>
      <c r="M741" s="80" t="str">
        <f>IF(tblPayments[[#This Row],[Balance]]=0,"Full Payment","Deposit")</f>
        <v>Full Payment</v>
      </c>
      <c r="N741" s="43">
        <v>26483.31</v>
      </c>
      <c r="O741" s="83">
        <v>45831</v>
      </c>
      <c r="P741" s="87" t="s">
        <v>44</v>
      </c>
    </row>
    <row r="742" spans="1:16" x14ac:dyDescent="0.3">
      <c r="A742" s="77" t="s">
        <v>102</v>
      </c>
      <c r="B742" s="80" t="s">
        <v>76</v>
      </c>
      <c r="C742" s="43">
        <v>13428</v>
      </c>
      <c r="D742" s="43">
        <v>13428</v>
      </c>
      <c r="E742" s="43">
        <v>13428</v>
      </c>
      <c r="F742" s="80" t="s">
        <v>72</v>
      </c>
      <c r="G742" s="83">
        <v>46110</v>
      </c>
      <c r="H742" s="83">
        <v>46113</v>
      </c>
      <c r="I742" s="4">
        <v>3</v>
      </c>
      <c r="J742" s="80" t="str">
        <f>TEXT(tblPayments[[#This Row],[Arrival]],"mmm")</f>
        <v>Mar</v>
      </c>
      <c r="K742" s="80">
        <f>MONTH(tblPayments[[#This Row],[Arrival]])</f>
        <v>3</v>
      </c>
      <c r="L742" s="80">
        <f>YEAR(tblPayments[[#This Row],[Arrival]])</f>
        <v>2026</v>
      </c>
      <c r="M742" s="80" t="str">
        <f>IF(tblPayments[[#This Row],[Balance]]=0,"Full Payment","Deposit")</f>
        <v>Deposit</v>
      </c>
      <c r="N742" s="43">
        <v>6172.5</v>
      </c>
      <c r="O742" s="83">
        <v>45436</v>
      </c>
      <c r="P742" s="87" t="s">
        <v>13</v>
      </c>
    </row>
    <row r="743" spans="1:16" x14ac:dyDescent="0.3">
      <c r="A743" s="77" t="s">
        <v>102</v>
      </c>
      <c r="B743" s="80" t="s">
        <v>76</v>
      </c>
      <c r="C743" s="43">
        <v>40483</v>
      </c>
      <c r="D743" s="43"/>
      <c r="E743" s="43">
        <v>40483</v>
      </c>
      <c r="F743" s="80" t="s">
        <v>75</v>
      </c>
      <c r="G743" s="83">
        <v>46110</v>
      </c>
      <c r="H743" s="83">
        <v>46113</v>
      </c>
      <c r="I743" s="4">
        <v>3</v>
      </c>
      <c r="J743" s="80" t="str">
        <f>TEXT(tblPayments[[#This Row],[Arrival]],"mmm")</f>
        <v>Mar</v>
      </c>
      <c r="K743" s="80">
        <f>MONTH(tblPayments[[#This Row],[Arrival]])</f>
        <v>3</v>
      </c>
      <c r="L743" s="80">
        <f>YEAR(tblPayments[[#This Row],[Arrival]])</f>
        <v>2026</v>
      </c>
      <c r="M743" s="80" t="str">
        <f>IF(tblPayments[[#This Row],[Balance]]=0,"Full Payment","Deposit")</f>
        <v>Deposit</v>
      </c>
      <c r="N743" s="43">
        <v>29027.97</v>
      </c>
      <c r="O743" s="83">
        <v>45771</v>
      </c>
      <c r="P743" s="87" t="s">
        <v>13</v>
      </c>
    </row>
    <row r="744" spans="1:16" x14ac:dyDescent="0.3">
      <c r="A744" s="77" t="s">
        <v>102</v>
      </c>
      <c r="B744" s="80" t="s">
        <v>76</v>
      </c>
      <c r="C744" s="43">
        <v>32329</v>
      </c>
      <c r="D744" s="43"/>
      <c r="E744" s="43">
        <v>32329</v>
      </c>
      <c r="F744" s="80" t="s">
        <v>79</v>
      </c>
      <c r="G744" s="83">
        <v>46111</v>
      </c>
      <c r="H744" s="83">
        <v>46120</v>
      </c>
      <c r="I744" s="4">
        <v>9</v>
      </c>
      <c r="J744" s="80" t="str">
        <f>TEXT(tblPayments[[#This Row],[Arrival]],"mmm")</f>
        <v>Mar</v>
      </c>
      <c r="K744" s="80">
        <f>MONTH(tblPayments[[#This Row],[Arrival]])</f>
        <v>3</v>
      </c>
      <c r="L744" s="80">
        <f>YEAR(tblPayments[[#This Row],[Arrival]])</f>
        <v>2026</v>
      </c>
      <c r="M744" s="80" t="str">
        <f>IF(tblPayments[[#This Row],[Balance]]=0,"Full Payment","Deposit")</f>
        <v>Deposit</v>
      </c>
      <c r="N744" s="43">
        <v>21153.87</v>
      </c>
      <c r="O744" s="83">
        <v>45967</v>
      </c>
      <c r="P744" s="87" t="s">
        <v>13</v>
      </c>
    </row>
    <row r="745" spans="1:16" x14ac:dyDescent="0.3">
      <c r="A745" s="77" t="s">
        <v>102</v>
      </c>
      <c r="B745" s="80" t="s">
        <v>76</v>
      </c>
      <c r="C745" s="43">
        <v>21688.9</v>
      </c>
      <c r="D745" s="43">
        <v>5422.22</v>
      </c>
      <c r="E745" s="43">
        <v>16266.68</v>
      </c>
      <c r="F745" s="80" t="s">
        <v>72</v>
      </c>
      <c r="G745" s="83">
        <v>46111</v>
      </c>
      <c r="H745" s="83">
        <v>46116</v>
      </c>
      <c r="I745" s="4">
        <v>5</v>
      </c>
      <c r="J745" s="80" t="str">
        <f>TEXT(tblPayments[[#This Row],[Arrival]],"mmm")</f>
        <v>Mar</v>
      </c>
      <c r="K745" s="80">
        <f>MONTH(tblPayments[[#This Row],[Arrival]])</f>
        <v>3</v>
      </c>
      <c r="L745" s="80">
        <f>YEAR(tblPayments[[#This Row],[Arrival]])</f>
        <v>2026</v>
      </c>
      <c r="M745" s="80" t="str">
        <f>IF(tblPayments[[#This Row],[Balance]]=0,"Full Payment","Deposit")</f>
        <v>Deposit</v>
      </c>
      <c r="N745" s="43">
        <v>12590.75</v>
      </c>
      <c r="O745" s="83">
        <v>45976</v>
      </c>
      <c r="P745" s="87" t="s">
        <v>38</v>
      </c>
    </row>
    <row r="746" spans="1:16" x14ac:dyDescent="0.3">
      <c r="A746" s="77" t="s">
        <v>102</v>
      </c>
      <c r="B746" s="80" t="s">
        <v>76</v>
      </c>
      <c r="C746" s="43">
        <v>24904.46</v>
      </c>
      <c r="D746" s="43">
        <v>6226.11</v>
      </c>
      <c r="E746" s="43">
        <v>18678.349999999999</v>
      </c>
      <c r="F746" s="80" t="s">
        <v>72</v>
      </c>
      <c r="G746" s="83">
        <v>46111</v>
      </c>
      <c r="H746" s="83">
        <v>46118</v>
      </c>
      <c r="I746" s="4">
        <v>7</v>
      </c>
      <c r="J746" s="80" t="str">
        <f>TEXT(tblPayments[[#This Row],[Arrival]],"mmm")</f>
        <v>Mar</v>
      </c>
      <c r="K746" s="80">
        <f>MONTH(tblPayments[[#This Row],[Arrival]])</f>
        <v>3</v>
      </c>
      <c r="L746" s="80">
        <f>YEAR(tblPayments[[#This Row],[Arrival]])</f>
        <v>2026</v>
      </c>
      <c r="M746" s="80" t="str">
        <f>IF(tblPayments[[#This Row],[Balance]]=0,"Full Payment","Deposit")</f>
        <v>Deposit</v>
      </c>
      <c r="N746" s="43">
        <v>17627.05</v>
      </c>
      <c r="O746" s="83">
        <v>45960</v>
      </c>
      <c r="P746" s="87" t="s">
        <v>9</v>
      </c>
    </row>
    <row r="747" spans="1:16" x14ac:dyDescent="0.3">
      <c r="A747" s="77" t="s">
        <v>102</v>
      </c>
      <c r="B747" s="80" t="s">
        <v>76</v>
      </c>
      <c r="C747" s="43">
        <v>31662.959999999999</v>
      </c>
      <c r="D747" s="43"/>
      <c r="E747" s="43">
        <v>31662.959999999999</v>
      </c>
      <c r="F747" s="80" t="s">
        <v>75</v>
      </c>
      <c r="G747" s="83">
        <v>46112</v>
      </c>
      <c r="H747" s="83">
        <v>46116</v>
      </c>
      <c r="I747" s="4">
        <v>4</v>
      </c>
      <c r="J747" s="80" t="str">
        <f>TEXT(tblPayments[[#This Row],[Arrival]],"mmm")</f>
        <v>Mar</v>
      </c>
      <c r="K747" s="80">
        <f>MONTH(tblPayments[[#This Row],[Arrival]])</f>
        <v>3</v>
      </c>
      <c r="L747" s="80">
        <f>YEAR(tblPayments[[#This Row],[Arrival]])</f>
        <v>2026</v>
      </c>
      <c r="M747" s="80" t="str">
        <f>IF(tblPayments[[#This Row],[Balance]]=0,"Full Payment","Deposit")</f>
        <v>Deposit</v>
      </c>
      <c r="N747" s="43">
        <v>16682.68</v>
      </c>
      <c r="O747" s="83">
        <v>45860</v>
      </c>
      <c r="P747" s="87" t="s">
        <v>38</v>
      </c>
    </row>
    <row r="748" spans="1:16" x14ac:dyDescent="0.3">
      <c r="A748" s="77" t="s">
        <v>102</v>
      </c>
      <c r="B748" s="80" t="s">
        <v>76</v>
      </c>
      <c r="C748" s="43">
        <v>17877.25</v>
      </c>
      <c r="D748" s="43">
        <v>17877.25</v>
      </c>
      <c r="E748" s="43"/>
      <c r="F748" s="80" t="s">
        <v>70</v>
      </c>
      <c r="G748" s="83">
        <v>46114</v>
      </c>
      <c r="H748" s="83">
        <v>46117</v>
      </c>
      <c r="I748" s="4">
        <v>3</v>
      </c>
      <c r="J748" s="80" t="str">
        <f>TEXT(tblPayments[[#This Row],[Arrival]],"mmm")</f>
        <v>Apr</v>
      </c>
      <c r="K748" s="80">
        <f>MONTH(tblPayments[[#This Row],[Arrival]])</f>
        <v>4</v>
      </c>
      <c r="L748" s="80">
        <f>YEAR(tblPayments[[#This Row],[Arrival]])</f>
        <v>2026</v>
      </c>
      <c r="M748" s="80" t="str">
        <f>IF(tblPayments[[#This Row],[Balance]]=0,"Full Payment","Deposit")</f>
        <v>Full Payment</v>
      </c>
      <c r="N748" s="43">
        <v>8538.81</v>
      </c>
      <c r="O748" s="83">
        <v>45991</v>
      </c>
      <c r="P748" s="87" t="s">
        <v>41</v>
      </c>
    </row>
    <row r="749" spans="1:16" x14ac:dyDescent="0.3">
      <c r="A749" s="77" t="s">
        <v>102</v>
      </c>
      <c r="B749" s="80" t="s">
        <v>76</v>
      </c>
      <c r="C749" s="43">
        <v>28403.84</v>
      </c>
      <c r="D749" s="43"/>
      <c r="E749" s="43">
        <v>28403.84</v>
      </c>
      <c r="F749" s="80" t="s">
        <v>75</v>
      </c>
      <c r="G749" s="83">
        <v>46115</v>
      </c>
      <c r="H749" s="83">
        <v>46120</v>
      </c>
      <c r="I749" s="4">
        <v>5</v>
      </c>
      <c r="J749" s="80" t="str">
        <f>TEXT(tblPayments[[#This Row],[Arrival]],"mmm")</f>
        <v>Apr</v>
      </c>
      <c r="K749" s="80">
        <f>MONTH(tblPayments[[#This Row],[Arrival]])</f>
        <v>4</v>
      </c>
      <c r="L749" s="80">
        <f>YEAR(tblPayments[[#This Row],[Arrival]])</f>
        <v>2026</v>
      </c>
      <c r="M749" s="80" t="str">
        <f>IF(tblPayments[[#This Row],[Balance]]=0,"Full Payment","Deposit")</f>
        <v>Deposit</v>
      </c>
      <c r="N749" s="43">
        <v>19103.95</v>
      </c>
      <c r="O749" s="83">
        <v>45905</v>
      </c>
      <c r="P749" s="87" t="s">
        <v>14</v>
      </c>
    </row>
    <row r="750" spans="1:16" x14ac:dyDescent="0.3">
      <c r="A750" s="77" t="s">
        <v>102</v>
      </c>
      <c r="B750" s="80" t="s">
        <v>76</v>
      </c>
      <c r="C750" s="43">
        <v>98323.28</v>
      </c>
      <c r="D750" s="43">
        <v>45600</v>
      </c>
      <c r="E750" s="43">
        <v>52723.28</v>
      </c>
      <c r="F750" s="80" t="s">
        <v>72</v>
      </c>
      <c r="G750" s="83">
        <v>46115</v>
      </c>
      <c r="H750" s="83">
        <v>46122</v>
      </c>
      <c r="I750" s="4">
        <v>7</v>
      </c>
      <c r="J750" s="80" t="str">
        <f>TEXT(tblPayments[[#This Row],[Arrival]],"mmm")</f>
        <v>Apr</v>
      </c>
      <c r="K750" s="80">
        <f>MONTH(tblPayments[[#This Row],[Arrival]])</f>
        <v>4</v>
      </c>
      <c r="L750" s="80">
        <f>YEAR(tblPayments[[#This Row],[Arrival]])</f>
        <v>2026</v>
      </c>
      <c r="M750" s="80" t="str">
        <f>IF(tblPayments[[#This Row],[Balance]]=0,"Full Payment","Deposit")</f>
        <v>Deposit</v>
      </c>
      <c r="N750" s="43">
        <v>50609.93</v>
      </c>
      <c r="O750" s="83">
        <v>45680</v>
      </c>
      <c r="P750" s="87" t="s">
        <v>2</v>
      </c>
    </row>
    <row r="751" spans="1:16" x14ac:dyDescent="0.3">
      <c r="A751" s="77" t="s">
        <v>102</v>
      </c>
      <c r="B751" s="80" t="s">
        <v>76</v>
      </c>
      <c r="C751" s="43">
        <v>24499.98</v>
      </c>
      <c r="D751" s="43"/>
      <c r="E751" s="43">
        <v>24499.98</v>
      </c>
      <c r="F751" s="80" t="s">
        <v>75</v>
      </c>
      <c r="G751" s="83">
        <v>46116</v>
      </c>
      <c r="H751" s="83">
        <v>46122</v>
      </c>
      <c r="I751" s="4">
        <v>6</v>
      </c>
      <c r="J751" s="80" t="str">
        <f>TEXT(tblPayments[[#This Row],[Arrival]],"mmm")</f>
        <v>Apr</v>
      </c>
      <c r="K751" s="80">
        <f>MONTH(tblPayments[[#This Row],[Arrival]])</f>
        <v>4</v>
      </c>
      <c r="L751" s="80">
        <f>YEAR(tblPayments[[#This Row],[Arrival]])</f>
        <v>2026</v>
      </c>
      <c r="M751" s="80" t="str">
        <f>IF(tblPayments[[#This Row],[Balance]]=0,"Full Payment","Deposit")</f>
        <v>Deposit</v>
      </c>
      <c r="N751" s="43">
        <v>12472.38</v>
      </c>
      <c r="O751" s="83">
        <v>45744</v>
      </c>
      <c r="P751" s="87" t="s">
        <v>2</v>
      </c>
    </row>
    <row r="752" spans="1:16" x14ac:dyDescent="0.3">
      <c r="A752" s="77" t="s">
        <v>102</v>
      </c>
      <c r="B752" s="80" t="s">
        <v>76</v>
      </c>
      <c r="C752" s="43">
        <v>45274</v>
      </c>
      <c r="D752" s="43">
        <v>11318.5</v>
      </c>
      <c r="E752" s="43">
        <v>33955.5</v>
      </c>
      <c r="F752" s="80" t="s">
        <v>72</v>
      </c>
      <c r="G752" s="83">
        <v>46116</v>
      </c>
      <c r="H752" s="83">
        <v>46126</v>
      </c>
      <c r="I752" s="4">
        <v>10</v>
      </c>
      <c r="J752" s="80" t="str">
        <f>TEXT(tblPayments[[#This Row],[Arrival]],"mmm")</f>
        <v>Apr</v>
      </c>
      <c r="K752" s="80">
        <f>MONTH(tblPayments[[#This Row],[Arrival]])</f>
        <v>4</v>
      </c>
      <c r="L752" s="80">
        <f>YEAR(tblPayments[[#This Row],[Arrival]])</f>
        <v>2026</v>
      </c>
      <c r="M752" s="80" t="str">
        <f>IF(tblPayments[[#This Row],[Balance]]=0,"Full Payment","Deposit")</f>
        <v>Deposit</v>
      </c>
      <c r="N752" s="43">
        <v>29810.7</v>
      </c>
      <c r="O752" s="83">
        <v>45956</v>
      </c>
      <c r="P752" s="87" t="s">
        <v>9</v>
      </c>
    </row>
    <row r="753" spans="1:16" x14ac:dyDescent="0.3">
      <c r="A753" s="77" t="s">
        <v>102</v>
      </c>
      <c r="B753" s="80" t="s">
        <v>76</v>
      </c>
      <c r="C753" s="43">
        <v>34188</v>
      </c>
      <c r="D753" s="43"/>
      <c r="E753" s="43">
        <v>34188</v>
      </c>
      <c r="F753" s="80" t="s">
        <v>75</v>
      </c>
      <c r="G753" s="83">
        <v>46116</v>
      </c>
      <c r="H753" s="83">
        <v>46122</v>
      </c>
      <c r="I753" s="4">
        <v>6</v>
      </c>
      <c r="J753" s="80" t="str">
        <f>TEXT(tblPayments[[#This Row],[Arrival]],"mmm")</f>
        <v>Apr</v>
      </c>
      <c r="K753" s="80">
        <f>MONTH(tblPayments[[#This Row],[Arrival]])</f>
        <v>4</v>
      </c>
      <c r="L753" s="80">
        <f>YEAR(tblPayments[[#This Row],[Arrival]])</f>
        <v>2026</v>
      </c>
      <c r="M753" s="80" t="str">
        <f>IF(tblPayments[[#This Row],[Balance]]=0,"Full Payment","Deposit")</f>
        <v>Deposit</v>
      </c>
      <c r="N753" s="43">
        <v>19020.96</v>
      </c>
      <c r="O753" s="83">
        <v>45909</v>
      </c>
      <c r="P753" s="87" t="s">
        <v>60</v>
      </c>
    </row>
    <row r="754" spans="1:16" x14ac:dyDescent="0.3">
      <c r="A754" s="77" t="s">
        <v>102</v>
      </c>
      <c r="B754" s="80" t="s">
        <v>76</v>
      </c>
      <c r="C754" s="43">
        <v>23977</v>
      </c>
      <c r="D754" s="43">
        <v>6000</v>
      </c>
      <c r="E754" s="43">
        <v>17977</v>
      </c>
      <c r="F754" s="80" t="s">
        <v>72</v>
      </c>
      <c r="G754" s="83">
        <v>46116</v>
      </c>
      <c r="H754" s="83">
        <v>46123</v>
      </c>
      <c r="I754" s="4">
        <v>7</v>
      </c>
      <c r="J754" s="80" t="str">
        <f>TEXT(tblPayments[[#This Row],[Arrival]],"mmm")</f>
        <v>Apr</v>
      </c>
      <c r="K754" s="80">
        <f>MONTH(tblPayments[[#This Row],[Arrival]])</f>
        <v>4</v>
      </c>
      <c r="L754" s="80">
        <f>YEAR(tblPayments[[#This Row],[Arrival]])</f>
        <v>2026</v>
      </c>
      <c r="M754" s="80" t="str">
        <f>IF(tblPayments[[#This Row],[Balance]]=0,"Full Payment","Deposit")</f>
        <v>Deposit</v>
      </c>
      <c r="N754" s="43">
        <v>15624.98</v>
      </c>
      <c r="O754" s="83">
        <v>45963</v>
      </c>
      <c r="P754" s="87" t="s">
        <v>40</v>
      </c>
    </row>
    <row r="755" spans="1:16" x14ac:dyDescent="0.3">
      <c r="A755" s="77" t="s">
        <v>102</v>
      </c>
      <c r="B755" s="80" t="s">
        <v>76</v>
      </c>
      <c r="C755" s="43">
        <v>27738</v>
      </c>
      <c r="D755" s="43"/>
      <c r="E755" s="43">
        <v>27738</v>
      </c>
      <c r="F755" s="80" t="s">
        <v>75</v>
      </c>
      <c r="G755" s="83">
        <v>46117</v>
      </c>
      <c r="H755" s="83">
        <v>46123</v>
      </c>
      <c r="I755" s="4">
        <v>6</v>
      </c>
      <c r="J755" s="80" t="str">
        <f>TEXT(tblPayments[[#This Row],[Arrival]],"mmm")</f>
        <v>Apr</v>
      </c>
      <c r="K755" s="80">
        <f>MONTH(tblPayments[[#This Row],[Arrival]])</f>
        <v>4</v>
      </c>
      <c r="L755" s="80">
        <f>YEAR(tblPayments[[#This Row],[Arrival]])</f>
        <v>2026</v>
      </c>
      <c r="M755" s="80" t="str">
        <f>IF(tblPayments[[#This Row],[Balance]]=0,"Full Payment","Deposit")</f>
        <v>Deposit</v>
      </c>
      <c r="N755" s="43">
        <v>20349.66</v>
      </c>
      <c r="O755" s="83">
        <v>45766</v>
      </c>
      <c r="P755" s="87" t="s">
        <v>15</v>
      </c>
    </row>
    <row r="756" spans="1:16" x14ac:dyDescent="0.3">
      <c r="A756" s="77" t="s">
        <v>102</v>
      </c>
      <c r="B756" s="80" t="s">
        <v>76</v>
      </c>
      <c r="C756" s="43">
        <v>17252</v>
      </c>
      <c r="D756" s="43"/>
      <c r="E756" s="43">
        <v>17252</v>
      </c>
      <c r="F756" s="80" t="s">
        <v>75</v>
      </c>
      <c r="G756" s="83">
        <v>46118</v>
      </c>
      <c r="H756" s="83">
        <v>46121</v>
      </c>
      <c r="I756" s="4">
        <v>3</v>
      </c>
      <c r="J756" s="80" t="str">
        <f>TEXT(tblPayments[[#This Row],[Arrival]],"mmm")</f>
        <v>Apr</v>
      </c>
      <c r="K756" s="80">
        <f>MONTH(tblPayments[[#This Row],[Arrival]])</f>
        <v>4</v>
      </c>
      <c r="L756" s="80">
        <f>YEAR(tblPayments[[#This Row],[Arrival]])</f>
        <v>2026</v>
      </c>
      <c r="M756" s="80" t="str">
        <f>IF(tblPayments[[#This Row],[Balance]]=0,"Full Payment","Deposit")</f>
        <v>Deposit</v>
      </c>
      <c r="N756" s="43">
        <v>11025.63</v>
      </c>
      <c r="O756" s="83">
        <v>45801</v>
      </c>
      <c r="P756" s="87" t="s">
        <v>2</v>
      </c>
    </row>
    <row r="757" spans="1:16" x14ac:dyDescent="0.3">
      <c r="A757" s="77" t="s">
        <v>102</v>
      </c>
      <c r="B757" s="80" t="s">
        <v>76</v>
      </c>
      <c r="C757" s="43">
        <v>15856</v>
      </c>
      <c r="D757" s="43">
        <v>3964</v>
      </c>
      <c r="E757" s="43">
        <v>11892</v>
      </c>
      <c r="F757" s="80" t="s">
        <v>72</v>
      </c>
      <c r="G757" s="83">
        <v>46118</v>
      </c>
      <c r="H757" s="83">
        <v>46122</v>
      </c>
      <c r="I757" s="4">
        <v>4</v>
      </c>
      <c r="J757" s="80" t="str">
        <f>TEXT(tblPayments[[#This Row],[Arrival]],"mmm")</f>
        <v>Apr</v>
      </c>
      <c r="K757" s="80">
        <f>MONTH(tblPayments[[#This Row],[Arrival]])</f>
        <v>4</v>
      </c>
      <c r="L757" s="80">
        <f>YEAR(tblPayments[[#This Row],[Arrival]])</f>
        <v>2026</v>
      </c>
      <c r="M757" s="80" t="str">
        <f>IF(tblPayments[[#This Row],[Balance]]=0,"Full Payment","Deposit")</f>
        <v>Deposit</v>
      </c>
      <c r="N757" s="43">
        <v>9340.67</v>
      </c>
      <c r="O757" s="83">
        <v>45993</v>
      </c>
      <c r="P757" s="87" t="s">
        <v>31</v>
      </c>
    </row>
    <row r="758" spans="1:16" x14ac:dyDescent="0.3">
      <c r="A758" s="77" t="s">
        <v>102</v>
      </c>
      <c r="B758" s="80" t="s">
        <v>76</v>
      </c>
      <c r="C758" s="43">
        <v>16285</v>
      </c>
      <c r="D758" s="43">
        <v>4071.25</v>
      </c>
      <c r="E758" s="43">
        <v>12213.75</v>
      </c>
      <c r="F758" s="80" t="s">
        <v>72</v>
      </c>
      <c r="G758" s="83">
        <v>46120</v>
      </c>
      <c r="H758" s="83">
        <v>46124</v>
      </c>
      <c r="I758" s="4">
        <v>4</v>
      </c>
      <c r="J758" s="80" t="str">
        <f>TEXT(tblPayments[[#This Row],[Arrival]],"mmm")</f>
        <v>Apr</v>
      </c>
      <c r="K758" s="80">
        <f>MONTH(tblPayments[[#This Row],[Arrival]])</f>
        <v>4</v>
      </c>
      <c r="L758" s="80">
        <f>YEAR(tblPayments[[#This Row],[Arrival]])</f>
        <v>2026</v>
      </c>
      <c r="M758" s="80" t="str">
        <f>IF(tblPayments[[#This Row],[Balance]]=0,"Full Payment","Deposit")</f>
        <v>Deposit</v>
      </c>
      <c r="N758" s="43">
        <v>8368.2800000000007</v>
      </c>
      <c r="O758" s="83">
        <v>45878</v>
      </c>
      <c r="P758" s="87" t="s">
        <v>2</v>
      </c>
    </row>
    <row r="759" spans="1:16" x14ac:dyDescent="0.3">
      <c r="A759" s="77" t="s">
        <v>102</v>
      </c>
      <c r="B759" s="80" t="s">
        <v>76</v>
      </c>
      <c r="C759" s="43"/>
      <c r="D759" s="43"/>
      <c r="E759" s="43"/>
      <c r="F759" s="80"/>
      <c r="G759" s="83">
        <v>46122</v>
      </c>
      <c r="H759" s="83">
        <v>46128</v>
      </c>
      <c r="I759" s="4">
        <v>6</v>
      </c>
      <c r="J759" s="80" t="str">
        <f>TEXT(tblPayments[[#This Row],[Arrival]],"mmm")</f>
        <v>Apr</v>
      </c>
      <c r="K759" s="80">
        <f>MONTH(tblPayments[[#This Row],[Arrival]])</f>
        <v>4</v>
      </c>
      <c r="L759" s="80">
        <f>YEAR(tblPayments[[#This Row],[Arrival]])</f>
        <v>2026</v>
      </c>
      <c r="M759" s="80" t="str">
        <f>IF(tblPayments[[#This Row],[Balance]]=0,"Full Payment","Deposit")</f>
        <v>Full Payment</v>
      </c>
      <c r="N759" s="43">
        <v>10678.81</v>
      </c>
      <c r="O759" s="83">
        <v>46001</v>
      </c>
      <c r="P759" s="87" t="s">
        <v>65</v>
      </c>
    </row>
    <row r="760" spans="1:16" x14ac:dyDescent="0.3">
      <c r="A760" s="77" t="s">
        <v>102</v>
      </c>
      <c r="B760" s="80" t="s">
        <v>77</v>
      </c>
      <c r="C760" s="43">
        <v>36078.720000000001</v>
      </c>
      <c r="D760" s="43"/>
      <c r="E760" s="43">
        <v>36078.720000000001</v>
      </c>
      <c r="F760" s="80" t="s">
        <v>75</v>
      </c>
      <c r="G760" s="83">
        <v>46123</v>
      </c>
      <c r="H760" s="83">
        <v>46130</v>
      </c>
      <c r="I760" s="4">
        <v>7</v>
      </c>
      <c r="J760" s="80" t="str">
        <f>TEXT(tblPayments[[#This Row],[Arrival]],"mmm")</f>
        <v>Apr</v>
      </c>
      <c r="K760" s="80">
        <f>MONTH(tblPayments[[#This Row],[Arrival]])</f>
        <v>4</v>
      </c>
      <c r="L760" s="80">
        <f>YEAR(tblPayments[[#This Row],[Arrival]])</f>
        <v>2026</v>
      </c>
      <c r="M760" s="80" t="str">
        <f>IF(tblPayments[[#This Row],[Balance]]=0,"Full Payment","Deposit")</f>
        <v>Deposit</v>
      </c>
      <c r="N760" s="43">
        <v>23178.19</v>
      </c>
      <c r="O760" s="83">
        <v>45744</v>
      </c>
      <c r="P760" s="87" t="s">
        <v>38</v>
      </c>
    </row>
    <row r="761" spans="1:16" x14ac:dyDescent="0.3">
      <c r="A761" s="77" t="s">
        <v>102</v>
      </c>
      <c r="B761" s="80" t="s">
        <v>77</v>
      </c>
      <c r="C761" s="43">
        <v>37546.720000000001</v>
      </c>
      <c r="D761" s="43"/>
      <c r="E761" s="43">
        <v>37546.720000000001</v>
      </c>
      <c r="F761" s="80" t="s">
        <v>75</v>
      </c>
      <c r="G761" s="83">
        <v>46123</v>
      </c>
      <c r="H761" s="83">
        <v>46130</v>
      </c>
      <c r="I761" s="4">
        <v>7</v>
      </c>
      <c r="J761" s="80" t="str">
        <f>TEXT(tblPayments[[#This Row],[Arrival]],"mmm")</f>
        <v>Apr</v>
      </c>
      <c r="K761" s="80">
        <f>MONTH(tblPayments[[#This Row],[Arrival]])</f>
        <v>4</v>
      </c>
      <c r="L761" s="80">
        <f>YEAR(tblPayments[[#This Row],[Arrival]])</f>
        <v>2026</v>
      </c>
      <c r="M761" s="80" t="str">
        <f>IF(tblPayments[[#This Row],[Balance]]=0,"Full Payment","Deposit")</f>
        <v>Deposit</v>
      </c>
      <c r="N761" s="43">
        <v>22751.05</v>
      </c>
      <c r="O761" s="83">
        <v>45743</v>
      </c>
      <c r="P761" s="87" t="s">
        <v>2</v>
      </c>
    </row>
    <row r="762" spans="1:16" x14ac:dyDescent="0.3">
      <c r="A762" s="77" t="s">
        <v>102</v>
      </c>
      <c r="B762" s="80" t="s">
        <v>77</v>
      </c>
      <c r="C762" s="43">
        <v>22919.15</v>
      </c>
      <c r="D762" s="43">
        <v>5729.79</v>
      </c>
      <c r="E762" s="43">
        <v>17189.36</v>
      </c>
      <c r="F762" s="80" t="s">
        <v>72</v>
      </c>
      <c r="G762" s="83">
        <v>46123</v>
      </c>
      <c r="H762" s="83">
        <v>46130</v>
      </c>
      <c r="I762" s="4">
        <v>7</v>
      </c>
      <c r="J762" s="80" t="str">
        <f>TEXT(tblPayments[[#This Row],[Arrival]],"mmm")</f>
        <v>Apr</v>
      </c>
      <c r="K762" s="80">
        <f>MONTH(tblPayments[[#This Row],[Arrival]])</f>
        <v>4</v>
      </c>
      <c r="L762" s="80">
        <f>YEAR(tblPayments[[#This Row],[Arrival]])</f>
        <v>2026</v>
      </c>
      <c r="M762" s="80" t="str">
        <f>IF(tblPayments[[#This Row],[Balance]]=0,"Full Payment","Deposit")</f>
        <v>Deposit</v>
      </c>
      <c r="N762" s="43">
        <v>12464.28</v>
      </c>
      <c r="O762" s="83">
        <v>45989</v>
      </c>
      <c r="P762" s="87" t="s">
        <v>38</v>
      </c>
    </row>
    <row r="763" spans="1:16" x14ac:dyDescent="0.3">
      <c r="A763" s="77" t="s">
        <v>102</v>
      </c>
      <c r="B763" s="80" t="s">
        <v>77</v>
      </c>
      <c r="C763" s="43">
        <v>19742.75</v>
      </c>
      <c r="D763" s="43"/>
      <c r="E763" s="43">
        <v>19742.75</v>
      </c>
      <c r="F763" s="80" t="s">
        <v>75</v>
      </c>
      <c r="G763" s="83">
        <v>46123</v>
      </c>
      <c r="H763" s="83">
        <v>46125</v>
      </c>
      <c r="I763" s="4">
        <v>2</v>
      </c>
      <c r="J763" s="80" t="str">
        <f>TEXT(tblPayments[[#This Row],[Arrival]],"mmm")</f>
        <v>Apr</v>
      </c>
      <c r="K763" s="80">
        <f>MONTH(tblPayments[[#This Row],[Arrival]])</f>
        <v>4</v>
      </c>
      <c r="L763" s="80">
        <f>YEAR(tblPayments[[#This Row],[Arrival]])</f>
        <v>2026</v>
      </c>
      <c r="M763" s="80" t="str">
        <f>IF(tblPayments[[#This Row],[Balance]]=0,"Full Payment","Deposit")</f>
        <v>Deposit</v>
      </c>
      <c r="N763" s="43">
        <v>14478.58</v>
      </c>
      <c r="O763" s="83">
        <v>45953</v>
      </c>
      <c r="P763" s="87" t="s">
        <v>6</v>
      </c>
    </row>
    <row r="764" spans="1:16" x14ac:dyDescent="0.3">
      <c r="A764" s="77" t="s">
        <v>102</v>
      </c>
      <c r="B764" s="80" t="s">
        <v>77</v>
      </c>
      <c r="C764" s="43">
        <v>11630</v>
      </c>
      <c r="D764" s="43">
        <v>2907.5</v>
      </c>
      <c r="E764" s="43">
        <v>8722.5</v>
      </c>
      <c r="F764" s="80" t="s">
        <v>72</v>
      </c>
      <c r="G764" s="83">
        <v>46123</v>
      </c>
      <c r="H764" s="83">
        <v>46127</v>
      </c>
      <c r="I764" s="4">
        <v>4</v>
      </c>
      <c r="J764" s="80" t="str">
        <f>TEXT(tblPayments[[#This Row],[Arrival]],"mmm")</f>
        <v>Apr</v>
      </c>
      <c r="K764" s="80">
        <f>MONTH(tblPayments[[#This Row],[Arrival]])</f>
        <v>4</v>
      </c>
      <c r="L764" s="80">
        <f>YEAR(tblPayments[[#This Row],[Arrival]])</f>
        <v>2026</v>
      </c>
      <c r="M764" s="80" t="str">
        <f>IF(tblPayments[[#This Row],[Balance]]=0,"Full Payment","Deposit")</f>
        <v>Deposit</v>
      </c>
      <c r="N764" s="43">
        <v>8396.2800000000007</v>
      </c>
      <c r="O764" s="83">
        <v>45963</v>
      </c>
      <c r="P764" s="87" t="s">
        <v>31</v>
      </c>
    </row>
    <row r="765" spans="1:16" x14ac:dyDescent="0.3">
      <c r="A765" s="77" t="s">
        <v>102</v>
      </c>
      <c r="B765" s="80" t="s">
        <v>77</v>
      </c>
      <c r="C765" s="43">
        <v>15028.6</v>
      </c>
      <c r="D765" s="43"/>
      <c r="E765" s="43">
        <v>15028.6</v>
      </c>
      <c r="F765" s="80" t="s">
        <v>75</v>
      </c>
      <c r="G765" s="83">
        <v>46124</v>
      </c>
      <c r="H765" s="83">
        <v>46128</v>
      </c>
      <c r="I765" s="4">
        <v>4</v>
      </c>
      <c r="J765" s="80" t="str">
        <f>TEXT(tblPayments[[#This Row],[Arrival]],"mmm")</f>
        <v>Apr</v>
      </c>
      <c r="K765" s="80">
        <f>MONTH(tblPayments[[#This Row],[Arrival]])</f>
        <v>4</v>
      </c>
      <c r="L765" s="80">
        <f>YEAR(tblPayments[[#This Row],[Arrival]])</f>
        <v>2026</v>
      </c>
      <c r="M765" s="80" t="str">
        <f>IF(tblPayments[[#This Row],[Balance]]=0,"Full Payment","Deposit")</f>
        <v>Deposit</v>
      </c>
      <c r="N765" s="43">
        <v>0</v>
      </c>
      <c r="O765" s="83">
        <v>45993</v>
      </c>
      <c r="P765" s="87" t="s">
        <v>31</v>
      </c>
    </row>
    <row r="766" spans="1:16" x14ac:dyDescent="0.3">
      <c r="A766" s="77" t="s">
        <v>102</v>
      </c>
      <c r="B766" s="80" t="s">
        <v>77</v>
      </c>
      <c r="C766" s="43">
        <v>15910.46</v>
      </c>
      <c r="D766" s="43"/>
      <c r="E766" s="43">
        <v>15910.46</v>
      </c>
      <c r="F766" s="80" t="s">
        <v>75</v>
      </c>
      <c r="G766" s="83">
        <v>46124</v>
      </c>
      <c r="H766" s="83">
        <v>46129</v>
      </c>
      <c r="I766" s="4">
        <v>5</v>
      </c>
      <c r="J766" s="80" t="str">
        <f>TEXT(tblPayments[[#This Row],[Arrival]],"mmm")</f>
        <v>Apr</v>
      </c>
      <c r="K766" s="80">
        <f>MONTH(tblPayments[[#This Row],[Arrival]])</f>
        <v>4</v>
      </c>
      <c r="L766" s="80">
        <f>YEAR(tblPayments[[#This Row],[Arrival]])</f>
        <v>2026</v>
      </c>
      <c r="M766" s="80" t="str">
        <f>IF(tblPayments[[#This Row],[Balance]]=0,"Full Payment","Deposit")</f>
        <v>Deposit</v>
      </c>
      <c r="N766" s="43">
        <v>11554.05</v>
      </c>
      <c r="O766" s="83">
        <v>45975</v>
      </c>
      <c r="P766" s="87" t="s">
        <v>66</v>
      </c>
    </row>
    <row r="767" spans="1:16" x14ac:dyDescent="0.3">
      <c r="A767" s="77" t="s">
        <v>102</v>
      </c>
      <c r="B767" s="80" t="s">
        <v>77</v>
      </c>
      <c r="C767" s="43">
        <v>38220</v>
      </c>
      <c r="D767" s="43"/>
      <c r="E767" s="43">
        <v>38220</v>
      </c>
      <c r="F767" s="80" t="s">
        <v>75</v>
      </c>
      <c r="G767" s="83">
        <v>46124</v>
      </c>
      <c r="H767" s="83">
        <v>46129</v>
      </c>
      <c r="I767" s="4">
        <v>5</v>
      </c>
      <c r="J767" s="80" t="str">
        <f>TEXT(tblPayments[[#This Row],[Arrival]],"mmm")</f>
        <v>Apr</v>
      </c>
      <c r="K767" s="80">
        <f>MONTH(tblPayments[[#This Row],[Arrival]])</f>
        <v>4</v>
      </c>
      <c r="L767" s="80">
        <f>YEAR(tblPayments[[#This Row],[Arrival]])</f>
        <v>2026</v>
      </c>
      <c r="M767" s="80" t="str">
        <f>IF(tblPayments[[#This Row],[Balance]]=0,"Full Payment","Deposit")</f>
        <v>Deposit</v>
      </c>
      <c r="N767" s="43">
        <v>24458.19</v>
      </c>
      <c r="O767" s="83">
        <v>45982</v>
      </c>
      <c r="P767" s="87" t="s">
        <v>31</v>
      </c>
    </row>
    <row r="768" spans="1:16" x14ac:dyDescent="0.3">
      <c r="A768" s="77" t="s">
        <v>102</v>
      </c>
      <c r="B768" s="80" t="s">
        <v>77</v>
      </c>
      <c r="C768" s="43">
        <v>10036</v>
      </c>
      <c r="D768" s="43">
        <v>5018</v>
      </c>
      <c r="E768" s="43">
        <v>5018</v>
      </c>
      <c r="F768" s="80" t="s">
        <v>72</v>
      </c>
      <c r="G768" s="83">
        <v>46125</v>
      </c>
      <c r="H768" s="83">
        <v>46129</v>
      </c>
      <c r="I768" s="4">
        <v>4</v>
      </c>
      <c r="J768" s="80" t="str">
        <f>TEXT(tblPayments[[#This Row],[Arrival]],"mmm")</f>
        <v>Apr</v>
      </c>
      <c r="K768" s="80">
        <f>MONTH(tblPayments[[#This Row],[Arrival]])</f>
        <v>4</v>
      </c>
      <c r="L768" s="80">
        <f>YEAR(tblPayments[[#This Row],[Arrival]])</f>
        <v>2026</v>
      </c>
      <c r="M768" s="80" t="str">
        <f>IF(tblPayments[[#This Row],[Balance]]=0,"Full Payment","Deposit")</f>
        <v>Deposit</v>
      </c>
      <c r="N768" s="43">
        <v>6196.6</v>
      </c>
      <c r="O768" s="83">
        <v>45981</v>
      </c>
      <c r="P768" s="87" t="s">
        <v>2</v>
      </c>
    </row>
    <row r="769" spans="1:16" x14ac:dyDescent="0.3">
      <c r="A769" s="77" t="s">
        <v>102</v>
      </c>
      <c r="B769" s="80" t="s">
        <v>77</v>
      </c>
      <c r="C769" s="43">
        <v>10036</v>
      </c>
      <c r="D769" s="43"/>
      <c r="E769" s="43">
        <v>10036</v>
      </c>
      <c r="F769" s="80" t="s">
        <v>75</v>
      </c>
      <c r="G769" s="83">
        <v>46125</v>
      </c>
      <c r="H769" s="83">
        <v>46129</v>
      </c>
      <c r="I769" s="4">
        <v>4</v>
      </c>
      <c r="J769" s="80" t="str">
        <f>TEXT(tblPayments[[#This Row],[Arrival]],"mmm")</f>
        <v>Apr</v>
      </c>
      <c r="K769" s="80">
        <f>MONTH(tblPayments[[#This Row],[Arrival]])</f>
        <v>4</v>
      </c>
      <c r="L769" s="80">
        <f>YEAR(tblPayments[[#This Row],[Arrival]])</f>
        <v>2026</v>
      </c>
      <c r="M769" s="80" t="str">
        <f>IF(tblPayments[[#This Row],[Balance]]=0,"Full Payment","Deposit")</f>
        <v>Deposit</v>
      </c>
      <c r="N769" s="43">
        <v>0</v>
      </c>
      <c r="O769" s="83">
        <v>45982</v>
      </c>
      <c r="P769" s="87" t="s">
        <v>2</v>
      </c>
    </row>
    <row r="770" spans="1:16" x14ac:dyDescent="0.3">
      <c r="A770" s="77" t="s">
        <v>102</v>
      </c>
      <c r="B770" s="80" t="s">
        <v>77</v>
      </c>
      <c r="C770" s="43">
        <v>12936</v>
      </c>
      <c r="D770" s="43">
        <v>3234</v>
      </c>
      <c r="E770" s="43">
        <v>9702</v>
      </c>
      <c r="F770" s="80" t="s">
        <v>72</v>
      </c>
      <c r="G770" s="83">
        <v>46125</v>
      </c>
      <c r="H770" s="83">
        <v>46129</v>
      </c>
      <c r="I770" s="4">
        <v>4</v>
      </c>
      <c r="J770" s="80" t="str">
        <f>TEXT(tblPayments[[#This Row],[Arrival]],"mmm")</f>
        <v>Apr</v>
      </c>
      <c r="K770" s="80">
        <f>MONTH(tblPayments[[#This Row],[Arrival]])</f>
        <v>4</v>
      </c>
      <c r="L770" s="80">
        <f>YEAR(tblPayments[[#This Row],[Arrival]])</f>
        <v>2026</v>
      </c>
      <c r="M770" s="80" t="str">
        <f>IF(tblPayments[[#This Row],[Balance]]=0,"Full Payment","Deposit")</f>
        <v>Deposit</v>
      </c>
      <c r="N770" s="43">
        <v>6730.78</v>
      </c>
      <c r="O770" s="83">
        <v>45987</v>
      </c>
      <c r="P770" s="87" t="s">
        <v>31</v>
      </c>
    </row>
    <row r="771" spans="1:16" x14ac:dyDescent="0.3">
      <c r="A771" s="77" t="s">
        <v>102</v>
      </c>
      <c r="B771" s="80" t="s">
        <v>77</v>
      </c>
      <c r="C771" s="43">
        <v>17925</v>
      </c>
      <c r="D771" s="43"/>
      <c r="E771" s="43">
        <v>17925</v>
      </c>
      <c r="F771" s="80" t="s">
        <v>75</v>
      </c>
      <c r="G771" s="83">
        <v>46125</v>
      </c>
      <c r="H771" s="83">
        <v>46132</v>
      </c>
      <c r="I771" s="4">
        <v>7</v>
      </c>
      <c r="J771" s="80" t="str">
        <f>TEXT(tblPayments[[#This Row],[Arrival]],"mmm")</f>
        <v>Apr</v>
      </c>
      <c r="K771" s="80">
        <f>MONTH(tblPayments[[#This Row],[Arrival]])</f>
        <v>4</v>
      </c>
      <c r="L771" s="80">
        <f>YEAR(tblPayments[[#This Row],[Arrival]])</f>
        <v>2026</v>
      </c>
      <c r="M771" s="80" t="str">
        <f>IF(tblPayments[[#This Row],[Balance]]=0,"Full Payment","Deposit")</f>
        <v>Deposit</v>
      </c>
      <c r="N771" s="43">
        <v>5078.57</v>
      </c>
      <c r="O771" s="83">
        <v>45982</v>
      </c>
      <c r="P771" s="87" t="s">
        <v>24</v>
      </c>
    </row>
    <row r="772" spans="1:16" x14ac:dyDescent="0.3">
      <c r="A772" s="77" t="s">
        <v>102</v>
      </c>
      <c r="B772" s="80" t="s">
        <v>76</v>
      </c>
      <c r="C772" s="43"/>
      <c r="D772" s="43"/>
      <c r="E772" s="43"/>
      <c r="F772" s="80" t="s">
        <v>73</v>
      </c>
      <c r="G772" s="83">
        <v>46125</v>
      </c>
      <c r="H772" s="83">
        <v>46139</v>
      </c>
      <c r="I772" s="4">
        <v>14</v>
      </c>
      <c r="J772" s="80" t="str">
        <f>TEXT(tblPayments[[#This Row],[Arrival]],"mmm")</f>
        <v>Apr</v>
      </c>
      <c r="K772" s="80">
        <f>MONTH(tblPayments[[#This Row],[Arrival]])</f>
        <v>4</v>
      </c>
      <c r="L772" s="80">
        <f>YEAR(tblPayments[[#This Row],[Arrival]])</f>
        <v>2026</v>
      </c>
      <c r="M772" s="80" t="str">
        <f>IF(tblPayments[[#This Row],[Balance]]=0,"Full Payment","Deposit")</f>
        <v>Full Payment</v>
      </c>
      <c r="N772" s="43">
        <v>0</v>
      </c>
      <c r="O772" s="83">
        <v>45888</v>
      </c>
      <c r="P772" s="87" t="s">
        <v>9</v>
      </c>
    </row>
    <row r="773" spans="1:16" x14ac:dyDescent="0.3">
      <c r="A773" s="77" t="s">
        <v>102</v>
      </c>
      <c r="B773" s="80" t="s">
        <v>76</v>
      </c>
      <c r="C773" s="43"/>
      <c r="D773" s="43"/>
      <c r="E773" s="43"/>
      <c r="F773" s="80" t="s">
        <v>73</v>
      </c>
      <c r="G773" s="83">
        <v>46126</v>
      </c>
      <c r="H773" s="83">
        <v>46128</v>
      </c>
      <c r="I773" s="4">
        <v>2</v>
      </c>
      <c r="J773" s="80" t="str">
        <f>TEXT(tblPayments[[#This Row],[Arrival]],"mmm")</f>
        <v>Apr</v>
      </c>
      <c r="K773" s="80">
        <f>MONTH(tblPayments[[#This Row],[Arrival]])</f>
        <v>4</v>
      </c>
      <c r="L773" s="80">
        <f>YEAR(tblPayments[[#This Row],[Arrival]])</f>
        <v>2026</v>
      </c>
      <c r="M773" s="80" t="str">
        <f>IF(tblPayments[[#This Row],[Balance]]=0,"Full Payment","Deposit")</f>
        <v>Full Payment</v>
      </c>
      <c r="N773" s="43">
        <v>0</v>
      </c>
      <c r="O773" s="83">
        <v>45878</v>
      </c>
      <c r="P773" s="87" t="s">
        <v>15</v>
      </c>
    </row>
    <row r="774" spans="1:16" x14ac:dyDescent="0.3">
      <c r="A774" s="77" t="s">
        <v>102</v>
      </c>
      <c r="B774" s="80" t="s">
        <v>76</v>
      </c>
      <c r="C774" s="43"/>
      <c r="D774" s="43"/>
      <c r="E774" s="43"/>
      <c r="F774" s="80" t="s">
        <v>73</v>
      </c>
      <c r="G774" s="83">
        <v>46126</v>
      </c>
      <c r="H774" s="83">
        <v>46133</v>
      </c>
      <c r="I774" s="4">
        <v>7</v>
      </c>
      <c r="J774" s="80" t="str">
        <f>TEXT(tblPayments[[#This Row],[Arrival]],"mmm")</f>
        <v>Apr</v>
      </c>
      <c r="K774" s="80">
        <f>MONTH(tblPayments[[#This Row],[Arrival]])</f>
        <v>4</v>
      </c>
      <c r="L774" s="80">
        <f>YEAR(tblPayments[[#This Row],[Arrival]])</f>
        <v>2026</v>
      </c>
      <c r="M774" s="80" t="str">
        <f>IF(tblPayments[[#This Row],[Balance]]=0,"Full Payment","Deposit")</f>
        <v>Full Payment</v>
      </c>
      <c r="N774" s="43">
        <v>0</v>
      </c>
      <c r="O774" s="83">
        <v>45980</v>
      </c>
      <c r="P774" s="87" t="s">
        <v>2</v>
      </c>
    </row>
    <row r="775" spans="1:16" x14ac:dyDescent="0.3">
      <c r="A775" s="77" t="s">
        <v>102</v>
      </c>
      <c r="B775" s="80" t="s">
        <v>77</v>
      </c>
      <c r="C775" s="43"/>
      <c r="D775" s="43"/>
      <c r="E775" s="43"/>
      <c r="F775" s="80" t="s">
        <v>74</v>
      </c>
      <c r="G775" s="83">
        <v>46127</v>
      </c>
      <c r="H775" s="83">
        <v>46133</v>
      </c>
      <c r="I775" s="4">
        <v>6</v>
      </c>
      <c r="J775" s="80" t="str">
        <f>TEXT(tblPayments[[#This Row],[Arrival]],"mmm")</f>
        <v>Apr</v>
      </c>
      <c r="K775" s="80">
        <f>MONTH(tblPayments[[#This Row],[Arrival]])</f>
        <v>4</v>
      </c>
      <c r="L775" s="80">
        <f>YEAR(tblPayments[[#This Row],[Arrival]])</f>
        <v>2026</v>
      </c>
      <c r="M775" s="80" t="str">
        <f>IF(tblPayments[[#This Row],[Balance]]=0,"Full Payment","Deposit")</f>
        <v>Full Payment</v>
      </c>
      <c r="N775" s="43">
        <v>22954.5</v>
      </c>
      <c r="O775" s="83">
        <v>45957</v>
      </c>
      <c r="P775" s="87" t="s">
        <v>31</v>
      </c>
    </row>
    <row r="776" spans="1:16" x14ac:dyDescent="0.3">
      <c r="A776" s="77" t="s">
        <v>102</v>
      </c>
      <c r="B776" s="80" t="s">
        <v>77</v>
      </c>
      <c r="C776" s="43"/>
      <c r="D776" s="43"/>
      <c r="E776" s="43"/>
      <c r="F776" s="80" t="s">
        <v>74</v>
      </c>
      <c r="G776" s="83">
        <v>46127</v>
      </c>
      <c r="H776" s="83">
        <v>46133</v>
      </c>
      <c r="I776" s="4">
        <v>6</v>
      </c>
      <c r="J776" s="80" t="str">
        <f>TEXT(tblPayments[[#This Row],[Arrival]],"mmm")</f>
        <v>Apr</v>
      </c>
      <c r="K776" s="80">
        <f>MONTH(tblPayments[[#This Row],[Arrival]])</f>
        <v>4</v>
      </c>
      <c r="L776" s="80">
        <f>YEAR(tblPayments[[#This Row],[Arrival]])</f>
        <v>2026</v>
      </c>
      <c r="M776" s="80" t="str">
        <f>IF(tblPayments[[#This Row],[Balance]]=0,"Full Payment","Deposit")</f>
        <v>Full Payment</v>
      </c>
      <c r="N776" s="43">
        <v>10283.879999999999</v>
      </c>
      <c r="O776" s="83">
        <v>45968</v>
      </c>
      <c r="P776" s="87" t="s">
        <v>31</v>
      </c>
    </row>
    <row r="777" spans="1:16" x14ac:dyDescent="0.3">
      <c r="A777" s="77" t="s">
        <v>102</v>
      </c>
      <c r="B777" s="80" t="s">
        <v>77</v>
      </c>
      <c r="C777" s="43"/>
      <c r="D777" s="43"/>
      <c r="E777" s="43"/>
      <c r="F777" s="80" t="s">
        <v>74</v>
      </c>
      <c r="G777" s="83">
        <v>46127</v>
      </c>
      <c r="H777" s="83">
        <v>46133</v>
      </c>
      <c r="I777" s="4">
        <v>6</v>
      </c>
      <c r="J777" s="80" t="str">
        <f>TEXT(tblPayments[[#This Row],[Arrival]],"mmm")</f>
        <v>Apr</v>
      </c>
      <c r="K777" s="80">
        <f>MONTH(tblPayments[[#This Row],[Arrival]])</f>
        <v>4</v>
      </c>
      <c r="L777" s="80">
        <f>YEAR(tblPayments[[#This Row],[Arrival]])</f>
        <v>2026</v>
      </c>
      <c r="M777" s="80" t="str">
        <f>IF(tblPayments[[#This Row],[Balance]]=0,"Full Payment","Deposit")</f>
        <v>Full Payment</v>
      </c>
      <c r="N777" s="43">
        <v>22954.5</v>
      </c>
      <c r="O777" s="83">
        <v>45998</v>
      </c>
      <c r="P777" s="87" t="s">
        <v>31</v>
      </c>
    </row>
    <row r="778" spans="1:16" x14ac:dyDescent="0.3">
      <c r="A778" s="77" t="s">
        <v>102</v>
      </c>
      <c r="B778" s="80" t="s">
        <v>76</v>
      </c>
      <c r="C778" s="43"/>
      <c r="D778" s="43"/>
      <c r="E778" s="43"/>
      <c r="F778" s="80" t="s">
        <v>74</v>
      </c>
      <c r="G778" s="83">
        <v>46127</v>
      </c>
      <c r="H778" s="83">
        <v>46133</v>
      </c>
      <c r="I778" s="4">
        <v>6</v>
      </c>
      <c r="J778" s="80" t="str">
        <f>TEXT(tblPayments[[#This Row],[Arrival]],"mmm")</f>
        <v>Apr</v>
      </c>
      <c r="K778" s="80">
        <f>MONTH(tblPayments[[#This Row],[Arrival]])</f>
        <v>4</v>
      </c>
      <c r="L778" s="80">
        <f>YEAR(tblPayments[[#This Row],[Arrival]])</f>
        <v>2026</v>
      </c>
      <c r="M778" s="80" t="str">
        <f>IF(tblPayments[[#This Row],[Balance]]=0,"Full Payment","Deposit")</f>
        <v>Full Payment</v>
      </c>
      <c r="N778" s="43">
        <v>0</v>
      </c>
      <c r="O778" s="83">
        <v>45957</v>
      </c>
      <c r="P778" s="87" t="s">
        <v>31</v>
      </c>
    </row>
    <row r="779" spans="1:16" x14ac:dyDescent="0.3">
      <c r="A779" s="77" t="s">
        <v>102</v>
      </c>
      <c r="B779" s="80" t="s">
        <v>76</v>
      </c>
      <c r="C779" s="43"/>
      <c r="D779" s="43"/>
      <c r="E779" s="43"/>
      <c r="F779" s="80" t="s">
        <v>74</v>
      </c>
      <c r="G779" s="83">
        <v>46127</v>
      </c>
      <c r="H779" s="83">
        <v>46133</v>
      </c>
      <c r="I779" s="4">
        <v>6</v>
      </c>
      <c r="J779" s="80" t="str">
        <f>TEXT(tblPayments[[#This Row],[Arrival]],"mmm")</f>
        <v>Apr</v>
      </c>
      <c r="K779" s="80">
        <f>MONTH(tblPayments[[#This Row],[Arrival]])</f>
        <v>4</v>
      </c>
      <c r="L779" s="80">
        <f>YEAR(tblPayments[[#This Row],[Arrival]])</f>
        <v>2026</v>
      </c>
      <c r="M779" s="80" t="str">
        <f>IF(tblPayments[[#This Row],[Balance]]=0,"Full Payment","Deposit")</f>
        <v>Full Payment</v>
      </c>
      <c r="N779" s="43">
        <v>0</v>
      </c>
      <c r="O779" s="83">
        <v>45993</v>
      </c>
      <c r="P779" s="87" t="s">
        <v>31</v>
      </c>
    </row>
    <row r="780" spans="1:16" x14ac:dyDescent="0.3">
      <c r="A780" s="77" t="s">
        <v>102</v>
      </c>
      <c r="B780" s="80" t="s">
        <v>76</v>
      </c>
      <c r="C780" s="43"/>
      <c r="D780" s="43"/>
      <c r="E780" s="43"/>
      <c r="F780" s="80" t="s">
        <v>74</v>
      </c>
      <c r="G780" s="83">
        <v>46127</v>
      </c>
      <c r="H780" s="83">
        <v>46133</v>
      </c>
      <c r="I780" s="4">
        <v>6</v>
      </c>
      <c r="J780" s="80" t="str">
        <f>TEXT(tblPayments[[#This Row],[Arrival]],"mmm")</f>
        <v>Apr</v>
      </c>
      <c r="K780" s="80">
        <f>MONTH(tblPayments[[#This Row],[Arrival]])</f>
        <v>4</v>
      </c>
      <c r="L780" s="80">
        <f>YEAR(tblPayments[[#This Row],[Arrival]])</f>
        <v>2026</v>
      </c>
      <c r="M780" s="80" t="str">
        <f>IF(tblPayments[[#This Row],[Balance]]=0,"Full Payment","Deposit")</f>
        <v>Full Payment</v>
      </c>
      <c r="N780" s="43">
        <v>0</v>
      </c>
      <c r="O780" s="83">
        <v>45993</v>
      </c>
      <c r="P780" s="87" t="s">
        <v>31</v>
      </c>
    </row>
    <row r="781" spans="1:16" x14ac:dyDescent="0.3">
      <c r="A781" s="77" t="s">
        <v>102</v>
      </c>
      <c r="B781" s="80" t="s">
        <v>76</v>
      </c>
      <c r="C781" s="43"/>
      <c r="D781" s="43"/>
      <c r="E781" s="43"/>
      <c r="F781" s="80" t="s">
        <v>74</v>
      </c>
      <c r="G781" s="83">
        <v>46127</v>
      </c>
      <c r="H781" s="83">
        <v>46133</v>
      </c>
      <c r="I781" s="4">
        <v>6</v>
      </c>
      <c r="J781" s="80" t="str">
        <f>TEXT(tblPayments[[#This Row],[Arrival]],"mmm")</f>
        <v>Apr</v>
      </c>
      <c r="K781" s="80">
        <f>MONTH(tblPayments[[#This Row],[Arrival]])</f>
        <v>4</v>
      </c>
      <c r="L781" s="80">
        <f>YEAR(tblPayments[[#This Row],[Arrival]])</f>
        <v>2026</v>
      </c>
      <c r="M781" s="80" t="str">
        <f>IF(tblPayments[[#This Row],[Balance]]=0,"Full Payment","Deposit")</f>
        <v>Full Payment</v>
      </c>
      <c r="N781" s="43">
        <v>0</v>
      </c>
      <c r="O781" s="83">
        <v>45993</v>
      </c>
      <c r="P781" s="87" t="s">
        <v>31</v>
      </c>
    </row>
    <row r="782" spans="1:16" x14ac:dyDescent="0.3">
      <c r="A782" s="77" t="s">
        <v>102</v>
      </c>
      <c r="B782" s="80" t="s">
        <v>77</v>
      </c>
      <c r="C782" s="43">
        <v>21325</v>
      </c>
      <c r="D782" s="43"/>
      <c r="E782" s="43">
        <v>21325</v>
      </c>
      <c r="F782" s="80" t="s">
        <v>75</v>
      </c>
      <c r="G782" s="83">
        <v>46127</v>
      </c>
      <c r="H782" s="83">
        <v>46132</v>
      </c>
      <c r="I782" s="4">
        <v>5</v>
      </c>
      <c r="J782" s="80" t="str">
        <f>TEXT(tblPayments[[#This Row],[Arrival]],"mmm")</f>
        <v>Apr</v>
      </c>
      <c r="K782" s="80">
        <f>MONTH(tblPayments[[#This Row],[Arrival]])</f>
        <v>4</v>
      </c>
      <c r="L782" s="80">
        <f>YEAR(tblPayments[[#This Row],[Arrival]])</f>
        <v>2026</v>
      </c>
      <c r="M782" s="80" t="str">
        <f>IF(tblPayments[[#This Row],[Balance]]=0,"Full Payment","Deposit")</f>
        <v>Deposit</v>
      </c>
      <c r="N782" s="43">
        <v>12564.1</v>
      </c>
      <c r="O782" s="83">
        <v>45883</v>
      </c>
      <c r="P782" s="87" t="s">
        <v>38</v>
      </c>
    </row>
    <row r="783" spans="1:16" x14ac:dyDescent="0.3">
      <c r="A783" s="77" t="s">
        <v>102</v>
      </c>
      <c r="B783" s="80" t="s">
        <v>77</v>
      </c>
      <c r="C783" s="43">
        <v>16734</v>
      </c>
      <c r="D783" s="43"/>
      <c r="E783" s="43">
        <v>16734</v>
      </c>
      <c r="F783" s="80" t="s">
        <v>75</v>
      </c>
      <c r="G783" s="83">
        <v>46127</v>
      </c>
      <c r="H783" s="83">
        <v>46131</v>
      </c>
      <c r="I783" s="4">
        <v>4</v>
      </c>
      <c r="J783" s="80" t="str">
        <f>TEXT(tblPayments[[#This Row],[Arrival]],"mmm")</f>
        <v>Apr</v>
      </c>
      <c r="K783" s="80">
        <f>MONTH(tblPayments[[#This Row],[Arrival]])</f>
        <v>4</v>
      </c>
      <c r="L783" s="80">
        <f>YEAR(tblPayments[[#This Row],[Arrival]])</f>
        <v>2026</v>
      </c>
      <c r="M783" s="80" t="str">
        <f>IF(tblPayments[[#This Row],[Balance]]=0,"Full Payment","Deposit")</f>
        <v>Deposit</v>
      </c>
      <c r="N783" s="43">
        <v>8438.24</v>
      </c>
      <c r="O783" s="83">
        <v>45883</v>
      </c>
      <c r="P783" s="87" t="s">
        <v>38</v>
      </c>
    </row>
    <row r="784" spans="1:16" x14ac:dyDescent="0.3">
      <c r="A784" s="77" t="s">
        <v>102</v>
      </c>
      <c r="B784" s="80" t="s">
        <v>77</v>
      </c>
      <c r="C784" s="43">
        <v>21325</v>
      </c>
      <c r="D784" s="43"/>
      <c r="E784" s="43">
        <v>21325</v>
      </c>
      <c r="F784" s="80" t="s">
        <v>75</v>
      </c>
      <c r="G784" s="83">
        <v>46127</v>
      </c>
      <c r="H784" s="83">
        <v>46132</v>
      </c>
      <c r="I784" s="4">
        <v>5</v>
      </c>
      <c r="J784" s="80" t="str">
        <f>TEXT(tblPayments[[#This Row],[Arrival]],"mmm")</f>
        <v>Apr</v>
      </c>
      <c r="K784" s="80">
        <f>MONTH(tblPayments[[#This Row],[Arrival]])</f>
        <v>4</v>
      </c>
      <c r="L784" s="80">
        <f>YEAR(tblPayments[[#This Row],[Arrival]])</f>
        <v>2026</v>
      </c>
      <c r="M784" s="80" t="str">
        <f>IF(tblPayments[[#This Row],[Balance]]=0,"Full Payment","Deposit")</f>
        <v>Deposit</v>
      </c>
      <c r="N784" s="43">
        <v>12719.5</v>
      </c>
      <c r="O784" s="83">
        <v>45883</v>
      </c>
      <c r="P784" s="87" t="s">
        <v>38</v>
      </c>
    </row>
    <row r="785" spans="1:16" x14ac:dyDescent="0.3">
      <c r="A785" s="77" t="s">
        <v>102</v>
      </c>
      <c r="B785" s="80" t="s">
        <v>76</v>
      </c>
      <c r="C785" s="43">
        <v>3200</v>
      </c>
      <c r="D785" s="43"/>
      <c r="E785" s="43">
        <v>3200</v>
      </c>
      <c r="F785" s="80" t="s">
        <v>75</v>
      </c>
      <c r="G785" s="83">
        <v>46127</v>
      </c>
      <c r="H785" s="83">
        <v>46130</v>
      </c>
      <c r="I785" s="4">
        <v>3</v>
      </c>
      <c r="J785" s="80" t="str">
        <f>TEXT(tblPayments[[#This Row],[Arrival]],"mmm")</f>
        <v>Apr</v>
      </c>
      <c r="K785" s="80">
        <f>MONTH(tblPayments[[#This Row],[Arrival]])</f>
        <v>4</v>
      </c>
      <c r="L785" s="80">
        <f>YEAR(tblPayments[[#This Row],[Arrival]])</f>
        <v>2026</v>
      </c>
      <c r="M785" s="80" t="str">
        <f>IF(tblPayments[[#This Row],[Balance]]=0,"Full Payment","Deposit")</f>
        <v>Deposit</v>
      </c>
      <c r="N785" s="43">
        <v>0</v>
      </c>
      <c r="O785" s="83">
        <v>45917</v>
      </c>
      <c r="P785" s="87" t="s">
        <v>22</v>
      </c>
    </row>
    <row r="786" spans="1:16" x14ac:dyDescent="0.3">
      <c r="A786" s="77" t="s">
        <v>102</v>
      </c>
      <c r="B786" s="80" t="s">
        <v>77</v>
      </c>
      <c r="C786" s="43">
        <v>11072</v>
      </c>
      <c r="D786" s="43"/>
      <c r="E786" s="43">
        <v>11072</v>
      </c>
      <c r="F786" s="80" t="s">
        <v>75</v>
      </c>
      <c r="G786" s="83">
        <v>46129</v>
      </c>
      <c r="H786" s="83">
        <v>46132</v>
      </c>
      <c r="I786" s="4">
        <v>3</v>
      </c>
      <c r="J786" s="80" t="str">
        <f>TEXT(tblPayments[[#This Row],[Arrival]],"mmm")</f>
        <v>Apr</v>
      </c>
      <c r="K786" s="80">
        <f>MONTH(tblPayments[[#This Row],[Arrival]])</f>
        <v>4</v>
      </c>
      <c r="L786" s="80">
        <f>YEAR(tblPayments[[#This Row],[Arrival]])</f>
        <v>2026</v>
      </c>
      <c r="M786" s="80" t="str">
        <f>IF(tblPayments[[#This Row],[Balance]]=0,"Full Payment","Deposit")</f>
        <v>Deposit</v>
      </c>
      <c r="N786" s="43">
        <v>6223.77</v>
      </c>
      <c r="O786" s="83">
        <v>45967</v>
      </c>
      <c r="P786" s="87" t="s">
        <v>14</v>
      </c>
    </row>
    <row r="787" spans="1:16" x14ac:dyDescent="0.3">
      <c r="A787" s="77" t="s">
        <v>102</v>
      </c>
      <c r="B787" s="80" t="s">
        <v>76</v>
      </c>
      <c r="C787" s="43"/>
      <c r="D787" s="43"/>
      <c r="E787" s="43"/>
      <c r="F787" s="80" t="s">
        <v>73</v>
      </c>
      <c r="G787" s="83">
        <v>46131</v>
      </c>
      <c r="H787" s="83">
        <v>46138</v>
      </c>
      <c r="I787" s="4">
        <v>7</v>
      </c>
      <c r="J787" s="80" t="str">
        <f>TEXT(tblPayments[[#This Row],[Arrival]],"mmm")</f>
        <v>Apr</v>
      </c>
      <c r="K787" s="80">
        <f>MONTH(tblPayments[[#This Row],[Arrival]])</f>
        <v>4</v>
      </c>
      <c r="L787" s="80">
        <f>YEAR(tblPayments[[#This Row],[Arrival]])</f>
        <v>2026</v>
      </c>
      <c r="M787" s="80" t="str">
        <f>IF(tblPayments[[#This Row],[Balance]]=0,"Full Payment","Deposit")</f>
        <v>Full Payment</v>
      </c>
      <c r="N787" s="43">
        <v>0</v>
      </c>
      <c r="O787" s="83">
        <v>45860</v>
      </c>
      <c r="P787" s="87" t="s">
        <v>13</v>
      </c>
    </row>
    <row r="788" spans="1:16" x14ac:dyDescent="0.3">
      <c r="A788" s="77" t="s">
        <v>102</v>
      </c>
      <c r="B788" s="80" t="s">
        <v>76</v>
      </c>
      <c r="C788" s="43"/>
      <c r="D788" s="43"/>
      <c r="E788" s="43"/>
      <c r="F788" s="80" t="s">
        <v>73</v>
      </c>
      <c r="G788" s="83">
        <v>46131</v>
      </c>
      <c r="H788" s="83">
        <v>46138</v>
      </c>
      <c r="I788" s="4">
        <v>7</v>
      </c>
      <c r="J788" s="80" t="str">
        <f>TEXT(tblPayments[[#This Row],[Arrival]],"mmm")</f>
        <v>Apr</v>
      </c>
      <c r="K788" s="80">
        <f>MONTH(tblPayments[[#This Row],[Arrival]])</f>
        <v>4</v>
      </c>
      <c r="L788" s="80">
        <f>YEAR(tblPayments[[#This Row],[Arrival]])</f>
        <v>2026</v>
      </c>
      <c r="M788" s="80" t="str">
        <f>IF(tblPayments[[#This Row],[Balance]]=0,"Full Payment","Deposit")</f>
        <v>Full Payment</v>
      </c>
      <c r="N788" s="43">
        <v>0</v>
      </c>
      <c r="O788" s="83">
        <v>45859</v>
      </c>
      <c r="P788" s="87" t="s">
        <v>18</v>
      </c>
    </row>
    <row r="789" spans="1:16" x14ac:dyDescent="0.3">
      <c r="A789" s="77" t="s">
        <v>102</v>
      </c>
      <c r="B789" s="80" t="s">
        <v>77</v>
      </c>
      <c r="C789" s="43">
        <v>34129</v>
      </c>
      <c r="D789" s="43"/>
      <c r="E789" s="43">
        <v>34129</v>
      </c>
      <c r="F789" s="80" t="s">
        <v>75</v>
      </c>
      <c r="G789" s="83">
        <v>46132</v>
      </c>
      <c r="H789" s="83">
        <v>46138</v>
      </c>
      <c r="I789" s="4">
        <v>6</v>
      </c>
      <c r="J789" s="80" t="str">
        <f>TEXT(tblPayments[[#This Row],[Arrival]],"mmm")</f>
        <v>Apr</v>
      </c>
      <c r="K789" s="80">
        <f>MONTH(tblPayments[[#This Row],[Arrival]])</f>
        <v>4</v>
      </c>
      <c r="L789" s="80">
        <f>YEAR(tblPayments[[#This Row],[Arrival]])</f>
        <v>2026</v>
      </c>
      <c r="M789" s="80" t="str">
        <f>IF(tblPayments[[#This Row],[Balance]]=0,"Full Payment","Deposit")</f>
        <v>Deposit</v>
      </c>
      <c r="N789" s="43">
        <v>22621.32</v>
      </c>
      <c r="O789" s="83">
        <v>45937</v>
      </c>
      <c r="P789" s="87" t="s">
        <v>12</v>
      </c>
    </row>
    <row r="790" spans="1:16" x14ac:dyDescent="0.3">
      <c r="A790" s="77" t="s">
        <v>102</v>
      </c>
      <c r="B790" s="80" t="s">
        <v>76</v>
      </c>
      <c r="C790" s="43"/>
      <c r="D790" s="43"/>
      <c r="E790" s="43"/>
      <c r="F790" s="80" t="s">
        <v>73</v>
      </c>
      <c r="G790" s="83">
        <v>46132</v>
      </c>
      <c r="H790" s="83">
        <v>46137</v>
      </c>
      <c r="I790" s="4">
        <v>5</v>
      </c>
      <c r="J790" s="80" t="str">
        <f>TEXT(tblPayments[[#This Row],[Arrival]],"mmm")</f>
        <v>Apr</v>
      </c>
      <c r="K790" s="80">
        <f>MONTH(tblPayments[[#This Row],[Arrival]])</f>
        <v>4</v>
      </c>
      <c r="L790" s="80">
        <f>YEAR(tblPayments[[#This Row],[Arrival]])</f>
        <v>2026</v>
      </c>
      <c r="M790" s="80" t="str">
        <f>IF(tblPayments[[#This Row],[Balance]]=0,"Full Payment","Deposit")</f>
        <v>Full Payment</v>
      </c>
      <c r="N790" s="43">
        <v>0</v>
      </c>
      <c r="O790" s="83">
        <v>45905</v>
      </c>
      <c r="P790" s="87" t="s">
        <v>38</v>
      </c>
    </row>
    <row r="791" spans="1:16" x14ac:dyDescent="0.3">
      <c r="A791" s="77" t="s">
        <v>102</v>
      </c>
      <c r="B791" s="80" t="s">
        <v>77</v>
      </c>
      <c r="C791" s="43">
        <v>10593.38</v>
      </c>
      <c r="D791" s="43"/>
      <c r="E791" s="43">
        <v>10593.38</v>
      </c>
      <c r="F791" s="80" t="s">
        <v>75</v>
      </c>
      <c r="G791" s="83">
        <v>46133</v>
      </c>
      <c r="H791" s="83">
        <v>46136</v>
      </c>
      <c r="I791" s="4">
        <v>3</v>
      </c>
      <c r="J791" s="80" t="str">
        <f>TEXT(tblPayments[[#This Row],[Arrival]],"mmm")</f>
        <v>Apr</v>
      </c>
      <c r="K791" s="80">
        <f>MONTH(tblPayments[[#This Row],[Arrival]])</f>
        <v>4</v>
      </c>
      <c r="L791" s="80">
        <f>YEAR(tblPayments[[#This Row],[Arrival]])</f>
        <v>2026</v>
      </c>
      <c r="M791" s="80" t="str">
        <f>IF(tblPayments[[#This Row],[Balance]]=0,"Full Payment","Deposit")</f>
        <v>Deposit</v>
      </c>
      <c r="N791" s="43">
        <v>5747.4</v>
      </c>
      <c r="O791" s="83">
        <v>45974</v>
      </c>
      <c r="P791" s="87" t="s">
        <v>9</v>
      </c>
    </row>
    <row r="792" spans="1:16" x14ac:dyDescent="0.3">
      <c r="A792" s="77" t="s">
        <v>102</v>
      </c>
      <c r="B792" s="80" t="s">
        <v>77</v>
      </c>
      <c r="C792" s="43">
        <v>13688</v>
      </c>
      <c r="D792" s="43"/>
      <c r="E792" s="43">
        <v>13688</v>
      </c>
      <c r="F792" s="80" t="s">
        <v>75</v>
      </c>
      <c r="G792" s="83">
        <v>46134</v>
      </c>
      <c r="H792" s="83">
        <v>46138</v>
      </c>
      <c r="I792" s="4">
        <v>4</v>
      </c>
      <c r="J792" s="80" t="str">
        <f>TEXT(tblPayments[[#This Row],[Arrival]],"mmm")</f>
        <v>Apr</v>
      </c>
      <c r="K792" s="80">
        <f>MONTH(tblPayments[[#This Row],[Arrival]])</f>
        <v>4</v>
      </c>
      <c r="L792" s="80">
        <f>YEAR(tblPayments[[#This Row],[Arrival]])</f>
        <v>2026</v>
      </c>
      <c r="M792" s="80" t="str">
        <f>IF(tblPayments[[#This Row],[Balance]]=0,"Full Payment","Deposit")</f>
        <v>Deposit</v>
      </c>
      <c r="N792" s="43">
        <v>5936.28</v>
      </c>
      <c r="O792" s="83">
        <v>45881</v>
      </c>
      <c r="P792" s="87" t="s">
        <v>2</v>
      </c>
    </row>
    <row r="793" spans="1:16" x14ac:dyDescent="0.3">
      <c r="A793" s="77" t="s">
        <v>102</v>
      </c>
      <c r="B793" s="80" t="s">
        <v>77</v>
      </c>
      <c r="C793" s="43">
        <v>22240</v>
      </c>
      <c r="D793" s="43"/>
      <c r="E793" s="43">
        <v>22240</v>
      </c>
      <c r="F793" s="80" t="s">
        <v>75</v>
      </c>
      <c r="G793" s="83">
        <v>46135</v>
      </c>
      <c r="H793" s="83">
        <v>46137</v>
      </c>
      <c r="I793" s="4">
        <v>2</v>
      </c>
      <c r="J793" s="80" t="str">
        <f>TEXT(tblPayments[[#This Row],[Arrival]],"mmm")</f>
        <v>Apr</v>
      </c>
      <c r="K793" s="80">
        <f>MONTH(tblPayments[[#This Row],[Arrival]])</f>
        <v>4</v>
      </c>
      <c r="L793" s="80">
        <f>YEAR(tblPayments[[#This Row],[Arrival]])</f>
        <v>2026</v>
      </c>
      <c r="M793" s="80" t="str">
        <f>IF(tblPayments[[#This Row],[Balance]]=0,"Full Payment","Deposit")</f>
        <v>Deposit</v>
      </c>
      <c r="N793" s="43">
        <v>16083.92</v>
      </c>
      <c r="O793" s="83">
        <v>45987</v>
      </c>
      <c r="P793" s="87" t="s">
        <v>15</v>
      </c>
    </row>
    <row r="794" spans="1:16" x14ac:dyDescent="0.3">
      <c r="A794" s="77" t="s">
        <v>102</v>
      </c>
      <c r="B794" s="80" t="s">
        <v>77</v>
      </c>
      <c r="C794" s="43">
        <v>23285.16</v>
      </c>
      <c r="D794" s="43">
        <v>5821.29</v>
      </c>
      <c r="E794" s="43">
        <v>17463.87</v>
      </c>
      <c r="F794" s="80" t="s">
        <v>72</v>
      </c>
      <c r="G794" s="83">
        <v>46136</v>
      </c>
      <c r="H794" s="83">
        <v>46143</v>
      </c>
      <c r="I794" s="4">
        <v>7</v>
      </c>
      <c r="J794" s="80" t="str">
        <f>TEXT(tblPayments[[#This Row],[Arrival]],"mmm")</f>
        <v>Apr</v>
      </c>
      <c r="K794" s="80">
        <f>MONTH(tblPayments[[#This Row],[Arrival]])</f>
        <v>4</v>
      </c>
      <c r="L794" s="80">
        <f>YEAR(tblPayments[[#This Row],[Arrival]])</f>
        <v>2026</v>
      </c>
      <c r="M794" s="80" t="str">
        <f>IF(tblPayments[[#This Row],[Balance]]=0,"Full Payment","Deposit")</f>
        <v>Deposit</v>
      </c>
      <c r="N794" s="43">
        <v>15592.29</v>
      </c>
      <c r="O794" s="83">
        <v>45961</v>
      </c>
      <c r="P794" s="87" t="s">
        <v>67</v>
      </c>
    </row>
    <row r="795" spans="1:16" x14ac:dyDescent="0.3">
      <c r="A795" s="77" t="s">
        <v>102</v>
      </c>
      <c r="B795" s="80" t="s">
        <v>77</v>
      </c>
      <c r="C795" s="43">
        <v>48010</v>
      </c>
      <c r="D795" s="43"/>
      <c r="E795" s="43">
        <v>48010</v>
      </c>
      <c r="F795" s="80" t="s">
        <v>75</v>
      </c>
      <c r="G795" s="83">
        <v>46137</v>
      </c>
      <c r="H795" s="83">
        <v>46143</v>
      </c>
      <c r="I795" s="4">
        <v>6</v>
      </c>
      <c r="J795" s="80" t="str">
        <f>TEXT(tblPayments[[#This Row],[Arrival]],"mmm")</f>
        <v>Apr</v>
      </c>
      <c r="K795" s="80">
        <f>MONTH(tblPayments[[#This Row],[Arrival]])</f>
        <v>4</v>
      </c>
      <c r="L795" s="80">
        <f>YEAR(tblPayments[[#This Row],[Arrival]])</f>
        <v>2026</v>
      </c>
      <c r="M795" s="80" t="str">
        <f>IF(tblPayments[[#This Row],[Balance]]=0,"Full Payment","Deposit")</f>
        <v>Deposit</v>
      </c>
      <c r="N795" s="43">
        <v>18429.48</v>
      </c>
      <c r="O795" s="83">
        <v>45945</v>
      </c>
      <c r="P795" s="87" t="s">
        <v>33</v>
      </c>
    </row>
    <row r="796" spans="1:16" x14ac:dyDescent="0.3">
      <c r="A796" s="77" t="s">
        <v>102</v>
      </c>
      <c r="B796" s="80" t="s">
        <v>77</v>
      </c>
      <c r="C796" s="43">
        <v>17628.25</v>
      </c>
      <c r="D796" s="43"/>
      <c r="E796" s="43">
        <v>17628.25</v>
      </c>
      <c r="F796" s="80" t="s">
        <v>75</v>
      </c>
      <c r="G796" s="83">
        <v>46137</v>
      </c>
      <c r="H796" s="83">
        <v>46143</v>
      </c>
      <c r="I796" s="4">
        <v>6</v>
      </c>
      <c r="J796" s="80" t="str">
        <f>TEXT(tblPayments[[#This Row],[Arrival]],"mmm")</f>
        <v>Apr</v>
      </c>
      <c r="K796" s="80">
        <f>MONTH(tblPayments[[#This Row],[Arrival]])</f>
        <v>4</v>
      </c>
      <c r="L796" s="80">
        <f>YEAR(tblPayments[[#This Row],[Arrival]])</f>
        <v>2026</v>
      </c>
      <c r="M796" s="80" t="str">
        <f>IF(tblPayments[[#This Row],[Balance]]=0,"Full Payment","Deposit")</f>
        <v>Deposit</v>
      </c>
      <c r="N796" s="43">
        <v>11755.92</v>
      </c>
      <c r="O796" s="83">
        <v>45984</v>
      </c>
      <c r="P796" s="87" t="s">
        <v>2</v>
      </c>
    </row>
    <row r="797" spans="1:16" x14ac:dyDescent="0.3">
      <c r="A797" s="77" t="s">
        <v>102</v>
      </c>
      <c r="B797" s="80" t="s">
        <v>77</v>
      </c>
      <c r="C797" s="43">
        <v>34366.129999999997</v>
      </c>
      <c r="D797" s="43"/>
      <c r="E797" s="43">
        <v>34366.129999999997</v>
      </c>
      <c r="F797" s="80" t="s">
        <v>75</v>
      </c>
      <c r="G797" s="83">
        <v>46137</v>
      </c>
      <c r="H797" s="83">
        <v>46141</v>
      </c>
      <c r="I797" s="4">
        <v>4</v>
      </c>
      <c r="J797" s="80" t="str">
        <f>TEXT(tblPayments[[#This Row],[Arrival]],"mmm")</f>
        <v>Apr</v>
      </c>
      <c r="K797" s="80">
        <f>MONTH(tblPayments[[#This Row],[Arrival]])</f>
        <v>4</v>
      </c>
      <c r="L797" s="80">
        <f>YEAR(tblPayments[[#This Row],[Arrival]])</f>
        <v>2026</v>
      </c>
      <c r="M797" s="80" t="str">
        <f>IF(tblPayments[[#This Row],[Balance]]=0,"Full Payment","Deposit")</f>
        <v>Deposit</v>
      </c>
      <c r="N797" s="43">
        <v>22138.400000000001</v>
      </c>
      <c r="O797" s="83">
        <v>45715</v>
      </c>
      <c r="P797" s="87" t="s">
        <v>18</v>
      </c>
    </row>
    <row r="798" spans="1:16" x14ac:dyDescent="0.3">
      <c r="A798" s="77" t="s">
        <v>102</v>
      </c>
      <c r="B798" s="80" t="s">
        <v>77</v>
      </c>
      <c r="C798" s="43">
        <v>17485.57</v>
      </c>
      <c r="D798" s="43">
        <v>2600</v>
      </c>
      <c r="E798" s="43">
        <v>14885.57</v>
      </c>
      <c r="F798" s="80" t="s">
        <v>72</v>
      </c>
      <c r="G798" s="83">
        <v>46138</v>
      </c>
      <c r="H798" s="83">
        <v>46145</v>
      </c>
      <c r="I798" s="4">
        <v>7</v>
      </c>
      <c r="J798" s="80" t="str">
        <f>TEXT(tblPayments[[#This Row],[Arrival]],"mmm")</f>
        <v>Apr</v>
      </c>
      <c r="K798" s="80">
        <f>MONTH(tblPayments[[#This Row],[Arrival]])</f>
        <v>4</v>
      </c>
      <c r="L798" s="80">
        <f>YEAR(tblPayments[[#This Row],[Arrival]])</f>
        <v>2026</v>
      </c>
      <c r="M798" s="80" t="str">
        <f>IF(tblPayments[[#This Row],[Balance]]=0,"Full Payment","Deposit")</f>
        <v>Deposit</v>
      </c>
      <c r="N798" s="43">
        <v>10536.89</v>
      </c>
      <c r="O798" s="83">
        <v>45957</v>
      </c>
      <c r="P798" s="87"/>
    </row>
    <row r="799" spans="1:16" x14ac:dyDescent="0.3">
      <c r="A799" s="77" t="s">
        <v>102</v>
      </c>
      <c r="B799" s="80" t="s">
        <v>77</v>
      </c>
      <c r="C799" s="43">
        <v>70000</v>
      </c>
      <c r="D799" s="43"/>
      <c r="E799" s="43">
        <v>70000</v>
      </c>
      <c r="F799" s="80" t="s">
        <v>75</v>
      </c>
      <c r="G799" s="83">
        <v>46138</v>
      </c>
      <c r="H799" s="83">
        <v>46152</v>
      </c>
      <c r="I799" s="4">
        <v>14</v>
      </c>
      <c r="J799" s="80" t="str">
        <f>TEXT(tblPayments[[#This Row],[Arrival]],"mmm")</f>
        <v>Apr</v>
      </c>
      <c r="K799" s="80">
        <f>MONTH(tblPayments[[#This Row],[Arrival]])</f>
        <v>4</v>
      </c>
      <c r="L799" s="80">
        <f>YEAR(tblPayments[[#This Row],[Arrival]])</f>
        <v>2026</v>
      </c>
      <c r="M799" s="80" t="str">
        <f>IF(tblPayments[[#This Row],[Balance]]=0,"Full Payment","Deposit")</f>
        <v>Deposit</v>
      </c>
      <c r="N799" s="43">
        <v>0</v>
      </c>
      <c r="O799" s="83">
        <v>45836</v>
      </c>
      <c r="P799" s="87" t="s">
        <v>1</v>
      </c>
    </row>
    <row r="800" spans="1:16" x14ac:dyDescent="0.3">
      <c r="A800" s="77" t="s">
        <v>102</v>
      </c>
      <c r="B800" s="80" t="s">
        <v>76</v>
      </c>
      <c r="C800" s="43"/>
      <c r="D800" s="43"/>
      <c r="E800" s="43"/>
      <c r="F800" s="80" t="s">
        <v>73</v>
      </c>
      <c r="G800" s="83">
        <v>46140</v>
      </c>
      <c r="H800" s="83">
        <v>46147</v>
      </c>
      <c r="I800" s="4">
        <v>7</v>
      </c>
      <c r="J800" s="80" t="str">
        <f>TEXT(tblPayments[[#This Row],[Arrival]],"mmm")</f>
        <v>Apr</v>
      </c>
      <c r="K800" s="80">
        <f>MONTH(tblPayments[[#This Row],[Arrival]])</f>
        <v>4</v>
      </c>
      <c r="L800" s="80">
        <f>YEAR(tblPayments[[#This Row],[Arrival]])</f>
        <v>2026</v>
      </c>
      <c r="M800" s="80" t="str">
        <f>IF(tblPayments[[#This Row],[Balance]]=0,"Full Payment","Deposit")</f>
        <v>Full Payment</v>
      </c>
      <c r="N800" s="43">
        <v>0</v>
      </c>
      <c r="O800" s="83">
        <v>45919</v>
      </c>
      <c r="P800" s="87" t="s">
        <v>9</v>
      </c>
    </row>
    <row r="801" spans="1:16" x14ac:dyDescent="0.3">
      <c r="A801" s="77" t="s">
        <v>102</v>
      </c>
      <c r="B801" s="80" t="s">
        <v>76</v>
      </c>
      <c r="C801" s="43"/>
      <c r="D801" s="43"/>
      <c r="E801" s="43"/>
      <c r="F801" s="80" t="s">
        <v>73</v>
      </c>
      <c r="G801" s="83">
        <v>46140</v>
      </c>
      <c r="H801" s="83">
        <v>46147</v>
      </c>
      <c r="I801" s="4">
        <v>7</v>
      </c>
      <c r="J801" s="80" t="str">
        <f>TEXT(tblPayments[[#This Row],[Arrival]],"mmm")</f>
        <v>Apr</v>
      </c>
      <c r="K801" s="80">
        <f>MONTH(tblPayments[[#This Row],[Arrival]])</f>
        <v>4</v>
      </c>
      <c r="L801" s="80">
        <f>YEAR(tblPayments[[#This Row],[Arrival]])</f>
        <v>2026</v>
      </c>
      <c r="M801" s="80" t="str">
        <f>IF(tblPayments[[#This Row],[Balance]]=0,"Full Payment","Deposit")</f>
        <v>Full Payment</v>
      </c>
      <c r="N801" s="43">
        <v>0</v>
      </c>
      <c r="O801" s="83">
        <v>45919</v>
      </c>
      <c r="P801" s="87" t="s">
        <v>5</v>
      </c>
    </row>
    <row r="802" spans="1:16" x14ac:dyDescent="0.3">
      <c r="A802" s="77" t="s">
        <v>102</v>
      </c>
      <c r="B802" s="80" t="s">
        <v>77</v>
      </c>
      <c r="C802" s="43">
        <v>21793.16</v>
      </c>
      <c r="D802" s="43"/>
      <c r="E802" s="43">
        <v>21793.16</v>
      </c>
      <c r="F802" s="80" t="s">
        <v>75</v>
      </c>
      <c r="G802" s="83">
        <v>46142</v>
      </c>
      <c r="H802" s="83">
        <v>46146</v>
      </c>
      <c r="I802" s="4">
        <v>4</v>
      </c>
      <c r="J802" s="80" t="str">
        <f>TEXT(tblPayments[[#This Row],[Arrival]],"mmm")</f>
        <v>Apr</v>
      </c>
      <c r="K802" s="80">
        <f>MONTH(tblPayments[[#This Row],[Arrival]])</f>
        <v>4</v>
      </c>
      <c r="L802" s="80">
        <f>YEAR(tblPayments[[#This Row],[Arrival]])</f>
        <v>2026</v>
      </c>
      <c r="M802" s="80" t="str">
        <f>IF(tblPayments[[#This Row],[Balance]]=0,"Full Payment","Deposit")</f>
        <v>Deposit</v>
      </c>
      <c r="N802" s="43">
        <v>15423.67</v>
      </c>
      <c r="O802" s="83">
        <v>45982</v>
      </c>
      <c r="P802" s="87" t="s">
        <v>14</v>
      </c>
    </row>
    <row r="803" spans="1:16" x14ac:dyDescent="0.3">
      <c r="A803" s="77" t="s">
        <v>102</v>
      </c>
      <c r="B803" s="80" t="s">
        <v>77</v>
      </c>
      <c r="C803" s="43">
        <v>9228.84</v>
      </c>
      <c r="D803" s="43"/>
      <c r="E803" s="43">
        <v>9228.84</v>
      </c>
      <c r="F803" s="80" t="s">
        <v>75</v>
      </c>
      <c r="G803" s="83">
        <v>46144</v>
      </c>
      <c r="H803" s="83">
        <v>46147</v>
      </c>
      <c r="I803" s="4">
        <v>3</v>
      </c>
      <c r="J803" s="80" t="str">
        <f>TEXT(tblPayments[[#This Row],[Arrival]],"mmm")</f>
        <v>May</v>
      </c>
      <c r="K803" s="80">
        <f>MONTH(tblPayments[[#This Row],[Arrival]])</f>
        <v>5</v>
      </c>
      <c r="L803" s="80">
        <f>YEAR(tblPayments[[#This Row],[Arrival]])</f>
        <v>2026</v>
      </c>
      <c r="M803" s="80" t="str">
        <f>IF(tblPayments[[#This Row],[Balance]]=0,"Full Payment","Deposit")</f>
        <v>Deposit</v>
      </c>
      <c r="N803" s="43">
        <v>3423.26</v>
      </c>
      <c r="O803" s="83"/>
      <c r="P803" s="87"/>
    </row>
    <row r="804" spans="1:16" x14ac:dyDescent="0.3">
      <c r="A804" s="77" t="s">
        <v>102</v>
      </c>
      <c r="B804" s="80" t="s">
        <v>77</v>
      </c>
      <c r="C804" s="43">
        <v>41019.5</v>
      </c>
      <c r="D804" s="43"/>
      <c r="E804" s="43">
        <v>41019.5</v>
      </c>
      <c r="F804" s="80" t="s">
        <v>75</v>
      </c>
      <c r="G804" s="83">
        <v>46144</v>
      </c>
      <c r="H804" s="83">
        <v>46153</v>
      </c>
      <c r="I804" s="4">
        <v>9</v>
      </c>
      <c r="J804" s="80" t="str">
        <f>TEXT(tblPayments[[#This Row],[Arrival]],"mmm")</f>
        <v>May</v>
      </c>
      <c r="K804" s="80">
        <f>MONTH(tblPayments[[#This Row],[Arrival]])</f>
        <v>5</v>
      </c>
      <c r="L804" s="80">
        <f>YEAR(tblPayments[[#This Row],[Arrival]])</f>
        <v>2026</v>
      </c>
      <c r="M804" s="80" t="str">
        <f>IF(tblPayments[[#This Row],[Balance]]=0,"Full Payment","Deposit")</f>
        <v>Deposit</v>
      </c>
      <c r="N804" s="43">
        <v>16826.740000000002</v>
      </c>
      <c r="O804" s="83">
        <v>45993</v>
      </c>
      <c r="P804" s="87" t="s">
        <v>1</v>
      </c>
    </row>
    <row r="805" spans="1:16" x14ac:dyDescent="0.3">
      <c r="A805" s="77" t="s">
        <v>102</v>
      </c>
      <c r="B805" s="80" t="s">
        <v>77</v>
      </c>
      <c r="C805" s="43">
        <v>6329.4</v>
      </c>
      <c r="D805" s="43"/>
      <c r="E805" s="43">
        <v>6329.4</v>
      </c>
      <c r="F805" s="80" t="s">
        <v>75</v>
      </c>
      <c r="G805" s="83">
        <v>46144</v>
      </c>
      <c r="H805" s="83">
        <v>46147</v>
      </c>
      <c r="I805" s="4">
        <v>3</v>
      </c>
      <c r="J805" s="80" t="str">
        <f>TEXT(tblPayments[[#This Row],[Arrival]],"mmm")</f>
        <v>May</v>
      </c>
      <c r="K805" s="80">
        <f>MONTH(tblPayments[[#This Row],[Arrival]])</f>
        <v>5</v>
      </c>
      <c r="L805" s="80">
        <f>YEAR(tblPayments[[#This Row],[Arrival]])</f>
        <v>2026</v>
      </c>
      <c r="M805" s="80" t="str">
        <f>IF(tblPayments[[#This Row],[Balance]]=0,"Full Payment","Deposit")</f>
        <v>Deposit</v>
      </c>
      <c r="N805" s="43">
        <v>2417.12</v>
      </c>
      <c r="O805" s="83">
        <v>45899</v>
      </c>
      <c r="P805" s="87" t="s">
        <v>6</v>
      </c>
    </row>
    <row r="806" spans="1:16" x14ac:dyDescent="0.3">
      <c r="A806" s="77" t="s">
        <v>102</v>
      </c>
      <c r="B806" s="80" t="s">
        <v>77</v>
      </c>
      <c r="C806" s="43">
        <v>3724</v>
      </c>
      <c r="D806" s="43"/>
      <c r="E806" s="43">
        <v>3724</v>
      </c>
      <c r="F806" s="80" t="s">
        <v>75</v>
      </c>
      <c r="G806" s="83">
        <v>46144</v>
      </c>
      <c r="H806" s="83">
        <v>46145</v>
      </c>
      <c r="I806" s="4">
        <v>1</v>
      </c>
      <c r="J806" s="80" t="str">
        <f>TEXT(tblPayments[[#This Row],[Arrival]],"mmm")</f>
        <v>May</v>
      </c>
      <c r="K806" s="80">
        <f>MONTH(tblPayments[[#This Row],[Arrival]])</f>
        <v>5</v>
      </c>
      <c r="L806" s="80">
        <f>YEAR(tblPayments[[#This Row],[Arrival]])</f>
        <v>2026</v>
      </c>
      <c r="M806" s="80" t="str">
        <f>IF(tblPayments[[#This Row],[Balance]]=0,"Full Payment","Deposit")</f>
        <v>Deposit</v>
      </c>
      <c r="N806" s="43">
        <v>1919.19</v>
      </c>
      <c r="O806" s="83">
        <v>45995</v>
      </c>
      <c r="P806" s="87" t="s">
        <v>31</v>
      </c>
    </row>
    <row r="807" spans="1:16" x14ac:dyDescent="0.3">
      <c r="A807" s="77" t="s">
        <v>102</v>
      </c>
      <c r="B807" s="80" t="s">
        <v>77</v>
      </c>
      <c r="C807" s="43">
        <v>3724</v>
      </c>
      <c r="D807" s="43"/>
      <c r="E807" s="43">
        <v>3724</v>
      </c>
      <c r="F807" s="80" t="s">
        <v>75</v>
      </c>
      <c r="G807" s="83">
        <v>46145</v>
      </c>
      <c r="H807" s="83">
        <v>46146</v>
      </c>
      <c r="I807" s="4">
        <v>1</v>
      </c>
      <c r="J807" s="80" t="str">
        <f>TEXT(tblPayments[[#This Row],[Arrival]],"mmm")</f>
        <v>May</v>
      </c>
      <c r="K807" s="80">
        <f>MONTH(tblPayments[[#This Row],[Arrival]])</f>
        <v>5</v>
      </c>
      <c r="L807" s="80">
        <f>YEAR(tblPayments[[#This Row],[Arrival]])</f>
        <v>2026</v>
      </c>
      <c r="M807" s="80" t="str">
        <f>IF(tblPayments[[#This Row],[Balance]]=0,"Full Payment","Deposit")</f>
        <v>Deposit</v>
      </c>
      <c r="N807" s="43">
        <v>1919.19</v>
      </c>
      <c r="O807" s="83">
        <v>45995</v>
      </c>
      <c r="P807" s="87" t="s">
        <v>31</v>
      </c>
    </row>
    <row r="808" spans="1:16" x14ac:dyDescent="0.3">
      <c r="A808" s="77" t="s">
        <v>102</v>
      </c>
      <c r="B808" s="80" t="s">
        <v>77</v>
      </c>
      <c r="C808" s="43">
        <v>13719.8</v>
      </c>
      <c r="D808" s="43"/>
      <c r="E808" s="43">
        <v>13719.8</v>
      </c>
      <c r="F808" s="80" t="s">
        <v>80</v>
      </c>
      <c r="G808" s="83">
        <v>46146</v>
      </c>
      <c r="H808" s="83">
        <v>46150</v>
      </c>
      <c r="I808" s="4">
        <v>4</v>
      </c>
      <c r="J808" s="80" t="str">
        <f>TEXT(tblPayments[[#This Row],[Arrival]],"mmm")</f>
        <v>May</v>
      </c>
      <c r="K808" s="80">
        <f>MONTH(tblPayments[[#This Row],[Arrival]])</f>
        <v>5</v>
      </c>
      <c r="L808" s="80">
        <f>YEAR(tblPayments[[#This Row],[Arrival]])</f>
        <v>2026</v>
      </c>
      <c r="M808" s="80" t="str">
        <f>IF(tblPayments[[#This Row],[Balance]]=0,"Full Payment","Deposit")</f>
        <v>Deposit</v>
      </c>
      <c r="N808" s="43">
        <v>8549.92</v>
      </c>
      <c r="O808" s="83">
        <v>45919</v>
      </c>
      <c r="P808" s="87" t="s">
        <v>15</v>
      </c>
    </row>
    <row r="809" spans="1:16" x14ac:dyDescent="0.3">
      <c r="A809" s="77" t="s">
        <v>102</v>
      </c>
      <c r="B809" s="80" t="s">
        <v>77</v>
      </c>
      <c r="C809" s="43">
        <v>5605.12</v>
      </c>
      <c r="D809" s="43"/>
      <c r="E809" s="43">
        <v>5605.12</v>
      </c>
      <c r="F809" s="80" t="s">
        <v>75</v>
      </c>
      <c r="G809" s="83">
        <v>46146</v>
      </c>
      <c r="H809" s="83">
        <v>46147</v>
      </c>
      <c r="I809" s="4">
        <v>1</v>
      </c>
      <c r="J809" s="80" t="str">
        <f>TEXT(tblPayments[[#This Row],[Arrival]],"mmm")</f>
        <v>May</v>
      </c>
      <c r="K809" s="80">
        <f>MONTH(tblPayments[[#This Row],[Arrival]])</f>
        <v>5</v>
      </c>
      <c r="L809" s="80">
        <f>YEAR(tblPayments[[#This Row],[Arrival]])</f>
        <v>2026</v>
      </c>
      <c r="M809" s="80" t="str">
        <f>IF(tblPayments[[#This Row],[Balance]]=0,"Full Payment","Deposit")</f>
        <v>Deposit</v>
      </c>
      <c r="N809" s="43">
        <v>2700.79</v>
      </c>
      <c r="O809" s="83">
        <v>45877</v>
      </c>
      <c r="P809" s="87" t="s">
        <v>13</v>
      </c>
    </row>
    <row r="810" spans="1:16" x14ac:dyDescent="0.3">
      <c r="A810" s="77" t="s">
        <v>102</v>
      </c>
      <c r="B810" s="80" t="s">
        <v>77</v>
      </c>
      <c r="C810" s="43">
        <v>17020</v>
      </c>
      <c r="D810" s="43"/>
      <c r="E810" s="43">
        <v>17020</v>
      </c>
      <c r="F810" s="80" t="s">
        <v>75</v>
      </c>
      <c r="G810" s="83">
        <v>46146</v>
      </c>
      <c r="H810" s="83">
        <v>46152</v>
      </c>
      <c r="I810" s="4">
        <v>6</v>
      </c>
      <c r="J810" s="80" t="str">
        <f>TEXT(tblPayments[[#This Row],[Arrival]],"mmm")</f>
        <v>May</v>
      </c>
      <c r="K810" s="80">
        <f>MONTH(tblPayments[[#This Row],[Arrival]])</f>
        <v>5</v>
      </c>
      <c r="L810" s="80">
        <f>YEAR(tblPayments[[#This Row],[Arrival]])</f>
        <v>2026</v>
      </c>
      <c r="M810" s="80" t="str">
        <f>IF(tblPayments[[#This Row],[Balance]]=0,"Full Payment","Deposit")</f>
        <v>Deposit</v>
      </c>
      <c r="N810" s="43">
        <v>8543.94</v>
      </c>
      <c r="O810" s="83">
        <v>45964</v>
      </c>
      <c r="P810" s="87" t="s">
        <v>35</v>
      </c>
    </row>
    <row r="811" spans="1:16" x14ac:dyDescent="0.3">
      <c r="A811" s="77" t="s">
        <v>102</v>
      </c>
      <c r="B811" s="80" t="s">
        <v>77</v>
      </c>
      <c r="C811" s="43">
        <v>11276</v>
      </c>
      <c r="D811" s="43"/>
      <c r="E811" s="43">
        <v>11276</v>
      </c>
      <c r="F811" s="80" t="s">
        <v>75</v>
      </c>
      <c r="G811" s="83">
        <v>46147</v>
      </c>
      <c r="H811" s="83">
        <v>46151</v>
      </c>
      <c r="I811" s="4">
        <v>4</v>
      </c>
      <c r="J811" s="80" t="str">
        <f>TEXT(tblPayments[[#This Row],[Arrival]],"mmm")</f>
        <v>May</v>
      </c>
      <c r="K811" s="80">
        <f>MONTH(tblPayments[[#This Row],[Arrival]])</f>
        <v>5</v>
      </c>
      <c r="L811" s="80">
        <f>YEAR(tblPayments[[#This Row],[Arrival]])</f>
        <v>2026</v>
      </c>
      <c r="M811" s="80" t="str">
        <f>IF(tblPayments[[#This Row],[Balance]]=0,"Full Payment","Deposit")</f>
        <v>Deposit</v>
      </c>
      <c r="N811" s="43">
        <v>5252.52</v>
      </c>
      <c r="O811" s="83">
        <v>45964</v>
      </c>
      <c r="P811" s="87" t="s">
        <v>32</v>
      </c>
    </row>
    <row r="812" spans="1:16" x14ac:dyDescent="0.3">
      <c r="A812" s="77" t="s">
        <v>102</v>
      </c>
      <c r="B812" s="80" t="s">
        <v>76</v>
      </c>
      <c r="C812" s="43"/>
      <c r="D812" s="43"/>
      <c r="E812" s="43"/>
      <c r="F812" s="80" t="s">
        <v>73</v>
      </c>
      <c r="G812" s="83">
        <v>46148</v>
      </c>
      <c r="H812" s="83">
        <v>46150</v>
      </c>
      <c r="I812" s="4">
        <v>2</v>
      </c>
      <c r="J812" s="80" t="str">
        <f>TEXT(tblPayments[[#This Row],[Arrival]],"mmm")</f>
        <v>May</v>
      </c>
      <c r="K812" s="80">
        <f>MONTH(tblPayments[[#This Row],[Arrival]])</f>
        <v>5</v>
      </c>
      <c r="L812" s="80">
        <f>YEAR(tblPayments[[#This Row],[Arrival]])</f>
        <v>2026</v>
      </c>
      <c r="M812" s="80" t="str">
        <f>IF(tblPayments[[#This Row],[Balance]]=0,"Full Payment","Deposit")</f>
        <v>Full Payment</v>
      </c>
      <c r="N812" s="43">
        <v>-1144.68</v>
      </c>
      <c r="O812" s="83">
        <v>45953</v>
      </c>
      <c r="P812" s="87" t="s">
        <v>2</v>
      </c>
    </row>
    <row r="813" spans="1:16" x14ac:dyDescent="0.3">
      <c r="A813" s="77" t="s">
        <v>102</v>
      </c>
      <c r="B813" s="80" t="s">
        <v>77</v>
      </c>
      <c r="C813" s="43">
        <v>18632.78</v>
      </c>
      <c r="D813" s="43"/>
      <c r="E813" s="43">
        <v>18632.78</v>
      </c>
      <c r="F813" s="80" t="s">
        <v>75</v>
      </c>
      <c r="G813" s="83">
        <v>46149</v>
      </c>
      <c r="H813" s="83">
        <v>46155</v>
      </c>
      <c r="I813" s="4">
        <v>6</v>
      </c>
      <c r="J813" s="80" t="str">
        <f>TEXT(tblPayments[[#This Row],[Arrival]],"mmm")</f>
        <v>May</v>
      </c>
      <c r="K813" s="80">
        <f>MONTH(tblPayments[[#This Row],[Arrival]])</f>
        <v>5</v>
      </c>
      <c r="L813" s="80">
        <f>YEAR(tblPayments[[#This Row],[Arrival]])</f>
        <v>2026</v>
      </c>
      <c r="M813" s="80" t="str">
        <f>IF(tblPayments[[#This Row],[Balance]]=0,"Full Payment","Deposit")</f>
        <v>Deposit</v>
      </c>
      <c r="N813" s="43">
        <v>9774.66</v>
      </c>
      <c r="O813" s="83">
        <v>45987</v>
      </c>
      <c r="P813" s="87" t="s">
        <v>15</v>
      </c>
    </row>
    <row r="814" spans="1:16" x14ac:dyDescent="0.3">
      <c r="A814" s="77" t="s">
        <v>102</v>
      </c>
      <c r="B814" s="80" t="s">
        <v>77</v>
      </c>
      <c r="C814" s="43">
        <v>15268.58</v>
      </c>
      <c r="D814" s="43"/>
      <c r="E814" s="43">
        <v>15268.58</v>
      </c>
      <c r="F814" s="80" t="s">
        <v>75</v>
      </c>
      <c r="G814" s="83">
        <v>46149</v>
      </c>
      <c r="H814" s="83">
        <v>46153</v>
      </c>
      <c r="I814" s="4">
        <v>4</v>
      </c>
      <c r="J814" s="80" t="str">
        <f>TEXT(tblPayments[[#This Row],[Arrival]],"mmm")</f>
        <v>May</v>
      </c>
      <c r="K814" s="80">
        <f>MONTH(tblPayments[[#This Row],[Arrival]])</f>
        <v>5</v>
      </c>
      <c r="L814" s="80">
        <f>YEAR(tblPayments[[#This Row],[Arrival]])</f>
        <v>2026</v>
      </c>
      <c r="M814" s="80" t="str">
        <f>IF(tblPayments[[#This Row],[Balance]]=0,"Full Payment","Deposit")</f>
        <v>Deposit</v>
      </c>
      <c r="N814" s="43">
        <v>7910.64</v>
      </c>
      <c r="O814" s="83">
        <v>45801</v>
      </c>
      <c r="P814" s="87" t="s">
        <v>38</v>
      </c>
    </row>
    <row r="815" spans="1:16" x14ac:dyDescent="0.3">
      <c r="A815" s="77" t="s">
        <v>102</v>
      </c>
      <c r="B815" s="80" t="s">
        <v>77</v>
      </c>
      <c r="C815" s="43">
        <v>4885.7</v>
      </c>
      <c r="D815" s="43">
        <v>4885.7</v>
      </c>
      <c r="E815" s="43"/>
      <c r="F815" s="80" t="s">
        <v>70</v>
      </c>
      <c r="G815" s="83">
        <v>46150</v>
      </c>
      <c r="H815" s="83">
        <v>46152</v>
      </c>
      <c r="I815" s="4">
        <v>2</v>
      </c>
      <c r="J815" s="80" t="str">
        <f>TEXT(tblPayments[[#This Row],[Arrival]],"mmm")</f>
        <v>May</v>
      </c>
      <c r="K815" s="80">
        <f>MONTH(tblPayments[[#This Row],[Arrival]])</f>
        <v>5</v>
      </c>
      <c r="L815" s="80">
        <f>YEAR(tblPayments[[#This Row],[Arrival]])</f>
        <v>2026</v>
      </c>
      <c r="M815" s="80" t="str">
        <f>IF(tblPayments[[#This Row],[Balance]]=0,"Full Payment","Deposit")</f>
        <v>Full Payment</v>
      </c>
      <c r="N815" s="43">
        <v>1814.48</v>
      </c>
      <c r="O815" s="83">
        <v>45943</v>
      </c>
      <c r="P815" s="87" t="s">
        <v>6</v>
      </c>
    </row>
    <row r="816" spans="1:16" x14ac:dyDescent="0.3">
      <c r="A816" s="77" t="s">
        <v>102</v>
      </c>
      <c r="B816" s="80" t="s">
        <v>77</v>
      </c>
      <c r="C816" s="43">
        <v>13130</v>
      </c>
      <c r="D816" s="43"/>
      <c r="E816" s="43">
        <v>13130</v>
      </c>
      <c r="F816" s="80" t="s">
        <v>75</v>
      </c>
      <c r="G816" s="83">
        <v>46157</v>
      </c>
      <c r="H816" s="83">
        <v>46162</v>
      </c>
      <c r="I816" s="4">
        <v>5</v>
      </c>
      <c r="J816" s="80" t="str">
        <f>TEXT(tblPayments[[#This Row],[Arrival]],"mmm")</f>
        <v>May</v>
      </c>
      <c r="K816" s="80">
        <f>MONTH(tblPayments[[#This Row],[Arrival]])</f>
        <v>5</v>
      </c>
      <c r="L816" s="80">
        <f>YEAR(tblPayments[[#This Row],[Arrival]])</f>
        <v>2026</v>
      </c>
      <c r="M816" s="80" t="str">
        <f>IF(tblPayments[[#This Row],[Balance]]=0,"Full Payment","Deposit")</f>
        <v>Deposit</v>
      </c>
      <c r="N816" s="43">
        <v>5213.7</v>
      </c>
      <c r="O816" s="83">
        <v>45891</v>
      </c>
      <c r="P816" s="87" t="s">
        <v>8</v>
      </c>
    </row>
    <row r="817" spans="1:16" x14ac:dyDescent="0.3">
      <c r="A817" s="77" t="s">
        <v>102</v>
      </c>
      <c r="B817" s="80" t="s">
        <v>77</v>
      </c>
      <c r="C817" s="43">
        <v>30976.94</v>
      </c>
      <c r="D817" s="43"/>
      <c r="E817" s="43">
        <v>30976.94</v>
      </c>
      <c r="F817" s="80" t="s">
        <v>75</v>
      </c>
      <c r="G817" s="83">
        <v>46160</v>
      </c>
      <c r="H817" s="83">
        <v>46165</v>
      </c>
      <c r="I817" s="4">
        <v>5</v>
      </c>
      <c r="J817" s="80" t="str">
        <f>TEXT(tblPayments[[#This Row],[Arrival]],"mmm")</f>
        <v>May</v>
      </c>
      <c r="K817" s="80">
        <f>MONTH(tblPayments[[#This Row],[Arrival]])</f>
        <v>5</v>
      </c>
      <c r="L817" s="80">
        <f>YEAR(tblPayments[[#This Row],[Arrival]])</f>
        <v>2026</v>
      </c>
      <c r="M817" s="80" t="str">
        <f>IF(tblPayments[[#This Row],[Balance]]=0,"Full Payment","Deposit")</f>
        <v>Deposit</v>
      </c>
      <c r="N817" s="43">
        <v>15187.65</v>
      </c>
      <c r="O817" s="83">
        <v>46001</v>
      </c>
      <c r="P817" s="87" t="s">
        <v>24</v>
      </c>
    </row>
    <row r="818" spans="1:16" x14ac:dyDescent="0.3">
      <c r="A818" s="77" t="s">
        <v>102</v>
      </c>
      <c r="B818" s="80" t="s">
        <v>77</v>
      </c>
      <c r="C818" s="43">
        <v>62881</v>
      </c>
      <c r="D818" s="43">
        <v>18660.25</v>
      </c>
      <c r="E818" s="43">
        <v>44220.75</v>
      </c>
      <c r="F818" s="80" t="s">
        <v>72</v>
      </c>
      <c r="G818" s="83">
        <v>46162</v>
      </c>
      <c r="H818" s="83">
        <v>46166</v>
      </c>
      <c r="I818" s="4">
        <v>4</v>
      </c>
      <c r="J818" s="80" t="str">
        <f>TEXT(tblPayments[[#This Row],[Arrival]],"mmm")</f>
        <v>May</v>
      </c>
      <c r="K818" s="80">
        <f>MONTH(tblPayments[[#This Row],[Arrival]])</f>
        <v>5</v>
      </c>
      <c r="L818" s="80">
        <f>YEAR(tblPayments[[#This Row],[Arrival]])</f>
        <v>2026</v>
      </c>
      <c r="M818" s="80" t="str">
        <f>IF(tblPayments[[#This Row],[Balance]]=0,"Full Payment","Deposit")</f>
        <v>Deposit</v>
      </c>
      <c r="N818" s="43">
        <v>33531.480000000003</v>
      </c>
      <c r="O818" s="83">
        <v>45724</v>
      </c>
      <c r="P818" s="87" t="s">
        <v>15</v>
      </c>
    </row>
    <row r="819" spans="1:16" x14ac:dyDescent="0.3">
      <c r="A819" s="77" t="s">
        <v>102</v>
      </c>
      <c r="B819" s="80" t="s">
        <v>77</v>
      </c>
      <c r="C819" s="43">
        <v>17378</v>
      </c>
      <c r="D819" s="43"/>
      <c r="E819" s="43">
        <v>17378</v>
      </c>
      <c r="F819" s="80" t="s">
        <v>75</v>
      </c>
      <c r="G819" s="83">
        <v>46164</v>
      </c>
      <c r="H819" s="83">
        <v>46169</v>
      </c>
      <c r="I819" s="4">
        <v>5</v>
      </c>
      <c r="J819" s="80" t="str">
        <f>TEXT(tblPayments[[#This Row],[Arrival]],"mmm")</f>
        <v>May</v>
      </c>
      <c r="K819" s="80">
        <f>MONTH(tblPayments[[#This Row],[Arrival]])</f>
        <v>5</v>
      </c>
      <c r="L819" s="80">
        <f>YEAR(tblPayments[[#This Row],[Arrival]])</f>
        <v>2026</v>
      </c>
      <c r="M819" s="80" t="str">
        <f>IF(tblPayments[[#This Row],[Balance]]=0,"Full Payment","Deposit")</f>
        <v>Deposit</v>
      </c>
      <c r="N819" s="43">
        <v>9316.1</v>
      </c>
      <c r="O819" s="83">
        <v>45997</v>
      </c>
      <c r="P819" s="87" t="s">
        <v>2</v>
      </c>
    </row>
    <row r="820" spans="1:16" x14ac:dyDescent="0.3">
      <c r="A820" s="77" t="s">
        <v>102</v>
      </c>
      <c r="B820" s="80" t="s">
        <v>77</v>
      </c>
      <c r="C820" s="43">
        <v>28675.52</v>
      </c>
      <c r="D820" s="43"/>
      <c r="E820" s="43">
        <v>28675.52</v>
      </c>
      <c r="F820" s="80" t="s">
        <v>75</v>
      </c>
      <c r="G820" s="83">
        <v>46166</v>
      </c>
      <c r="H820" s="83">
        <v>46171</v>
      </c>
      <c r="I820" s="4">
        <v>5</v>
      </c>
      <c r="J820" s="80" t="str">
        <f>TEXT(tblPayments[[#This Row],[Arrival]],"mmm")</f>
        <v>May</v>
      </c>
      <c r="K820" s="80">
        <f>MONTH(tblPayments[[#This Row],[Arrival]])</f>
        <v>5</v>
      </c>
      <c r="L820" s="80">
        <f>YEAR(tblPayments[[#This Row],[Arrival]])</f>
        <v>2026</v>
      </c>
      <c r="M820" s="80" t="str">
        <f>IF(tblPayments[[#This Row],[Balance]]=0,"Full Payment","Deposit")</f>
        <v>Deposit</v>
      </c>
      <c r="N820" s="43">
        <v>13992.3</v>
      </c>
      <c r="O820" s="83">
        <v>45918</v>
      </c>
      <c r="P820" s="87" t="s">
        <v>15</v>
      </c>
    </row>
    <row r="821" spans="1:16" x14ac:dyDescent="0.3">
      <c r="A821" s="77" t="s">
        <v>102</v>
      </c>
      <c r="B821" s="80" t="s">
        <v>77</v>
      </c>
      <c r="C821" s="43">
        <v>0</v>
      </c>
      <c r="D821" s="43"/>
      <c r="E821" s="43">
        <v>0</v>
      </c>
      <c r="F821" s="80" t="s">
        <v>73</v>
      </c>
      <c r="G821" s="83">
        <v>46168</v>
      </c>
      <c r="H821" s="83">
        <v>46171</v>
      </c>
      <c r="I821" s="4">
        <v>3</v>
      </c>
      <c r="J821" s="80" t="str">
        <f>TEXT(tblPayments[[#This Row],[Arrival]],"mmm")</f>
        <v>May</v>
      </c>
      <c r="K821" s="80">
        <f>MONTH(tblPayments[[#This Row],[Arrival]])</f>
        <v>5</v>
      </c>
      <c r="L821" s="80">
        <f>YEAR(tblPayments[[#This Row],[Arrival]])</f>
        <v>2026</v>
      </c>
      <c r="M821" s="80" t="str">
        <f>IF(tblPayments[[#This Row],[Balance]]=0,"Full Payment","Deposit")</f>
        <v>Full Payment</v>
      </c>
      <c r="N821" s="43">
        <v>0</v>
      </c>
      <c r="O821" s="83">
        <v>45987</v>
      </c>
      <c r="P821" s="87" t="s">
        <v>8</v>
      </c>
    </row>
    <row r="822" spans="1:16" x14ac:dyDescent="0.3">
      <c r="A822" s="77" t="s">
        <v>102</v>
      </c>
      <c r="B822" s="80" t="s">
        <v>77</v>
      </c>
      <c r="C822" s="43">
        <v>11190</v>
      </c>
      <c r="D822" s="43"/>
      <c r="E822" s="43">
        <v>11190</v>
      </c>
      <c r="F822" s="80" t="s">
        <v>75</v>
      </c>
      <c r="G822" s="83">
        <v>46172</v>
      </c>
      <c r="H822" s="83">
        <v>46176</v>
      </c>
      <c r="I822" s="4">
        <v>4</v>
      </c>
      <c r="J822" s="80" t="str">
        <f>TEXT(tblPayments[[#This Row],[Arrival]],"mmm")</f>
        <v>May</v>
      </c>
      <c r="K822" s="80">
        <f>MONTH(tblPayments[[#This Row],[Arrival]])</f>
        <v>5</v>
      </c>
      <c r="L822" s="80">
        <f>YEAR(tblPayments[[#This Row],[Arrival]])</f>
        <v>2026</v>
      </c>
      <c r="M822" s="80" t="str">
        <f>IF(tblPayments[[#This Row],[Balance]]=0,"Full Payment","Deposit")</f>
        <v>Deposit</v>
      </c>
      <c r="N822" s="43">
        <v>5923.84</v>
      </c>
      <c r="O822" s="83">
        <v>45989</v>
      </c>
      <c r="P822" s="87" t="s">
        <v>13</v>
      </c>
    </row>
    <row r="823" spans="1:16" x14ac:dyDescent="0.3">
      <c r="A823" s="77" t="s">
        <v>102</v>
      </c>
      <c r="B823" s="80" t="s">
        <v>77</v>
      </c>
      <c r="C823" s="43">
        <v>76290</v>
      </c>
      <c r="D823" s="43"/>
      <c r="E823" s="43">
        <v>76290</v>
      </c>
      <c r="F823" s="80" t="s">
        <v>75</v>
      </c>
      <c r="G823" s="83">
        <v>46173</v>
      </c>
      <c r="H823" s="83">
        <v>46179</v>
      </c>
      <c r="I823" s="4">
        <v>6</v>
      </c>
      <c r="J823" s="80" t="str">
        <f>TEXT(tblPayments[[#This Row],[Arrival]],"mmm")</f>
        <v>May</v>
      </c>
      <c r="K823" s="80">
        <f>MONTH(tblPayments[[#This Row],[Arrival]])</f>
        <v>5</v>
      </c>
      <c r="L823" s="80">
        <f>YEAR(tblPayments[[#This Row],[Arrival]])</f>
        <v>2026</v>
      </c>
      <c r="M823" s="80" t="str">
        <f>IF(tblPayments[[#This Row],[Balance]]=0,"Full Payment","Deposit")</f>
        <v>Deposit</v>
      </c>
      <c r="N823" s="43">
        <v>26068.32</v>
      </c>
      <c r="O823" s="83">
        <v>45790</v>
      </c>
      <c r="P823" s="87" t="s">
        <v>2</v>
      </c>
    </row>
    <row r="824" spans="1:16" x14ac:dyDescent="0.3">
      <c r="A824" s="77" t="s">
        <v>102</v>
      </c>
      <c r="B824" s="80" t="s">
        <v>77</v>
      </c>
      <c r="C824" s="43">
        <v>13600.86</v>
      </c>
      <c r="D824" s="43"/>
      <c r="E824" s="43">
        <v>13600.86</v>
      </c>
      <c r="F824" s="80" t="s">
        <v>80</v>
      </c>
      <c r="G824" s="83">
        <v>46173</v>
      </c>
      <c r="H824" s="83">
        <v>46175</v>
      </c>
      <c r="I824" s="4">
        <v>2</v>
      </c>
      <c r="J824" s="80" t="str">
        <f>TEXT(tblPayments[[#This Row],[Arrival]],"mmm")</f>
        <v>May</v>
      </c>
      <c r="K824" s="80">
        <f>MONTH(tblPayments[[#This Row],[Arrival]])</f>
        <v>5</v>
      </c>
      <c r="L824" s="80">
        <f>YEAR(tblPayments[[#This Row],[Arrival]])</f>
        <v>2026</v>
      </c>
      <c r="M824" s="80" t="str">
        <f>IF(tblPayments[[#This Row],[Balance]]=0,"Full Payment","Deposit")</f>
        <v>Deposit</v>
      </c>
      <c r="N824" s="43">
        <v>7689.92</v>
      </c>
      <c r="O824" s="83">
        <v>45991</v>
      </c>
      <c r="P824" s="87" t="s">
        <v>15</v>
      </c>
    </row>
    <row r="825" spans="1:16" x14ac:dyDescent="0.3">
      <c r="A825" s="77" t="s">
        <v>102</v>
      </c>
      <c r="B825" s="80" t="s">
        <v>77</v>
      </c>
      <c r="C825" s="43">
        <v>43868.5</v>
      </c>
      <c r="D825" s="43"/>
      <c r="E825" s="43">
        <v>43868.5</v>
      </c>
      <c r="F825" s="80" t="s">
        <v>75</v>
      </c>
      <c r="G825" s="83">
        <v>46174</v>
      </c>
      <c r="H825" s="83">
        <v>46180</v>
      </c>
      <c r="I825" s="4">
        <v>6</v>
      </c>
      <c r="J825" s="80" t="str">
        <f>TEXT(tblPayments[[#This Row],[Arrival]],"mmm")</f>
        <v>Jun</v>
      </c>
      <c r="K825" s="80">
        <f>MONTH(tblPayments[[#This Row],[Arrival]])</f>
        <v>6</v>
      </c>
      <c r="L825" s="80">
        <f>YEAR(tblPayments[[#This Row],[Arrival]])</f>
        <v>2026</v>
      </c>
      <c r="M825" s="80" t="str">
        <f>IF(tblPayments[[#This Row],[Balance]]=0,"Full Payment","Deposit")</f>
        <v>Deposit</v>
      </c>
      <c r="N825" s="43">
        <v>29644.02</v>
      </c>
      <c r="O825" s="83">
        <v>45838</v>
      </c>
      <c r="P825" s="87" t="s">
        <v>5</v>
      </c>
    </row>
    <row r="826" spans="1:16" x14ac:dyDescent="0.3">
      <c r="A826" s="77" t="s">
        <v>102</v>
      </c>
      <c r="B826" s="80" t="s">
        <v>77</v>
      </c>
      <c r="C826" s="43">
        <v>20652</v>
      </c>
      <c r="D826" s="43"/>
      <c r="E826" s="43">
        <v>20652</v>
      </c>
      <c r="F826" s="80" t="s">
        <v>75</v>
      </c>
      <c r="G826" s="83">
        <v>46179</v>
      </c>
      <c r="H826" s="83">
        <v>46187</v>
      </c>
      <c r="I826" s="4">
        <v>8</v>
      </c>
      <c r="J826" s="80" t="str">
        <f>TEXT(tblPayments[[#This Row],[Arrival]],"mmm")</f>
        <v>Jun</v>
      </c>
      <c r="K826" s="80">
        <f>MONTH(tblPayments[[#This Row],[Arrival]])</f>
        <v>6</v>
      </c>
      <c r="L826" s="80">
        <f>YEAR(tblPayments[[#This Row],[Arrival]])</f>
        <v>2026</v>
      </c>
      <c r="M826" s="80" t="str">
        <f>IF(tblPayments[[#This Row],[Balance]]=0,"Full Payment","Deposit")</f>
        <v>Deposit</v>
      </c>
      <c r="N826" s="43">
        <v>10505.04</v>
      </c>
      <c r="O826" s="83">
        <v>45956</v>
      </c>
      <c r="P826" s="87" t="s">
        <v>1</v>
      </c>
    </row>
    <row r="827" spans="1:16" x14ac:dyDescent="0.3">
      <c r="A827" s="77" t="s">
        <v>102</v>
      </c>
      <c r="B827" s="80" t="s">
        <v>77</v>
      </c>
      <c r="C827" s="43">
        <v>16640</v>
      </c>
      <c r="D827" s="43"/>
      <c r="E827" s="43">
        <v>16640</v>
      </c>
      <c r="F827" s="80" t="s">
        <v>75</v>
      </c>
      <c r="G827" s="83">
        <v>46182</v>
      </c>
      <c r="H827" s="83">
        <v>46187</v>
      </c>
      <c r="I827" s="4">
        <v>5</v>
      </c>
      <c r="J827" s="80" t="str">
        <f>TEXT(tblPayments[[#This Row],[Arrival]],"mmm")</f>
        <v>Jun</v>
      </c>
      <c r="K827" s="80">
        <f>MONTH(tblPayments[[#This Row],[Arrival]])</f>
        <v>6</v>
      </c>
      <c r="L827" s="80">
        <f>YEAR(tblPayments[[#This Row],[Arrival]])</f>
        <v>2026</v>
      </c>
      <c r="M827" s="80" t="str">
        <f>IF(tblPayments[[#This Row],[Balance]]=0,"Full Payment","Deposit")</f>
        <v>Deposit</v>
      </c>
      <c r="N827" s="43">
        <v>8218.85</v>
      </c>
      <c r="O827" s="83">
        <v>45965</v>
      </c>
      <c r="P827" s="87" t="s">
        <v>15</v>
      </c>
    </row>
    <row r="828" spans="1:16" x14ac:dyDescent="0.3">
      <c r="A828" s="77" t="s">
        <v>102</v>
      </c>
      <c r="B828" s="80" t="s">
        <v>77</v>
      </c>
      <c r="C828" s="43">
        <v>8588.6200000000008</v>
      </c>
      <c r="D828" s="43"/>
      <c r="E828" s="43">
        <v>8588.6200000000008</v>
      </c>
      <c r="F828" s="80" t="s">
        <v>75</v>
      </c>
      <c r="G828" s="83">
        <v>46183</v>
      </c>
      <c r="H828" s="83">
        <v>46187</v>
      </c>
      <c r="I828" s="4">
        <v>4</v>
      </c>
      <c r="J828" s="80" t="str">
        <f>TEXT(tblPayments[[#This Row],[Arrival]],"mmm")</f>
        <v>Jun</v>
      </c>
      <c r="K828" s="80">
        <f>MONTH(tblPayments[[#This Row],[Arrival]])</f>
        <v>6</v>
      </c>
      <c r="L828" s="80">
        <f>YEAR(tblPayments[[#This Row],[Arrival]])</f>
        <v>2026</v>
      </c>
      <c r="M828" s="80" t="str">
        <f>IF(tblPayments[[#This Row],[Balance]]=0,"Full Payment","Deposit")</f>
        <v>Deposit</v>
      </c>
      <c r="N828" s="43">
        <v>3556.44</v>
      </c>
      <c r="O828" s="83">
        <v>45852</v>
      </c>
      <c r="P828" s="87" t="s">
        <v>15</v>
      </c>
    </row>
    <row r="829" spans="1:16" x14ac:dyDescent="0.3">
      <c r="A829" s="77" t="s">
        <v>102</v>
      </c>
      <c r="B829" s="80" t="s">
        <v>77</v>
      </c>
      <c r="C829" s="43">
        <v>22948</v>
      </c>
      <c r="D829" s="43"/>
      <c r="E829" s="43">
        <v>22948</v>
      </c>
      <c r="F829" s="80" t="s">
        <v>75</v>
      </c>
      <c r="G829" s="83">
        <v>46183</v>
      </c>
      <c r="H829" s="83">
        <v>46187</v>
      </c>
      <c r="I829" s="4">
        <v>4</v>
      </c>
      <c r="J829" s="80" t="str">
        <f>TEXT(tblPayments[[#This Row],[Arrival]],"mmm")</f>
        <v>Jun</v>
      </c>
      <c r="K829" s="80">
        <f>MONTH(tblPayments[[#This Row],[Arrival]])</f>
        <v>6</v>
      </c>
      <c r="L829" s="80">
        <f>YEAR(tblPayments[[#This Row],[Arrival]])</f>
        <v>2026</v>
      </c>
      <c r="M829" s="80" t="str">
        <f>IF(tblPayments[[#This Row],[Balance]]=0,"Full Payment","Deposit")</f>
        <v>Deposit</v>
      </c>
      <c r="N829" s="43">
        <v>0</v>
      </c>
      <c r="O829" s="83">
        <v>45994</v>
      </c>
      <c r="P829" s="87" t="s">
        <v>31</v>
      </c>
    </row>
    <row r="830" spans="1:16" x14ac:dyDescent="0.3">
      <c r="A830" s="77" t="s">
        <v>102</v>
      </c>
      <c r="B830" s="80" t="s">
        <v>77</v>
      </c>
      <c r="C830" s="43">
        <v>6738.34</v>
      </c>
      <c r="D830" s="43"/>
      <c r="E830" s="43">
        <v>6738.34</v>
      </c>
      <c r="F830" s="80" t="s">
        <v>75</v>
      </c>
      <c r="G830" s="83">
        <v>46187</v>
      </c>
      <c r="H830" s="83">
        <v>46190</v>
      </c>
      <c r="I830" s="4">
        <v>3</v>
      </c>
      <c r="J830" s="80" t="str">
        <f>TEXT(tblPayments[[#This Row],[Arrival]],"mmm")</f>
        <v>Jun</v>
      </c>
      <c r="K830" s="80">
        <f>MONTH(tblPayments[[#This Row],[Arrival]])</f>
        <v>6</v>
      </c>
      <c r="L830" s="80">
        <f>YEAR(tblPayments[[#This Row],[Arrival]])</f>
        <v>2026</v>
      </c>
      <c r="M830" s="80" t="str">
        <f>IF(tblPayments[[#This Row],[Balance]]=0,"Full Payment","Deposit")</f>
        <v>Deposit</v>
      </c>
      <c r="N830" s="43">
        <v>2667.33</v>
      </c>
      <c r="O830" s="83">
        <v>45877</v>
      </c>
      <c r="P830" s="87" t="s">
        <v>15</v>
      </c>
    </row>
    <row r="831" spans="1:16" x14ac:dyDescent="0.3">
      <c r="A831" s="77" t="s">
        <v>102</v>
      </c>
      <c r="B831" s="80" t="s">
        <v>77</v>
      </c>
      <c r="C831" s="43">
        <v>15570</v>
      </c>
      <c r="D831" s="43"/>
      <c r="E831" s="43">
        <v>15570</v>
      </c>
      <c r="F831" s="80" t="s">
        <v>75</v>
      </c>
      <c r="G831" s="83">
        <v>46189</v>
      </c>
      <c r="H831" s="83">
        <v>46194</v>
      </c>
      <c r="I831" s="4">
        <v>5</v>
      </c>
      <c r="J831" s="80" t="str">
        <f>TEXT(tblPayments[[#This Row],[Arrival]],"mmm")</f>
        <v>Jun</v>
      </c>
      <c r="K831" s="80">
        <f>MONTH(tblPayments[[#This Row],[Arrival]])</f>
        <v>6</v>
      </c>
      <c r="L831" s="80">
        <f>YEAR(tblPayments[[#This Row],[Arrival]])</f>
        <v>2026</v>
      </c>
      <c r="M831" s="80" t="str">
        <f>IF(tblPayments[[#This Row],[Balance]]=0,"Full Payment","Deposit")</f>
        <v>Deposit</v>
      </c>
      <c r="N831" s="43">
        <v>6814.7</v>
      </c>
      <c r="O831" s="83">
        <v>45982</v>
      </c>
      <c r="P831" s="87" t="s">
        <v>15</v>
      </c>
    </row>
    <row r="832" spans="1:16" x14ac:dyDescent="0.3">
      <c r="A832" s="77" t="s">
        <v>102</v>
      </c>
      <c r="B832" s="80" t="s">
        <v>77</v>
      </c>
      <c r="C832" s="43">
        <v>19454</v>
      </c>
      <c r="D832" s="43"/>
      <c r="E832" s="43">
        <v>19454</v>
      </c>
      <c r="F832" s="80" t="s">
        <v>75</v>
      </c>
      <c r="G832" s="83">
        <v>46189</v>
      </c>
      <c r="H832" s="83">
        <v>46195</v>
      </c>
      <c r="I832" s="4">
        <v>6</v>
      </c>
      <c r="J832" s="80" t="str">
        <f>TEXT(tblPayments[[#This Row],[Arrival]],"mmm")</f>
        <v>Jun</v>
      </c>
      <c r="K832" s="80">
        <f>MONTH(tblPayments[[#This Row],[Arrival]])</f>
        <v>6</v>
      </c>
      <c r="L832" s="80">
        <f>YEAR(tblPayments[[#This Row],[Arrival]])</f>
        <v>2026</v>
      </c>
      <c r="M832" s="80" t="str">
        <f>IF(tblPayments[[#This Row],[Balance]]=0,"Full Payment","Deposit")</f>
        <v>Deposit</v>
      </c>
      <c r="N832" s="43">
        <v>12623.64</v>
      </c>
      <c r="O832" s="83">
        <v>45983</v>
      </c>
      <c r="P832" s="87" t="s">
        <v>15</v>
      </c>
    </row>
    <row r="833" spans="1:16" x14ac:dyDescent="0.3">
      <c r="A833" s="77" t="s">
        <v>102</v>
      </c>
      <c r="B833" s="80" t="s">
        <v>77</v>
      </c>
      <c r="C833" s="43">
        <v>77296</v>
      </c>
      <c r="D833" s="43"/>
      <c r="E833" s="43">
        <v>77296</v>
      </c>
      <c r="F833" s="80" t="s">
        <v>75</v>
      </c>
      <c r="G833" s="83">
        <v>46189</v>
      </c>
      <c r="H833" s="83">
        <v>46195</v>
      </c>
      <c r="I833" s="4">
        <v>6</v>
      </c>
      <c r="J833" s="80" t="str">
        <f>TEXT(tblPayments[[#This Row],[Arrival]],"mmm")</f>
        <v>Jun</v>
      </c>
      <c r="K833" s="80">
        <f>MONTH(tblPayments[[#This Row],[Arrival]])</f>
        <v>6</v>
      </c>
      <c r="L833" s="80">
        <f>YEAR(tblPayments[[#This Row],[Arrival]])</f>
        <v>2026</v>
      </c>
      <c r="M833" s="80" t="str">
        <f>IF(tblPayments[[#This Row],[Balance]]=0,"Full Payment","Deposit")</f>
        <v>Deposit</v>
      </c>
      <c r="N833" s="43">
        <v>41208.78</v>
      </c>
      <c r="O833" s="83">
        <v>45983</v>
      </c>
      <c r="P833" s="87" t="s">
        <v>15</v>
      </c>
    </row>
    <row r="834" spans="1:16" x14ac:dyDescent="0.3">
      <c r="A834" s="77" t="s">
        <v>102</v>
      </c>
      <c r="B834" s="80" t="s">
        <v>77</v>
      </c>
      <c r="C834" s="43"/>
      <c r="D834" s="43"/>
      <c r="E834" s="43"/>
      <c r="F834" s="80" t="s">
        <v>73</v>
      </c>
      <c r="G834" s="83">
        <v>46199</v>
      </c>
      <c r="H834" s="83">
        <v>46206</v>
      </c>
      <c r="I834" s="4">
        <v>7</v>
      </c>
      <c r="J834" s="80" t="str">
        <f>TEXT(tblPayments[[#This Row],[Arrival]],"mmm")</f>
        <v>Jun</v>
      </c>
      <c r="K834" s="80">
        <f>MONTH(tblPayments[[#This Row],[Arrival]])</f>
        <v>6</v>
      </c>
      <c r="L834" s="80">
        <f>YEAR(tblPayments[[#This Row],[Arrival]])</f>
        <v>2026</v>
      </c>
      <c r="M834" s="80" t="str">
        <f>IF(tblPayments[[#This Row],[Balance]]=0,"Full Payment","Deposit")</f>
        <v>Full Payment</v>
      </c>
      <c r="N834" s="43">
        <v>0</v>
      </c>
      <c r="O834" s="83">
        <v>45967</v>
      </c>
      <c r="P834" s="87" t="s">
        <v>2</v>
      </c>
    </row>
    <row r="835" spans="1:16" x14ac:dyDescent="0.3">
      <c r="A835" s="77" t="s">
        <v>102</v>
      </c>
      <c r="B835" s="80" t="s">
        <v>77</v>
      </c>
      <c r="C835" s="43">
        <v>27081.200000000001</v>
      </c>
      <c r="D835" s="43"/>
      <c r="E835" s="43">
        <v>27081.200000000001</v>
      </c>
      <c r="F835" s="80" t="s">
        <v>75</v>
      </c>
      <c r="G835" s="83">
        <v>46200</v>
      </c>
      <c r="H835" s="83">
        <v>46207</v>
      </c>
      <c r="I835" s="4">
        <v>7</v>
      </c>
      <c r="J835" s="80" t="str">
        <f>TEXT(tblPayments[[#This Row],[Arrival]],"mmm")</f>
        <v>Jun</v>
      </c>
      <c r="K835" s="80">
        <f>MONTH(tblPayments[[#This Row],[Arrival]])</f>
        <v>6</v>
      </c>
      <c r="L835" s="80">
        <f>YEAR(tblPayments[[#This Row],[Arrival]])</f>
        <v>2026</v>
      </c>
      <c r="M835" s="80" t="str">
        <f>IF(tblPayments[[#This Row],[Balance]]=0,"Full Payment","Deposit")</f>
        <v>Deposit</v>
      </c>
      <c r="N835" s="43">
        <v>0</v>
      </c>
      <c r="O835" s="83">
        <v>45932</v>
      </c>
      <c r="P835" s="87"/>
    </row>
    <row r="836" spans="1:16" x14ac:dyDescent="0.3">
      <c r="A836" s="77" t="s">
        <v>102</v>
      </c>
      <c r="B836" s="80" t="s">
        <v>77</v>
      </c>
      <c r="C836" s="43">
        <v>39507.199999999997</v>
      </c>
      <c r="D836" s="43">
        <v>3128.64</v>
      </c>
      <c r="E836" s="43">
        <v>36378.5</v>
      </c>
      <c r="F836" s="80" t="s">
        <v>72</v>
      </c>
      <c r="G836" s="83">
        <v>46200</v>
      </c>
      <c r="H836" s="83">
        <v>46207</v>
      </c>
      <c r="I836" s="4">
        <v>7</v>
      </c>
      <c r="J836" s="80" t="str">
        <f>TEXT(tblPayments[[#This Row],[Arrival]],"mmm")</f>
        <v>Jun</v>
      </c>
      <c r="K836" s="80">
        <f>MONTH(tblPayments[[#This Row],[Arrival]])</f>
        <v>6</v>
      </c>
      <c r="L836" s="80">
        <f>YEAR(tblPayments[[#This Row],[Arrival]])</f>
        <v>2026</v>
      </c>
      <c r="M836" s="80" t="str">
        <f>IF(tblPayments[[#This Row],[Balance]]=0,"Full Payment","Deposit")</f>
        <v>Deposit</v>
      </c>
      <c r="N836" s="43">
        <v>21843.15</v>
      </c>
      <c r="O836" s="83">
        <v>45700</v>
      </c>
      <c r="P836" s="87" t="s">
        <v>38</v>
      </c>
    </row>
    <row r="837" spans="1:16" x14ac:dyDescent="0.3">
      <c r="A837" s="77" t="s">
        <v>102</v>
      </c>
      <c r="B837" s="80" t="s">
        <v>77</v>
      </c>
      <c r="C837" s="43">
        <v>32484.54</v>
      </c>
      <c r="D837" s="43"/>
      <c r="E837" s="43">
        <v>32484.54</v>
      </c>
      <c r="F837" s="80" t="s">
        <v>80</v>
      </c>
      <c r="G837" s="83">
        <v>46201</v>
      </c>
      <c r="H837" s="83">
        <v>46207</v>
      </c>
      <c r="I837" s="4">
        <v>6</v>
      </c>
      <c r="J837" s="80" t="str">
        <f>TEXT(tblPayments[[#This Row],[Arrival]],"mmm")</f>
        <v>Jun</v>
      </c>
      <c r="K837" s="80">
        <f>MONTH(tblPayments[[#This Row],[Arrival]])</f>
        <v>6</v>
      </c>
      <c r="L837" s="80">
        <f>YEAR(tblPayments[[#This Row],[Arrival]])</f>
        <v>2026</v>
      </c>
      <c r="M837" s="80" t="str">
        <f>IF(tblPayments[[#This Row],[Balance]]=0,"Full Payment","Deposit")</f>
        <v>Deposit</v>
      </c>
      <c r="N837" s="43">
        <v>18324.599999999999</v>
      </c>
      <c r="O837" s="83">
        <v>45899</v>
      </c>
      <c r="P837" s="87"/>
    </row>
    <row r="838" spans="1:16" x14ac:dyDescent="0.3">
      <c r="A838" s="77" t="s">
        <v>102</v>
      </c>
      <c r="B838" s="80" t="s">
        <v>77</v>
      </c>
      <c r="C838" s="43">
        <v>11527</v>
      </c>
      <c r="D838" s="43"/>
      <c r="E838" s="43">
        <v>11527</v>
      </c>
      <c r="F838" s="80" t="s">
        <v>75</v>
      </c>
      <c r="G838" s="83">
        <v>46202</v>
      </c>
      <c r="H838" s="83">
        <v>46206</v>
      </c>
      <c r="I838" s="4">
        <v>4</v>
      </c>
      <c r="J838" s="80" t="str">
        <f>TEXT(tblPayments[[#This Row],[Arrival]],"mmm")</f>
        <v>Jun</v>
      </c>
      <c r="K838" s="80">
        <f>MONTH(tblPayments[[#This Row],[Arrival]])</f>
        <v>6</v>
      </c>
      <c r="L838" s="80">
        <f>YEAR(tblPayments[[#This Row],[Arrival]])</f>
        <v>2026</v>
      </c>
      <c r="M838" s="80" t="str">
        <f>IF(tblPayments[[#This Row],[Balance]]=0,"Full Payment","Deposit")</f>
        <v>Deposit</v>
      </c>
      <c r="N838" s="43">
        <v>5166.3599999999997</v>
      </c>
      <c r="O838" s="83">
        <v>45962</v>
      </c>
      <c r="P838" s="87" t="s">
        <v>31</v>
      </c>
    </row>
    <row r="839" spans="1:16" x14ac:dyDescent="0.3">
      <c r="A839" s="77" t="s">
        <v>102</v>
      </c>
      <c r="B839" s="80" t="s">
        <v>77</v>
      </c>
      <c r="C839" s="43">
        <v>15330</v>
      </c>
      <c r="D839" s="43"/>
      <c r="E839" s="43">
        <v>15330</v>
      </c>
      <c r="F839" s="80" t="s">
        <v>75</v>
      </c>
      <c r="G839" s="83">
        <v>46204</v>
      </c>
      <c r="H839" s="83">
        <v>46208</v>
      </c>
      <c r="I839" s="4">
        <v>4</v>
      </c>
      <c r="J839" s="80" t="str">
        <f>TEXT(tblPayments[[#This Row],[Arrival]],"mmm")</f>
        <v>Jul</v>
      </c>
      <c r="K839" s="80">
        <f>MONTH(tblPayments[[#This Row],[Arrival]])</f>
        <v>7</v>
      </c>
      <c r="L839" s="80">
        <f>YEAR(tblPayments[[#This Row],[Arrival]])</f>
        <v>2026</v>
      </c>
      <c r="M839" s="80" t="str">
        <f>IF(tblPayments[[#This Row],[Balance]]=0,"Full Payment","Deposit")</f>
        <v>Deposit</v>
      </c>
      <c r="N839" s="43">
        <v>7210</v>
      </c>
      <c r="O839" s="83">
        <v>45995</v>
      </c>
      <c r="P839" s="87" t="s">
        <v>38</v>
      </c>
    </row>
    <row r="840" spans="1:16" x14ac:dyDescent="0.3">
      <c r="A840" s="77" t="s">
        <v>102</v>
      </c>
      <c r="B840" s="80" t="s">
        <v>77</v>
      </c>
      <c r="C840" s="43">
        <v>166491.18</v>
      </c>
      <c r="D840" s="43">
        <v>55204.34</v>
      </c>
      <c r="E840" s="43">
        <v>111286.84</v>
      </c>
      <c r="F840" s="80" t="s">
        <v>72</v>
      </c>
      <c r="G840" s="83">
        <v>46207</v>
      </c>
      <c r="H840" s="83">
        <v>46214</v>
      </c>
      <c r="I840" s="4">
        <v>7</v>
      </c>
      <c r="J840" s="80" t="str">
        <f>TEXT(tblPayments[[#This Row],[Arrival]],"mmm")</f>
        <v>Jul</v>
      </c>
      <c r="K840" s="80">
        <f>MONTH(tblPayments[[#This Row],[Arrival]])</f>
        <v>7</v>
      </c>
      <c r="L840" s="80">
        <f>YEAR(tblPayments[[#This Row],[Arrival]])</f>
        <v>2026</v>
      </c>
      <c r="M840" s="80" t="str">
        <f>IF(tblPayments[[#This Row],[Balance]]=0,"Full Payment","Deposit")</f>
        <v>Deposit</v>
      </c>
      <c r="N840" s="43">
        <v>62663.44</v>
      </c>
      <c r="O840" s="83">
        <v>45919</v>
      </c>
      <c r="P840" s="87" t="s">
        <v>15</v>
      </c>
    </row>
    <row r="841" spans="1:16" x14ac:dyDescent="0.3">
      <c r="A841" s="77" t="s">
        <v>102</v>
      </c>
      <c r="B841" s="80" t="s">
        <v>77</v>
      </c>
      <c r="C841" s="43">
        <v>54326.16</v>
      </c>
      <c r="D841" s="43"/>
      <c r="E841" s="43">
        <v>54326.16</v>
      </c>
      <c r="F841" s="80" t="s">
        <v>75</v>
      </c>
      <c r="G841" s="83">
        <v>46207</v>
      </c>
      <c r="H841" s="83">
        <v>46214</v>
      </c>
      <c r="I841" s="4">
        <v>7</v>
      </c>
      <c r="J841" s="80" t="str">
        <f>TEXT(tblPayments[[#This Row],[Arrival]],"mmm")</f>
        <v>Jul</v>
      </c>
      <c r="K841" s="80">
        <f>MONTH(tblPayments[[#This Row],[Arrival]])</f>
        <v>7</v>
      </c>
      <c r="L841" s="80">
        <f>YEAR(tblPayments[[#This Row],[Arrival]])</f>
        <v>2026</v>
      </c>
      <c r="M841" s="80" t="str">
        <f>IF(tblPayments[[#This Row],[Balance]]=0,"Full Payment","Deposit")</f>
        <v>Deposit</v>
      </c>
      <c r="N841" s="43">
        <v>21826.07</v>
      </c>
      <c r="O841" s="83">
        <v>45919</v>
      </c>
      <c r="P841" s="87" t="s">
        <v>15</v>
      </c>
    </row>
    <row r="842" spans="1:16" x14ac:dyDescent="0.3">
      <c r="A842" s="77" t="s">
        <v>102</v>
      </c>
      <c r="B842" s="80" t="s">
        <v>77</v>
      </c>
      <c r="C842" s="43">
        <v>29690</v>
      </c>
      <c r="D842" s="43">
        <v>29690</v>
      </c>
      <c r="E842" s="43"/>
      <c r="F842" s="80" t="s">
        <v>70</v>
      </c>
      <c r="G842" s="83">
        <v>46208</v>
      </c>
      <c r="H842" s="83">
        <v>46213</v>
      </c>
      <c r="I842" s="4">
        <v>5</v>
      </c>
      <c r="J842" s="80" t="str">
        <f>TEXT(tblPayments[[#This Row],[Arrival]],"mmm")</f>
        <v>Jul</v>
      </c>
      <c r="K842" s="80">
        <f>MONTH(tblPayments[[#This Row],[Arrival]])</f>
        <v>7</v>
      </c>
      <c r="L842" s="80">
        <f>YEAR(tblPayments[[#This Row],[Arrival]])</f>
        <v>2026</v>
      </c>
      <c r="M842" s="80" t="str">
        <f>IF(tblPayments[[#This Row],[Balance]]=0,"Full Payment","Deposit")</f>
        <v>Full Payment</v>
      </c>
      <c r="N842" s="43">
        <v>9021</v>
      </c>
      <c r="O842" s="83">
        <v>45839</v>
      </c>
      <c r="P842" s="87" t="s">
        <v>26</v>
      </c>
    </row>
    <row r="843" spans="1:16" x14ac:dyDescent="0.3">
      <c r="A843" s="77" t="s">
        <v>102</v>
      </c>
      <c r="B843" s="80" t="s">
        <v>77</v>
      </c>
      <c r="C843" s="43">
        <v>15618</v>
      </c>
      <c r="D843" s="43"/>
      <c r="E843" s="43">
        <v>15618</v>
      </c>
      <c r="F843" s="80" t="s">
        <v>75</v>
      </c>
      <c r="G843" s="83">
        <v>46208</v>
      </c>
      <c r="H843" s="83">
        <v>46216</v>
      </c>
      <c r="I843" s="4">
        <v>8</v>
      </c>
      <c r="J843" s="80" t="str">
        <f>TEXT(tblPayments[[#This Row],[Arrival]],"mmm")</f>
        <v>Jul</v>
      </c>
      <c r="K843" s="80">
        <f>MONTH(tblPayments[[#This Row],[Arrival]])</f>
        <v>7</v>
      </c>
      <c r="L843" s="80">
        <f>YEAR(tblPayments[[#This Row],[Arrival]])</f>
        <v>2026</v>
      </c>
      <c r="M843" s="80" t="str">
        <f>IF(tblPayments[[#This Row],[Balance]]=0,"Full Payment","Deposit")</f>
        <v>Deposit</v>
      </c>
      <c r="N843" s="43">
        <v>3822.88</v>
      </c>
      <c r="O843" s="83">
        <v>45988</v>
      </c>
      <c r="P843" s="87" t="s">
        <v>13</v>
      </c>
    </row>
    <row r="844" spans="1:16" x14ac:dyDescent="0.3">
      <c r="A844" s="77" t="s">
        <v>102</v>
      </c>
      <c r="B844" s="80" t="s">
        <v>77</v>
      </c>
      <c r="C844" s="43">
        <v>32389.599999999999</v>
      </c>
      <c r="D844" s="43"/>
      <c r="E844" s="43">
        <v>32389.599999999999</v>
      </c>
      <c r="F844" s="80" t="s">
        <v>75</v>
      </c>
      <c r="G844" s="83">
        <v>46214</v>
      </c>
      <c r="H844" s="83">
        <v>46220</v>
      </c>
      <c r="I844" s="4">
        <v>6</v>
      </c>
      <c r="J844" s="80" t="str">
        <f>TEXT(tblPayments[[#This Row],[Arrival]],"mmm")</f>
        <v>Jul</v>
      </c>
      <c r="K844" s="80">
        <f>MONTH(tblPayments[[#This Row],[Arrival]])</f>
        <v>7</v>
      </c>
      <c r="L844" s="80">
        <f>YEAR(tblPayments[[#This Row],[Arrival]])</f>
        <v>2026</v>
      </c>
      <c r="M844" s="80" t="str">
        <f>IF(tblPayments[[#This Row],[Balance]]=0,"Full Payment","Deposit")</f>
        <v>Deposit</v>
      </c>
      <c r="N844" s="43">
        <v>11115.36</v>
      </c>
      <c r="O844" s="83">
        <v>45879</v>
      </c>
      <c r="P844" s="87" t="s">
        <v>15</v>
      </c>
    </row>
    <row r="845" spans="1:16" x14ac:dyDescent="0.3">
      <c r="A845" s="77" t="s">
        <v>102</v>
      </c>
      <c r="B845" s="80" t="s">
        <v>77</v>
      </c>
      <c r="C845" s="43">
        <v>13912</v>
      </c>
      <c r="D845" s="43"/>
      <c r="E845" s="43">
        <v>13912</v>
      </c>
      <c r="F845" s="80" t="s">
        <v>75</v>
      </c>
      <c r="G845" s="83">
        <v>46215</v>
      </c>
      <c r="H845" s="83">
        <v>46219</v>
      </c>
      <c r="I845" s="4">
        <v>4</v>
      </c>
      <c r="J845" s="80" t="str">
        <f>TEXT(tblPayments[[#This Row],[Arrival]],"mmm")</f>
        <v>Jul</v>
      </c>
      <c r="K845" s="80">
        <f>MONTH(tblPayments[[#This Row],[Arrival]])</f>
        <v>7</v>
      </c>
      <c r="L845" s="80">
        <f>YEAR(tblPayments[[#This Row],[Arrival]])</f>
        <v>2026</v>
      </c>
      <c r="M845" s="80" t="str">
        <f>IF(tblPayments[[#This Row],[Balance]]=0,"Full Payment","Deposit")</f>
        <v>Deposit</v>
      </c>
      <c r="N845" s="43">
        <v>5898.96</v>
      </c>
      <c r="O845" s="83">
        <v>45979</v>
      </c>
      <c r="P845" s="87" t="s">
        <v>31</v>
      </c>
    </row>
    <row r="846" spans="1:16" x14ac:dyDescent="0.3">
      <c r="A846" s="77" t="s">
        <v>102</v>
      </c>
      <c r="B846" s="80" t="s">
        <v>77</v>
      </c>
      <c r="C846" s="43">
        <v>16996.98</v>
      </c>
      <c r="D846" s="43"/>
      <c r="E846" s="43">
        <v>16996.98</v>
      </c>
      <c r="F846" s="80" t="s">
        <v>75</v>
      </c>
      <c r="G846" s="83">
        <v>46216</v>
      </c>
      <c r="H846" s="83">
        <v>46221</v>
      </c>
      <c r="I846" s="4">
        <v>5</v>
      </c>
      <c r="J846" s="80" t="str">
        <f>TEXT(tblPayments[[#This Row],[Arrival]],"mmm")</f>
        <v>Jul</v>
      </c>
      <c r="K846" s="80">
        <f>MONTH(tblPayments[[#This Row],[Arrival]])</f>
        <v>7</v>
      </c>
      <c r="L846" s="80">
        <f>YEAR(tblPayments[[#This Row],[Arrival]])</f>
        <v>2026</v>
      </c>
      <c r="M846" s="80" t="str">
        <f>IF(tblPayments[[#This Row],[Balance]]=0,"Full Payment","Deposit")</f>
        <v>Deposit</v>
      </c>
      <c r="N846" s="43">
        <v>7903.7</v>
      </c>
      <c r="O846" s="83">
        <v>45801</v>
      </c>
      <c r="P846" s="87" t="s">
        <v>2</v>
      </c>
    </row>
    <row r="847" spans="1:16" x14ac:dyDescent="0.3">
      <c r="A847" s="77" t="s">
        <v>102</v>
      </c>
      <c r="B847" s="80" t="s">
        <v>77</v>
      </c>
      <c r="C847" s="43">
        <v>31725.22</v>
      </c>
      <c r="D847" s="43"/>
      <c r="E847" s="43">
        <v>31725.22</v>
      </c>
      <c r="F847" s="80" t="s">
        <v>75</v>
      </c>
      <c r="G847" s="83">
        <v>46216</v>
      </c>
      <c r="H847" s="83">
        <v>46225</v>
      </c>
      <c r="I847" s="4">
        <v>9</v>
      </c>
      <c r="J847" s="80" t="str">
        <f>TEXT(tblPayments[[#This Row],[Arrival]],"mmm")</f>
        <v>Jul</v>
      </c>
      <c r="K847" s="80">
        <f>MONTH(tblPayments[[#This Row],[Arrival]])</f>
        <v>7</v>
      </c>
      <c r="L847" s="80">
        <f>YEAR(tblPayments[[#This Row],[Arrival]])</f>
        <v>2026</v>
      </c>
      <c r="M847" s="80" t="str">
        <f>IF(tblPayments[[#This Row],[Balance]]=0,"Full Payment","Deposit")</f>
        <v>Deposit</v>
      </c>
      <c r="N847" s="43">
        <v>14265.27</v>
      </c>
      <c r="O847" s="83">
        <v>45800</v>
      </c>
      <c r="P847" s="87" t="s">
        <v>18</v>
      </c>
    </row>
    <row r="848" spans="1:16" x14ac:dyDescent="0.3">
      <c r="A848" s="77" t="s">
        <v>102</v>
      </c>
      <c r="B848" s="80" t="s">
        <v>77</v>
      </c>
      <c r="C848" s="43">
        <v>35389.949999999997</v>
      </c>
      <c r="D848" s="43"/>
      <c r="E848" s="43">
        <v>35389.949999999997</v>
      </c>
      <c r="F848" s="80" t="s">
        <v>75</v>
      </c>
      <c r="G848" s="83">
        <v>46219</v>
      </c>
      <c r="H848" s="83">
        <v>46226</v>
      </c>
      <c r="I848" s="4">
        <v>7</v>
      </c>
      <c r="J848" s="80" t="str">
        <f>TEXT(tblPayments[[#This Row],[Arrival]],"mmm")</f>
        <v>Jul</v>
      </c>
      <c r="K848" s="80">
        <f>MONTH(tblPayments[[#This Row],[Arrival]])</f>
        <v>7</v>
      </c>
      <c r="L848" s="80">
        <f>YEAR(tblPayments[[#This Row],[Arrival]])</f>
        <v>2026</v>
      </c>
      <c r="M848" s="80" t="str">
        <f>IF(tblPayments[[#This Row],[Balance]]=0,"Full Payment","Deposit")</f>
        <v>Deposit</v>
      </c>
      <c r="N848" s="43">
        <v>17119.900000000001</v>
      </c>
      <c r="O848" s="83">
        <v>45945</v>
      </c>
      <c r="P848" s="87" t="s">
        <v>24</v>
      </c>
    </row>
    <row r="849" spans="1:16" x14ac:dyDescent="0.3">
      <c r="A849" s="77" t="s">
        <v>102</v>
      </c>
      <c r="B849" s="80" t="s">
        <v>77</v>
      </c>
      <c r="C849" s="43">
        <v>14796.48</v>
      </c>
      <c r="D849" s="43"/>
      <c r="E849" s="43">
        <v>14796.48</v>
      </c>
      <c r="F849" s="80" t="s">
        <v>75</v>
      </c>
      <c r="G849" s="83">
        <v>46222</v>
      </c>
      <c r="H849" s="83">
        <v>46227</v>
      </c>
      <c r="I849" s="4">
        <v>5</v>
      </c>
      <c r="J849" s="80" t="str">
        <f>TEXT(tblPayments[[#This Row],[Arrival]],"mmm")</f>
        <v>Jul</v>
      </c>
      <c r="K849" s="80">
        <f>MONTH(tblPayments[[#This Row],[Arrival]])</f>
        <v>7</v>
      </c>
      <c r="L849" s="80">
        <f>YEAR(tblPayments[[#This Row],[Arrival]])</f>
        <v>2026</v>
      </c>
      <c r="M849" s="80" t="str">
        <f>IF(tblPayments[[#This Row],[Balance]]=0,"Full Payment","Deposit")</f>
        <v>Deposit</v>
      </c>
      <c r="N849" s="43">
        <v>8796.15</v>
      </c>
      <c r="O849" s="83">
        <v>45878</v>
      </c>
      <c r="P849" s="87" t="s">
        <v>15</v>
      </c>
    </row>
    <row r="850" spans="1:16" x14ac:dyDescent="0.3">
      <c r="A850" s="77" t="s">
        <v>102</v>
      </c>
      <c r="B850" s="80" t="s">
        <v>77</v>
      </c>
      <c r="C850" s="43">
        <v>18815.95</v>
      </c>
      <c r="D850" s="43"/>
      <c r="E850" s="43">
        <v>18815.95</v>
      </c>
      <c r="F850" s="80" t="s">
        <v>75</v>
      </c>
      <c r="G850" s="83">
        <v>46223</v>
      </c>
      <c r="H850" s="83">
        <v>46228</v>
      </c>
      <c r="I850" s="4">
        <v>5</v>
      </c>
      <c r="J850" s="80" t="str">
        <f>TEXT(tblPayments[[#This Row],[Arrival]],"mmm")</f>
        <v>Jul</v>
      </c>
      <c r="K850" s="80">
        <f>MONTH(tblPayments[[#This Row],[Arrival]])</f>
        <v>7</v>
      </c>
      <c r="L850" s="80">
        <f>YEAR(tblPayments[[#This Row],[Arrival]])</f>
        <v>2026</v>
      </c>
      <c r="M850" s="80" t="str">
        <f>IF(tblPayments[[#This Row],[Balance]]=0,"Full Payment","Deposit")</f>
        <v>Deposit</v>
      </c>
      <c r="N850" s="43">
        <v>10703.55</v>
      </c>
      <c r="O850" s="83">
        <v>45909</v>
      </c>
      <c r="P850" s="87" t="s">
        <v>9</v>
      </c>
    </row>
    <row r="851" spans="1:16" x14ac:dyDescent="0.3">
      <c r="A851" s="77" t="s">
        <v>102</v>
      </c>
      <c r="B851" s="80" t="s">
        <v>77</v>
      </c>
      <c r="C851" s="43">
        <v>22656</v>
      </c>
      <c r="D851" s="43"/>
      <c r="E851" s="43">
        <v>22656</v>
      </c>
      <c r="F851" s="80" t="s">
        <v>75</v>
      </c>
      <c r="G851" s="83">
        <v>46225</v>
      </c>
      <c r="H851" s="83">
        <v>46233</v>
      </c>
      <c r="I851" s="4">
        <v>8</v>
      </c>
      <c r="J851" s="80" t="str">
        <f>TEXT(tblPayments[[#This Row],[Arrival]],"mmm")</f>
        <v>Jul</v>
      </c>
      <c r="K851" s="80">
        <f>MONTH(tblPayments[[#This Row],[Arrival]])</f>
        <v>7</v>
      </c>
      <c r="L851" s="80">
        <f>YEAR(tblPayments[[#This Row],[Arrival]])</f>
        <v>2026</v>
      </c>
      <c r="M851" s="80" t="str">
        <f>IF(tblPayments[[#This Row],[Balance]]=0,"Full Payment","Deposit")</f>
        <v>Deposit</v>
      </c>
      <c r="N851" s="43">
        <v>11300.4</v>
      </c>
      <c r="O851" s="83">
        <v>45992</v>
      </c>
      <c r="P851" s="87" t="s">
        <v>15</v>
      </c>
    </row>
    <row r="852" spans="1:16" x14ac:dyDescent="0.3">
      <c r="A852" s="77" t="s">
        <v>102</v>
      </c>
      <c r="B852" s="80" t="s">
        <v>77</v>
      </c>
      <c r="C852" s="43">
        <v>34859.949999999997</v>
      </c>
      <c r="D852" s="43"/>
      <c r="E852" s="43">
        <v>34859.949999999997</v>
      </c>
      <c r="F852" s="80" t="s">
        <v>75</v>
      </c>
      <c r="G852" s="83">
        <v>46228</v>
      </c>
      <c r="H852" s="83">
        <v>46233</v>
      </c>
      <c r="I852" s="4">
        <v>5</v>
      </c>
      <c r="J852" s="80" t="str">
        <f>TEXT(tblPayments[[#This Row],[Arrival]],"mmm")</f>
        <v>Jul</v>
      </c>
      <c r="K852" s="80">
        <f>MONTH(tblPayments[[#This Row],[Arrival]])</f>
        <v>7</v>
      </c>
      <c r="L852" s="80">
        <f>YEAR(tblPayments[[#This Row],[Arrival]])</f>
        <v>2026</v>
      </c>
      <c r="M852" s="80" t="str">
        <f>IF(tblPayments[[#This Row],[Balance]]=0,"Full Payment","Deposit")</f>
        <v>Deposit</v>
      </c>
      <c r="N852" s="43">
        <v>14766.45</v>
      </c>
      <c r="O852" s="83">
        <v>45990</v>
      </c>
      <c r="P852" s="87" t="s">
        <v>15</v>
      </c>
    </row>
    <row r="853" spans="1:16" x14ac:dyDescent="0.3">
      <c r="A853" s="77" t="s">
        <v>102</v>
      </c>
      <c r="B853" s="80" t="s">
        <v>77</v>
      </c>
      <c r="C853" s="43">
        <v>22006.6</v>
      </c>
      <c r="D853" s="43"/>
      <c r="E853" s="43">
        <v>22006.6</v>
      </c>
      <c r="F853" s="80" t="s">
        <v>75</v>
      </c>
      <c r="G853" s="83">
        <v>46233</v>
      </c>
      <c r="H853" s="83">
        <v>46240</v>
      </c>
      <c r="I853" s="4">
        <v>7</v>
      </c>
      <c r="J853" s="80" t="str">
        <f>TEXT(tblPayments[[#This Row],[Arrival]],"mmm")</f>
        <v>Jul</v>
      </c>
      <c r="K853" s="80">
        <f>MONTH(tblPayments[[#This Row],[Arrival]])</f>
        <v>7</v>
      </c>
      <c r="L853" s="80">
        <f>YEAR(tblPayments[[#This Row],[Arrival]])</f>
        <v>2026</v>
      </c>
      <c r="M853" s="80" t="str">
        <f>IF(tblPayments[[#This Row],[Balance]]=0,"Full Payment","Deposit")</f>
        <v>Deposit</v>
      </c>
      <c r="N853" s="43">
        <v>8738.24</v>
      </c>
      <c r="O853" s="83">
        <v>45905</v>
      </c>
      <c r="P853" s="87" t="s">
        <v>36</v>
      </c>
    </row>
    <row r="854" spans="1:16" x14ac:dyDescent="0.3">
      <c r="A854" s="77" t="s">
        <v>102</v>
      </c>
      <c r="B854" s="80" t="s">
        <v>77</v>
      </c>
      <c r="C854" s="43">
        <v>12694</v>
      </c>
      <c r="D854" s="43"/>
      <c r="E854" s="43">
        <v>12694</v>
      </c>
      <c r="F854" s="80" t="s">
        <v>75</v>
      </c>
      <c r="G854" s="83">
        <v>46234</v>
      </c>
      <c r="H854" s="83">
        <v>46238</v>
      </c>
      <c r="I854" s="4">
        <v>4</v>
      </c>
      <c r="J854" s="80" t="str">
        <f>TEXT(tblPayments[[#This Row],[Arrival]],"mmm")</f>
        <v>Jul</v>
      </c>
      <c r="K854" s="80">
        <f>MONTH(tblPayments[[#This Row],[Arrival]])</f>
        <v>7</v>
      </c>
      <c r="L854" s="80">
        <f>YEAR(tblPayments[[#This Row],[Arrival]])</f>
        <v>2026</v>
      </c>
      <c r="M854" s="80" t="str">
        <f>IF(tblPayments[[#This Row],[Balance]]=0,"Full Payment","Deposit")</f>
        <v>Deposit</v>
      </c>
      <c r="N854" s="43">
        <v>6573.44</v>
      </c>
      <c r="O854" s="83">
        <v>45918</v>
      </c>
      <c r="P854" s="87" t="s">
        <v>14</v>
      </c>
    </row>
    <row r="855" spans="1:16" x14ac:dyDescent="0.3">
      <c r="A855" s="77" t="s">
        <v>102</v>
      </c>
      <c r="B855" s="80" t="s">
        <v>77</v>
      </c>
      <c r="C855" s="43">
        <v>11555.6</v>
      </c>
      <c r="D855" s="43"/>
      <c r="E855" s="43">
        <v>11555.6</v>
      </c>
      <c r="F855" s="80" t="s">
        <v>75</v>
      </c>
      <c r="G855" s="83">
        <v>46235</v>
      </c>
      <c r="H855" s="83">
        <v>46238</v>
      </c>
      <c r="I855" s="4">
        <v>3</v>
      </c>
      <c r="J855" s="80" t="str">
        <f>TEXT(tblPayments[[#This Row],[Arrival]],"mmm")</f>
        <v>Aug</v>
      </c>
      <c r="K855" s="80">
        <f>MONTH(tblPayments[[#This Row],[Arrival]])</f>
        <v>8</v>
      </c>
      <c r="L855" s="80">
        <f>YEAR(tblPayments[[#This Row],[Arrival]])</f>
        <v>2026</v>
      </c>
      <c r="M855" s="80" t="str">
        <f>IF(tblPayments[[#This Row],[Balance]]=0,"Full Payment","Deposit")</f>
        <v>Deposit</v>
      </c>
      <c r="N855" s="43">
        <v>5174.82</v>
      </c>
      <c r="O855" s="83">
        <v>45926</v>
      </c>
      <c r="P855" s="87" t="s">
        <v>16</v>
      </c>
    </row>
    <row r="856" spans="1:16" x14ac:dyDescent="0.3">
      <c r="A856" s="77" t="s">
        <v>102</v>
      </c>
      <c r="B856" s="80" t="s">
        <v>77</v>
      </c>
      <c r="C856" s="43">
        <v>16628</v>
      </c>
      <c r="D856" s="43"/>
      <c r="E856" s="43">
        <v>16628</v>
      </c>
      <c r="F856" s="80" t="s">
        <v>75</v>
      </c>
      <c r="G856" s="83">
        <v>46235</v>
      </c>
      <c r="H856" s="83">
        <v>46242</v>
      </c>
      <c r="I856" s="4">
        <v>7</v>
      </c>
      <c r="J856" s="80" t="str">
        <f>TEXT(tblPayments[[#This Row],[Arrival]],"mmm")</f>
        <v>Aug</v>
      </c>
      <c r="K856" s="80">
        <f>MONTH(tblPayments[[#This Row],[Arrival]])</f>
        <v>8</v>
      </c>
      <c r="L856" s="80">
        <f>YEAR(tblPayments[[#This Row],[Arrival]])</f>
        <v>2026</v>
      </c>
      <c r="M856" s="80" t="str">
        <f>IF(tblPayments[[#This Row],[Balance]]=0,"Full Payment","Deposit")</f>
        <v>Deposit</v>
      </c>
      <c r="N856" s="43">
        <v>7886.55</v>
      </c>
      <c r="O856" s="83">
        <v>45961</v>
      </c>
      <c r="P856" s="87" t="s">
        <v>32</v>
      </c>
    </row>
    <row r="857" spans="1:16" x14ac:dyDescent="0.3">
      <c r="A857" s="77" t="s">
        <v>102</v>
      </c>
      <c r="B857" s="80" t="s">
        <v>77</v>
      </c>
      <c r="C857" s="43">
        <v>14240.04</v>
      </c>
      <c r="D857" s="43"/>
      <c r="E857" s="43">
        <v>14240.04</v>
      </c>
      <c r="F857" s="80" t="s">
        <v>75</v>
      </c>
      <c r="G857" s="83">
        <v>46235</v>
      </c>
      <c r="H857" s="83">
        <v>46238</v>
      </c>
      <c r="I857" s="4">
        <v>3</v>
      </c>
      <c r="J857" s="80" t="str">
        <f>TEXT(tblPayments[[#This Row],[Arrival]],"mmm")</f>
        <v>Aug</v>
      </c>
      <c r="K857" s="80">
        <f>MONTH(tblPayments[[#This Row],[Arrival]])</f>
        <v>8</v>
      </c>
      <c r="L857" s="80">
        <f>YEAR(tblPayments[[#This Row],[Arrival]])</f>
        <v>2026</v>
      </c>
      <c r="M857" s="80" t="str">
        <f>IF(tblPayments[[#This Row],[Balance]]=0,"Full Payment","Deposit")</f>
        <v>Deposit</v>
      </c>
      <c r="N857" s="43">
        <v>8044.14</v>
      </c>
      <c r="O857" s="83">
        <v>45991</v>
      </c>
      <c r="P857" s="87" t="s">
        <v>15</v>
      </c>
    </row>
    <row r="858" spans="1:16" x14ac:dyDescent="0.3">
      <c r="A858" s="77" t="s">
        <v>102</v>
      </c>
      <c r="B858" s="80" t="s">
        <v>77</v>
      </c>
      <c r="C858" s="43">
        <v>12924.88</v>
      </c>
      <c r="D858" s="43"/>
      <c r="E858" s="43">
        <v>12924.88</v>
      </c>
      <c r="F858" s="80" t="s">
        <v>75</v>
      </c>
      <c r="G858" s="83">
        <v>46238</v>
      </c>
      <c r="H858" s="83">
        <v>46242</v>
      </c>
      <c r="I858" s="4">
        <v>4</v>
      </c>
      <c r="J858" s="80" t="str">
        <f>TEXT(tblPayments[[#This Row],[Arrival]],"mmm")</f>
        <v>Aug</v>
      </c>
      <c r="K858" s="80">
        <f>MONTH(tblPayments[[#This Row],[Arrival]])</f>
        <v>8</v>
      </c>
      <c r="L858" s="80">
        <f>YEAR(tblPayments[[#This Row],[Arrival]])</f>
        <v>2026</v>
      </c>
      <c r="M858" s="80" t="str">
        <f>IF(tblPayments[[#This Row],[Balance]]=0,"Full Payment","Deposit")</f>
        <v>Deposit</v>
      </c>
      <c r="N858" s="43">
        <v>7208.68</v>
      </c>
      <c r="O858" s="83">
        <v>45991</v>
      </c>
      <c r="P858" s="87" t="s">
        <v>15</v>
      </c>
    </row>
    <row r="859" spans="1:16" x14ac:dyDescent="0.3">
      <c r="A859" s="77" t="s">
        <v>102</v>
      </c>
      <c r="B859" s="80" t="s">
        <v>77</v>
      </c>
      <c r="C859" s="43">
        <v>11942</v>
      </c>
      <c r="D859" s="43"/>
      <c r="E859" s="43">
        <v>11942</v>
      </c>
      <c r="F859" s="80" t="s">
        <v>75</v>
      </c>
      <c r="G859" s="83">
        <v>46239</v>
      </c>
      <c r="H859" s="83">
        <v>46243</v>
      </c>
      <c r="I859" s="4">
        <v>4</v>
      </c>
      <c r="J859" s="80" t="str">
        <f>TEXT(tblPayments[[#This Row],[Arrival]],"mmm")</f>
        <v>Aug</v>
      </c>
      <c r="K859" s="80">
        <f>MONTH(tblPayments[[#This Row],[Arrival]])</f>
        <v>8</v>
      </c>
      <c r="L859" s="80">
        <f>YEAR(tblPayments[[#This Row],[Arrival]])</f>
        <v>2026</v>
      </c>
      <c r="M859" s="80" t="str">
        <f>IF(tblPayments[[#This Row],[Balance]]=0,"Full Payment","Deposit")</f>
        <v>Deposit</v>
      </c>
      <c r="N859" s="43">
        <v>4395.6000000000004</v>
      </c>
      <c r="O859" s="83">
        <v>45983</v>
      </c>
      <c r="P859" s="87" t="s">
        <v>31</v>
      </c>
    </row>
    <row r="860" spans="1:16" x14ac:dyDescent="0.3">
      <c r="A860" s="77" t="s">
        <v>102</v>
      </c>
      <c r="B860" s="80" t="s">
        <v>77</v>
      </c>
      <c r="C860" s="43">
        <v>38386.6</v>
      </c>
      <c r="D860" s="43"/>
      <c r="E860" s="43">
        <v>38386.6</v>
      </c>
      <c r="F860" s="80" t="s">
        <v>75</v>
      </c>
      <c r="G860" s="83">
        <v>46242</v>
      </c>
      <c r="H860" s="83">
        <v>46249</v>
      </c>
      <c r="I860" s="4">
        <v>7</v>
      </c>
      <c r="J860" s="80" t="str">
        <f>TEXT(tblPayments[[#This Row],[Arrival]],"mmm")</f>
        <v>Aug</v>
      </c>
      <c r="K860" s="80">
        <f>MONTH(tblPayments[[#This Row],[Arrival]])</f>
        <v>8</v>
      </c>
      <c r="L860" s="80">
        <f>YEAR(tblPayments[[#This Row],[Arrival]])</f>
        <v>2026</v>
      </c>
      <c r="M860" s="80" t="str">
        <f>IF(tblPayments[[#This Row],[Balance]]=0,"Full Payment","Deposit")</f>
        <v>Deposit</v>
      </c>
      <c r="N860" s="43">
        <v>21238.28</v>
      </c>
      <c r="O860" s="83">
        <v>45902</v>
      </c>
      <c r="P860" s="87" t="s">
        <v>14</v>
      </c>
    </row>
    <row r="861" spans="1:16" x14ac:dyDescent="0.3">
      <c r="A861" s="77" t="s">
        <v>102</v>
      </c>
      <c r="B861" s="80" t="s">
        <v>77</v>
      </c>
      <c r="C861" s="43">
        <v>23745.439999999999</v>
      </c>
      <c r="D861" s="43"/>
      <c r="E861" s="43">
        <v>23745.439999999999</v>
      </c>
      <c r="F861" s="80" t="s">
        <v>75</v>
      </c>
      <c r="G861" s="83">
        <v>46245</v>
      </c>
      <c r="H861" s="83">
        <v>46248</v>
      </c>
      <c r="I861" s="4">
        <v>3</v>
      </c>
      <c r="J861" s="80" t="str">
        <f>TEXT(tblPayments[[#This Row],[Arrival]],"mmm")</f>
        <v>Aug</v>
      </c>
      <c r="K861" s="80">
        <f>MONTH(tblPayments[[#This Row],[Arrival]])</f>
        <v>8</v>
      </c>
      <c r="L861" s="80">
        <f>YEAR(tblPayments[[#This Row],[Arrival]])</f>
        <v>2026</v>
      </c>
      <c r="M861" s="80" t="str">
        <f>IF(tblPayments[[#This Row],[Balance]]=0,"Full Payment","Deposit")</f>
        <v>Deposit</v>
      </c>
      <c r="N861" s="43">
        <v>14515.74</v>
      </c>
      <c r="O861" s="83">
        <v>45969</v>
      </c>
      <c r="P861" s="87" t="s">
        <v>15</v>
      </c>
    </row>
    <row r="862" spans="1:16" x14ac:dyDescent="0.3">
      <c r="A862" s="77" t="s">
        <v>102</v>
      </c>
      <c r="B862" s="80" t="s">
        <v>77</v>
      </c>
      <c r="C862" s="43">
        <v>43865.05</v>
      </c>
      <c r="D862" s="43"/>
      <c r="E862" s="43">
        <v>43865.05</v>
      </c>
      <c r="F862" s="80" t="s">
        <v>75</v>
      </c>
      <c r="G862" s="83">
        <v>46246</v>
      </c>
      <c r="H862" s="83">
        <v>46250</v>
      </c>
      <c r="I862" s="4">
        <v>4</v>
      </c>
      <c r="J862" s="80" t="str">
        <f>TEXT(tblPayments[[#This Row],[Arrival]],"mmm")</f>
        <v>Aug</v>
      </c>
      <c r="K862" s="80">
        <f>MONTH(tblPayments[[#This Row],[Arrival]])</f>
        <v>8</v>
      </c>
      <c r="L862" s="80">
        <f>YEAR(tblPayments[[#This Row],[Arrival]])</f>
        <v>2026</v>
      </c>
      <c r="M862" s="80" t="str">
        <f>IF(tblPayments[[#This Row],[Balance]]=0,"Full Payment","Deposit")</f>
        <v>Deposit</v>
      </c>
      <c r="N862" s="43">
        <v>28985.08</v>
      </c>
      <c r="O862" s="83">
        <v>45974</v>
      </c>
      <c r="P862" s="87" t="s">
        <v>14</v>
      </c>
    </row>
    <row r="863" spans="1:16" x14ac:dyDescent="0.3">
      <c r="A863" s="77" t="s">
        <v>102</v>
      </c>
      <c r="B863" s="80" t="s">
        <v>77</v>
      </c>
      <c r="C863" s="43">
        <v>17165</v>
      </c>
      <c r="D863" s="43"/>
      <c r="E863" s="43">
        <v>17165</v>
      </c>
      <c r="F863" s="80" t="s">
        <v>75</v>
      </c>
      <c r="G863" s="83">
        <v>46248</v>
      </c>
      <c r="H863" s="83">
        <v>46253</v>
      </c>
      <c r="I863" s="4">
        <v>5</v>
      </c>
      <c r="J863" s="80" t="str">
        <f>TEXT(tblPayments[[#This Row],[Arrival]],"mmm")</f>
        <v>Aug</v>
      </c>
      <c r="K863" s="80">
        <f>MONTH(tblPayments[[#This Row],[Arrival]])</f>
        <v>8</v>
      </c>
      <c r="L863" s="80">
        <f>YEAR(tblPayments[[#This Row],[Arrival]])</f>
        <v>2026</v>
      </c>
      <c r="M863" s="80" t="str">
        <f>IF(tblPayments[[#This Row],[Balance]]=0,"Full Payment","Deposit")</f>
        <v>Deposit</v>
      </c>
      <c r="N863" s="43">
        <v>6740.5</v>
      </c>
      <c r="O863" s="83">
        <v>45935</v>
      </c>
      <c r="P863" s="87" t="s">
        <v>2</v>
      </c>
    </row>
    <row r="864" spans="1:16" x14ac:dyDescent="0.3">
      <c r="A864" s="77" t="s">
        <v>102</v>
      </c>
      <c r="B864" s="80" t="s">
        <v>77</v>
      </c>
      <c r="C864" s="43">
        <v>12392.04</v>
      </c>
      <c r="D864" s="43"/>
      <c r="E864" s="43">
        <v>12392.04</v>
      </c>
      <c r="F864" s="80" t="s">
        <v>75</v>
      </c>
      <c r="G864" s="83">
        <v>46249</v>
      </c>
      <c r="H864" s="83">
        <v>46253</v>
      </c>
      <c r="I864" s="4">
        <v>4</v>
      </c>
      <c r="J864" s="80" t="str">
        <f>TEXT(tblPayments[[#This Row],[Arrival]],"mmm")</f>
        <v>Aug</v>
      </c>
      <c r="K864" s="80">
        <f>MONTH(tblPayments[[#This Row],[Arrival]])</f>
        <v>8</v>
      </c>
      <c r="L864" s="80">
        <f>YEAR(tblPayments[[#This Row],[Arrival]])</f>
        <v>2026</v>
      </c>
      <c r="M864" s="80" t="str">
        <f>IF(tblPayments[[#This Row],[Balance]]=0,"Full Payment","Deposit")</f>
        <v>Deposit</v>
      </c>
      <c r="N864" s="43">
        <v>6394.24</v>
      </c>
      <c r="O864" s="83">
        <v>45965</v>
      </c>
      <c r="P864" s="87" t="s">
        <v>9</v>
      </c>
    </row>
    <row r="865" spans="1:16" x14ac:dyDescent="0.3">
      <c r="A865" s="77" t="s">
        <v>102</v>
      </c>
      <c r="B865" s="80" t="s">
        <v>77</v>
      </c>
      <c r="C865" s="43">
        <v>13679.36</v>
      </c>
      <c r="D865" s="43"/>
      <c r="E865" s="43">
        <v>13679.36</v>
      </c>
      <c r="F865" s="80" t="s">
        <v>75</v>
      </c>
      <c r="G865" s="83">
        <v>46252</v>
      </c>
      <c r="H865" s="83">
        <v>46255</v>
      </c>
      <c r="I865" s="4">
        <v>3</v>
      </c>
      <c r="J865" s="80" t="str">
        <f>TEXT(tblPayments[[#This Row],[Arrival]],"mmm")</f>
        <v>Aug</v>
      </c>
      <c r="K865" s="80">
        <f>MONTH(tblPayments[[#This Row],[Arrival]])</f>
        <v>8</v>
      </c>
      <c r="L865" s="80">
        <f>YEAR(tblPayments[[#This Row],[Arrival]])</f>
        <v>2026</v>
      </c>
      <c r="M865" s="80" t="str">
        <f>IF(tblPayments[[#This Row],[Balance]]=0,"Full Payment","Deposit")</f>
        <v>Deposit</v>
      </c>
      <c r="N865" s="43">
        <v>8102.37</v>
      </c>
      <c r="O865" s="83">
        <v>45938</v>
      </c>
      <c r="P865" s="87"/>
    </row>
    <row r="866" spans="1:16" x14ac:dyDescent="0.3">
      <c r="A866" s="77" t="s">
        <v>102</v>
      </c>
      <c r="B866" s="80" t="s">
        <v>77</v>
      </c>
      <c r="C866" s="43">
        <v>17340</v>
      </c>
      <c r="D866" s="43"/>
      <c r="E866" s="43">
        <v>17340</v>
      </c>
      <c r="F866" s="80" t="s">
        <v>75</v>
      </c>
      <c r="G866" s="83">
        <v>46252</v>
      </c>
      <c r="H866" s="83">
        <v>46256</v>
      </c>
      <c r="I866" s="4">
        <v>4</v>
      </c>
      <c r="J866" s="80" t="str">
        <f>TEXT(tblPayments[[#This Row],[Arrival]],"mmm")</f>
        <v>Aug</v>
      </c>
      <c r="K866" s="80">
        <f>MONTH(tblPayments[[#This Row],[Arrival]])</f>
        <v>8</v>
      </c>
      <c r="L866" s="80">
        <f>YEAR(tblPayments[[#This Row],[Arrival]])</f>
        <v>2026</v>
      </c>
      <c r="M866" s="80" t="str">
        <f>IF(tblPayments[[#This Row],[Balance]]=0,"Full Payment","Deposit")</f>
        <v>Deposit</v>
      </c>
      <c r="N866" s="43">
        <v>8236.2000000000007</v>
      </c>
      <c r="O866" s="83">
        <v>45920</v>
      </c>
      <c r="P866" s="87" t="s">
        <v>14</v>
      </c>
    </row>
    <row r="867" spans="1:16" x14ac:dyDescent="0.3">
      <c r="A867" s="77" t="s">
        <v>102</v>
      </c>
      <c r="B867" s="80" t="s">
        <v>77</v>
      </c>
      <c r="C867" s="43"/>
      <c r="D867" s="43"/>
      <c r="E867" s="43"/>
      <c r="F867" s="80" t="s">
        <v>73</v>
      </c>
      <c r="G867" s="83">
        <v>46260</v>
      </c>
      <c r="H867" s="83">
        <v>46262</v>
      </c>
      <c r="I867" s="4">
        <v>2</v>
      </c>
      <c r="J867" s="80" t="str">
        <f>TEXT(tblPayments[[#This Row],[Arrival]],"mmm")</f>
        <v>Aug</v>
      </c>
      <c r="K867" s="80">
        <f>MONTH(tblPayments[[#This Row],[Arrival]])</f>
        <v>8</v>
      </c>
      <c r="L867" s="80">
        <f>YEAR(tblPayments[[#This Row],[Arrival]])</f>
        <v>2026</v>
      </c>
      <c r="M867" s="80" t="str">
        <f>IF(tblPayments[[#This Row],[Balance]]=0,"Full Payment","Deposit")</f>
        <v>Full Payment</v>
      </c>
      <c r="N867" s="43">
        <v>0</v>
      </c>
      <c r="O867" s="83">
        <v>45961</v>
      </c>
      <c r="P867" s="87" t="s">
        <v>31</v>
      </c>
    </row>
    <row r="868" spans="1:16" x14ac:dyDescent="0.3">
      <c r="A868" s="77" t="s">
        <v>102</v>
      </c>
      <c r="B868" s="80" t="s">
        <v>77</v>
      </c>
      <c r="C868" s="43">
        <v>21835.24</v>
      </c>
      <c r="D868" s="43"/>
      <c r="E868" s="43">
        <v>21835.24</v>
      </c>
      <c r="F868" s="80" t="s">
        <v>75</v>
      </c>
      <c r="G868" s="83">
        <v>46264</v>
      </c>
      <c r="H868" s="83">
        <v>46267</v>
      </c>
      <c r="I868" s="4">
        <v>3</v>
      </c>
      <c r="J868" s="80" t="str">
        <f>TEXT(tblPayments[[#This Row],[Arrival]],"mmm")</f>
        <v>Aug</v>
      </c>
      <c r="K868" s="80">
        <f>MONTH(tblPayments[[#This Row],[Arrival]])</f>
        <v>8</v>
      </c>
      <c r="L868" s="80">
        <f>YEAR(tblPayments[[#This Row],[Arrival]])</f>
        <v>2026</v>
      </c>
      <c r="M868" s="80" t="str">
        <f>IF(tblPayments[[#This Row],[Balance]]=0,"Full Payment","Deposit")</f>
        <v>Deposit</v>
      </c>
      <c r="N868" s="43">
        <v>12940.47</v>
      </c>
      <c r="O868" s="83">
        <v>45579</v>
      </c>
      <c r="P868" s="87" t="s">
        <v>60</v>
      </c>
    </row>
    <row r="869" spans="1:16" x14ac:dyDescent="0.3">
      <c r="A869" s="77" t="s">
        <v>102</v>
      </c>
      <c r="B869" s="80" t="s">
        <v>77</v>
      </c>
      <c r="C869" s="43">
        <v>8340.5400000000009</v>
      </c>
      <c r="D869" s="43"/>
      <c r="E869" s="43">
        <v>8340.5400000000009</v>
      </c>
      <c r="F869" s="80" t="s">
        <v>75</v>
      </c>
      <c r="G869" s="83">
        <v>46270</v>
      </c>
      <c r="H869" s="83">
        <v>46273</v>
      </c>
      <c r="I869" s="4">
        <v>3</v>
      </c>
      <c r="J869" s="80" t="str">
        <f>TEXT(tblPayments[[#This Row],[Arrival]],"mmm")</f>
        <v>Sep</v>
      </c>
      <c r="K869" s="80">
        <f>MONTH(tblPayments[[#This Row],[Arrival]])</f>
        <v>9</v>
      </c>
      <c r="L869" s="80">
        <f>YEAR(tblPayments[[#This Row],[Arrival]])</f>
        <v>2026</v>
      </c>
      <c r="M869" s="80" t="str">
        <f>IF(tblPayments[[#This Row],[Balance]]=0,"Full Payment","Deposit")</f>
        <v>Deposit</v>
      </c>
      <c r="N869" s="43">
        <v>4489.1099999999997</v>
      </c>
      <c r="O869" s="83">
        <v>45734</v>
      </c>
      <c r="P869" s="87" t="s">
        <v>2</v>
      </c>
    </row>
    <row r="870" spans="1:16" x14ac:dyDescent="0.3">
      <c r="A870" s="77" t="s">
        <v>102</v>
      </c>
      <c r="B870" s="80" t="s">
        <v>77</v>
      </c>
      <c r="C870" s="43">
        <v>21113.599999999999</v>
      </c>
      <c r="D870" s="43"/>
      <c r="E870" s="43">
        <v>21113.599999999999</v>
      </c>
      <c r="F870" s="80" t="s">
        <v>75</v>
      </c>
      <c r="G870" s="83">
        <v>46272</v>
      </c>
      <c r="H870" s="83">
        <v>46279</v>
      </c>
      <c r="I870" s="4">
        <v>7</v>
      </c>
      <c r="J870" s="80" t="str">
        <f>TEXT(tblPayments[[#This Row],[Arrival]],"mmm")</f>
        <v>Sep</v>
      </c>
      <c r="K870" s="80">
        <f>MONTH(tblPayments[[#This Row],[Arrival]])</f>
        <v>9</v>
      </c>
      <c r="L870" s="80">
        <f>YEAR(tblPayments[[#This Row],[Arrival]])</f>
        <v>2026</v>
      </c>
      <c r="M870" s="80" t="str">
        <f>IF(tblPayments[[#This Row],[Balance]]=0,"Full Payment","Deposit")</f>
        <v>Deposit</v>
      </c>
      <c r="N870" s="43">
        <v>10634.61</v>
      </c>
      <c r="O870" s="83">
        <v>45914</v>
      </c>
      <c r="P870" s="87" t="s">
        <v>2</v>
      </c>
    </row>
    <row r="871" spans="1:16" x14ac:dyDescent="0.3">
      <c r="A871" s="77" t="s">
        <v>102</v>
      </c>
      <c r="B871" s="80" t="s">
        <v>77</v>
      </c>
      <c r="C871" s="43">
        <v>42836</v>
      </c>
      <c r="D871" s="43"/>
      <c r="E871" s="43">
        <v>42836</v>
      </c>
      <c r="F871" s="80" t="s">
        <v>75</v>
      </c>
      <c r="G871" s="83">
        <v>46274</v>
      </c>
      <c r="H871" s="83">
        <v>46283</v>
      </c>
      <c r="I871" s="4">
        <v>9</v>
      </c>
      <c r="J871" s="80" t="str">
        <f>TEXT(tblPayments[[#This Row],[Arrival]],"mmm")</f>
        <v>Sep</v>
      </c>
      <c r="K871" s="80">
        <f>MONTH(tblPayments[[#This Row],[Arrival]])</f>
        <v>9</v>
      </c>
      <c r="L871" s="80">
        <f>YEAR(tblPayments[[#This Row],[Arrival]])</f>
        <v>2026</v>
      </c>
      <c r="M871" s="80" t="str">
        <f>IF(tblPayments[[#This Row],[Balance]]=0,"Full Payment","Deposit")</f>
        <v>Deposit</v>
      </c>
      <c r="N871" s="43">
        <v>15713.28</v>
      </c>
      <c r="O871" s="83">
        <v>45972</v>
      </c>
      <c r="P871" s="87" t="s">
        <v>2</v>
      </c>
    </row>
    <row r="872" spans="1:16" x14ac:dyDescent="0.3">
      <c r="A872" s="77" t="s">
        <v>102</v>
      </c>
      <c r="B872" s="80" t="s">
        <v>77</v>
      </c>
      <c r="C872" s="43"/>
      <c r="D872" s="43"/>
      <c r="E872" s="43"/>
      <c r="F872" s="80" t="s">
        <v>73</v>
      </c>
      <c r="G872" s="83">
        <v>46285</v>
      </c>
      <c r="H872" s="83">
        <v>46287</v>
      </c>
      <c r="I872" s="4">
        <v>2</v>
      </c>
      <c r="J872" s="80" t="str">
        <f>TEXT(tblPayments[[#This Row],[Arrival]],"mmm")</f>
        <v>Sep</v>
      </c>
      <c r="K872" s="80">
        <f>MONTH(tblPayments[[#This Row],[Arrival]])</f>
        <v>9</v>
      </c>
      <c r="L872" s="80">
        <f>YEAR(tblPayments[[#This Row],[Arrival]])</f>
        <v>2026</v>
      </c>
      <c r="M872" s="80" t="str">
        <f>IF(tblPayments[[#This Row],[Balance]]=0,"Full Payment","Deposit")</f>
        <v>Full Payment</v>
      </c>
      <c r="N872" s="43">
        <v>0</v>
      </c>
      <c r="O872" s="83">
        <v>45910</v>
      </c>
      <c r="P872" s="87" t="s">
        <v>38</v>
      </c>
    </row>
    <row r="873" spans="1:16" x14ac:dyDescent="0.3">
      <c r="A873" s="77" t="s">
        <v>102</v>
      </c>
      <c r="B873" s="80" t="s">
        <v>77</v>
      </c>
      <c r="C873" s="43">
        <v>14182.82</v>
      </c>
      <c r="D873" s="43"/>
      <c r="E873" s="43">
        <v>14182.82</v>
      </c>
      <c r="F873" s="80" t="s">
        <v>75</v>
      </c>
      <c r="G873" s="83">
        <v>46288</v>
      </c>
      <c r="H873" s="83">
        <v>46292</v>
      </c>
      <c r="I873" s="4">
        <v>4</v>
      </c>
      <c r="J873" s="80" t="str">
        <f>TEXT(tblPayments[[#This Row],[Arrival]],"mmm")</f>
        <v>Sep</v>
      </c>
      <c r="K873" s="80">
        <f>MONTH(tblPayments[[#This Row],[Arrival]])</f>
        <v>9</v>
      </c>
      <c r="L873" s="80">
        <f>YEAR(tblPayments[[#This Row],[Arrival]])</f>
        <v>2026</v>
      </c>
      <c r="M873" s="80" t="str">
        <f>IF(tblPayments[[#This Row],[Balance]]=0,"Full Payment","Deposit")</f>
        <v>Deposit</v>
      </c>
      <c r="N873" s="43">
        <v>7082.04</v>
      </c>
      <c r="O873" s="83">
        <v>45893</v>
      </c>
      <c r="P873" s="87" t="s">
        <v>38</v>
      </c>
    </row>
    <row r="874" spans="1:16" x14ac:dyDescent="0.3">
      <c r="A874" s="77" t="s">
        <v>102</v>
      </c>
      <c r="B874" s="80" t="s">
        <v>77</v>
      </c>
      <c r="C874" s="43">
        <v>12571.45</v>
      </c>
      <c r="D874" s="43"/>
      <c r="E874" s="43">
        <v>12571.45</v>
      </c>
      <c r="F874" s="80" t="s">
        <v>75</v>
      </c>
      <c r="G874" s="83">
        <v>46293</v>
      </c>
      <c r="H874" s="83">
        <v>46297</v>
      </c>
      <c r="I874" s="4">
        <v>4</v>
      </c>
      <c r="J874" s="80" t="str">
        <f>TEXT(tblPayments[[#This Row],[Arrival]],"mmm")</f>
        <v>Sep</v>
      </c>
      <c r="K874" s="80">
        <f>MONTH(tblPayments[[#This Row],[Arrival]])</f>
        <v>9</v>
      </c>
      <c r="L874" s="80">
        <f>YEAR(tblPayments[[#This Row],[Arrival]])</f>
        <v>2026</v>
      </c>
      <c r="M874" s="80" t="str">
        <f>IF(tblPayments[[#This Row],[Balance]]=0,"Full Payment","Deposit")</f>
        <v>Deposit</v>
      </c>
      <c r="N874" s="43">
        <v>6147.32</v>
      </c>
      <c r="O874" s="83">
        <v>45953</v>
      </c>
      <c r="P874" s="87" t="s">
        <v>41</v>
      </c>
    </row>
    <row r="875" spans="1:16" x14ac:dyDescent="0.3">
      <c r="A875" s="77" t="s">
        <v>102</v>
      </c>
      <c r="B875" s="80" t="s">
        <v>77</v>
      </c>
      <c r="C875" s="43">
        <v>16549.5</v>
      </c>
      <c r="D875" s="43"/>
      <c r="E875" s="43">
        <v>16549.5</v>
      </c>
      <c r="F875" s="80" t="s">
        <v>75</v>
      </c>
      <c r="G875" s="83">
        <v>46295</v>
      </c>
      <c r="H875" s="83">
        <v>46299</v>
      </c>
      <c r="I875" s="4">
        <v>4</v>
      </c>
      <c r="J875" s="80" t="str">
        <f>TEXT(tblPayments[[#This Row],[Arrival]],"mmm")</f>
        <v>Sep</v>
      </c>
      <c r="K875" s="80">
        <f>MONTH(tblPayments[[#This Row],[Arrival]])</f>
        <v>9</v>
      </c>
      <c r="L875" s="80">
        <f>YEAR(tblPayments[[#This Row],[Arrival]])</f>
        <v>2026</v>
      </c>
      <c r="M875" s="80" t="str">
        <f>IF(tblPayments[[#This Row],[Balance]]=0,"Full Payment","Deposit")</f>
        <v>Deposit</v>
      </c>
      <c r="N875" s="43">
        <v>5105.3</v>
      </c>
      <c r="O875" s="83">
        <v>45995</v>
      </c>
      <c r="P875" s="87" t="s">
        <v>31</v>
      </c>
    </row>
    <row r="876" spans="1:16" x14ac:dyDescent="0.3">
      <c r="A876" s="77" t="s">
        <v>102</v>
      </c>
      <c r="B876" s="80" t="s">
        <v>77</v>
      </c>
      <c r="C876" s="43"/>
      <c r="D876" s="43"/>
      <c r="E876" s="43"/>
      <c r="F876" s="80" t="s">
        <v>74</v>
      </c>
      <c r="G876" s="83">
        <v>46312</v>
      </c>
      <c r="H876" s="83">
        <v>46319</v>
      </c>
      <c r="I876" s="4">
        <v>7</v>
      </c>
      <c r="J876" s="80" t="str">
        <f>TEXT(tblPayments[[#This Row],[Arrival]],"mmm")</f>
        <v>Oct</v>
      </c>
      <c r="K876" s="80">
        <f>MONTH(tblPayments[[#This Row],[Arrival]])</f>
        <v>10</v>
      </c>
      <c r="L876" s="80">
        <f>YEAR(tblPayments[[#This Row],[Arrival]])</f>
        <v>2026</v>
      </c>
      <c r="M876" s="80" t="str">
        <f>IF(tblPayments[[#This Row],[Balance]]=0,"Full Payment","Deposit")</f>
        <v>Full Payment</v>
      </c>
      <c r="N876" s="43">
        <v>33912.199999999997</v>
      </c>
      <c r="O876" s="83">
        <v>45996</v>
      </c>
      <c r="P876" s="87" t="s">
        <v>2</v>
      </c>
    </row>
    <row r="877" spans="1:16" x14ac:dyDescent="0.3">
      <c r="A877" s="77" t="s">
        <v>102</v>
      </c>
      <c r="B877" s="80" t="s">
        <v>77</v>
      </c>
      <c r="C877" s="43">
        <v>104658.73</v>
      </c>
      <c r="D877" s="43">
        <v>28195.99</v>
      </c>
      <c r="E877" s="43">
        <v>76462.289999999994</v>
      </c>
      <c r="F877" s="80" t="s">
        <v>72</v>
      </c>
      <c r="G877" s="83">
        <v>46312</v>
      </c>
      <c r="H877" s="83">
        <v>46324</v>
      </c>
      <c r="I877" s="4">
        <v>12</v>
      </c>
      <c r="J877" s="80" t="str">
        <f>TEXT(tblPayments[[#This Row],[Arrival]],"mmm")</f>
        <v>Oct</v>
      </c>
      <c r="K877" s="80">
        <f>MONTH(tblPayments[[#This Row],[Arrival]])</f>
        <v>10</v>
      </c>
      <c r="L877" s="80">
        <f>YEAR(tblPayments[[#This Row],[Arrival]])</f>
        <v>2026</v>
      </c>
      <c r="M877" s="80" t="str">
        <f>IF(tblPayments[[#This Row],[Balance]]=0,"Full Payment","Deposit")</f>
        <v>Deposit</v>
      </c>
      <c r="N877" s="43">
        <v>58962.36</v>
      </c>
      <c r="O877" s="83">
        <v>45959</v>
      </c>
      <c r="P877" s="87" t="s">
        <v>2</v>
      </c>
    </row>
    <row r="878" spans="1:16" x14ac:dyDescent="0.3">
      <c r="A878" s="77" t="s">
        <v>102</v>
      </c>
      <c r="B878" s="80" t="s">
        <v>77</v>
      </c>
      <c r="C878" s="43">
        <v>42422.559999999998</v>
      </c>
      <c r="D878" s="43"/>
      <c r="E878" s="43">
        <v>42422.559999999998</v>
      </c>
      <c r="F878" s="80" t="s">
        <v>75</v>
      </c>
      <c r="G878" s="83">
        <v>46312</v>
      </c>
      <c r="H878" s="83">
        <v>46323</v>
      </c>
      <c r="I878" s="4">
        <v>11</v>
      </c>
      <c r="J878" s="80" t="str">
        <f>TEXT(tblPayments[[#This Row],[Arrival]],"mmm")</f>
        <v>Oct</v>
      </c>
      <c r="K878" s="80">
        <f>MONTH(tblPayments[[#This Row],[Arrival]])</f>
        <v>10</v>
      </c>
      <c r="L878" s="80">
        <f>YEAR(tblPayments[[#This Row],[Arrival]])</f>
        <v>2026</v>
      </c>
      <c r="M878" s="80" t="str">
        <f>IF(tblPayments[[#This Row],[Balance]]=0,"Full Payment","Deposit")</f>
        <v>Deposit</v>
      </c>
      <c r="N878" s="43">
        <v>14017.08</v>
      </c>
      <c r="O878" s="83">
        <v>45918</v>
      </c>
      <c r="P878" s="87" t="s">
        <v>2</v>
      </c>
    </row>
    <row r="879" spans="1:16" x14ac:dyDescent="0.3">
      <c r="A879" s="77" t="s">
        <v>102</v>
      </c>
      <c r="B879" s="80" t="s">
        <v>77</v>
      </c>
      <c r="C879" s="43">
        <v>45632.56</v>
      </c>
      <c r="D879" s="43"/>
      <c r="E879" s="43">
        <v>45632.56</v>
      </c>
      <c r="F879" s="80" t="s">
        <v>75</v>
      </c>
      <c r="G879" s="83">
        <v>46314</v>
      </c>
      <c r="H879" s="83">
        <v>46318</v>
      </c>
      <c r="I879" s="4">
        <v>4</v>
      </c>
      <c r="J879" s="80" t="str">
        <f>TEXT(tblPayments[[#This Row],[Arrival]],"mmm")</f>
        <v>Oct</v>
      </c>
      <c r="K879" s="80">
        <f>MONTH(tblPayments[[#This Row],[Arrival]])</f>
        <v>10</v>
      </c>
      <c r="L879" s="80">
        <f>YEAR(tblPayments[[#This Row],[Arrival]])</f>
        <v>2026</v>
      </c>
      <c r="M879" s="80" t="str">
        <f>IF(tblPayments[[#This Row],[Balance]]=0,"Full Payment","Deposit")</f>
        <v>Deposit</v>
      </c>
      <c r="N879" s="43">
        <v>25484.240000000002</v>
      </c>
      <c r="O879" s="83">
        <v>45870</v>
      </c>
      <c r="P879" s="87" t="s">
        <v>57</v>
      </c>
    </row>
    <row r="880" spans="1:16" x14ac:dyDescent="0.3">
      <c r="A880" s="77" t="s">
        <v>102</v>
      </c>
      <c r="B880" s="80" t="s">
        <v>77</v>
      </c>
      <c r="C880" s="43">
        <v>12557.84</v>
      </c>
      <c r="D880" s="43"/>
      <c r="E880" s="43">
        <v>12557.84</v>
      </c>
      <c r="F880" s="80" t="s">
        <v>75</v>
      </c>
      <c r="G880" s="83">
        <v>46316</v>
      </c>
      <c r="H880" s="83">
        <v>46320</v>
      </c>
      <c r="I880" s="4">
        <v>4</v>
      </c>
      <c r="J880" s="80" t="str">
        <f>TEXT(tblPayments[[#This Row],[Arrival]],"mmm")</f>
        <v>Oct</v>
      </c>
      <c r="K880" s="80">
        <f>MONTH(tblPayments[[#This Row],[Arrival]])</f>
        <v>10</v>
      </c>
      <c r="L880" s="80">
        <f>YEAR(tblPayments[[#This Row],[Arrival]])</f>
        <v>2026</v>
      </c>
      <c r="M880" s="80" t="str">
        <f>IF(tblPayments[[#This Row],[Balance]]=0,"Full Payment","Deposit")</f>
        <v>Deposit</v>
      </c>
      <c r="N880" s="43">
        <v>7663.2</v>
      </c>
      <c r="O880" s="83">
        <v>45972</v>
      </c>
      <c r="P880" s="87" t="s">
        <v>9</v>
      </c>
    </row>
    <row r="881" spans="1:16" x14ac:dyDescent="0.3">
      <c r="A881" s="77" t="s">
        <v>102</v>
      </c>
      <c r="B881" s="80" t="s">
        <v>77</v>
      </c>
      <c r="C881" s="43">
        <v>16358.82</v>
      </c>
      <c r="D881" s="43">
        <v>4089.7</v>
      </c>
      <c r="E881" s="43">
        <v>12269.12</v>
      </c>
      <c r="F881" s="80" t="s">
        <v>72</v>
      </c>
      <c r="G881" s="83">
        <v>46319</v>
      </c>
      <c r="H881" s="83">
        <v>46326</v>
      </c>
      <c r="I881" s="4">
        <v>7</v>
      </c>
      <c r="J881" s="80" t="str">
        <f>TEXT(tblPayments[[#This Row],[Arrival]],"mmm")</f>
        <v>Oct</v>
      </c>
      <c r="K881" s="80">
        <f>MONTH(tblPayments[[#This Row],[Arrival]])</f>
        <v>10</v>
      </c>
      <c r="L881" s="80">
        <f>YEAR(tblPayments[[#This Row],[Arrival]])</f>
        <v>2026</v>
      </c>
      <c r="M881" s="80" t="str">
        <f>IF(tblPayments[[#This Row],[Balance]]=0,"Full Payment","Deposit")</f>
        <v>Deposit</v>
      </c>
      <c r="N881" s="43">
        <v>9732.0300000000007</v>
      </c>
      <c r="O881" s="83">
        <v>45997</v>
      </c>
      <c r="P881" s="87" t="s">
        <v>13</v>
      </c>
    </row>
    <row r="882" spans="1:16" x14ac:dyDescent="0.3">
      <c r="A882" s="77" t="s">
        <v>102</v>
      </c>
      <c r="B882" s="80" t="s">
        <v>77</v>
      </c>
      <c r="C882" s="43">
        <v>25766</v>
      </c>
      <c r="D882" s="43"/>
      <c r="E882" s="43">
        <v>25766</v>
      </c>
      <c r="F882" s="80" t="s">
        <v>75</v>
      </c>
      <c r="G882" s="83">
        <v>46319</v>
      </c>
      <c r="H882" s="83">
        <v>46326</v>
      </c>
      <c r="I882" s="4">
        <v>7</v>
      </c>
      <c r="J882" s="80" t="str">
        <f>TEXT(tblPayments[[#This Row],[Arrival]],"mmm")</f>
        <v>Oct</v>
      </c>
      <c r="K882" s="80">
        <f>MONTH(tblPayments[[#This Row],[Arrival]])</f>
        <v>10</v>
      </c>
      <c r="L882" s="80">
        <f>YEAR(tblPayments[[#This Row],[Arrival]])</f>
        <v>2026</v>
      </c>
      <c r="M882" s="80" t="str">
        <f>IF(tblPayments[[#This Row],[Balance]]=0,"Full Payment","Deposit")</f>
        <v>Deposit</v>
      </c>
      <c r="N882" s="43">
        <v>0</v>
      </c>
      <c r="O882" s="83">
        <v>45989</v>
      </c>
      <c r="P882" s="87" t="s">
        <v>22</v>
      </c>
    </row>
    <row r="883" spans="1:16" x14ac:dyDescent="0.3">
      <c r="A883" s="77" t="s">
        <v>102</v>
      </c>
      <c r="B883" s="80" t="s">
        <v>77</v>
      </c>
      <c r="C883" s="43">
        <v>16820.98</v>
      </c>
      <c r="D883" s="43"/>
      <c r="E883" s="43">
        <v>16820.98</v>
      </c>
      <c r="F883" s="80" t="s">
        <v>75</v>
      </c>
      <c r="G883" s="83">
        <v>46320</v>
      </c>
      <c r="H883" s="83">
        <v>46327</v>
      </c>
      <c r="I883" s="4">
        <v>7</v>
      </c>
      <c r="J883" s="80" t="str">
        <f>TEXT(tblPayments[[#This Row],[Arrival]],"mmm")</f>
        <v>Oct</v>
      </c>
      <c r="K883" s="80">
        <f>MONTH(tblPayments[[#This Row],[Arrival]])</f>
        <v>10</v>
      </c>
      <c r="L883" s="80">
        <f>YEAR(tblPayments[[#This Row],[Arrival]])</f>
        <v>2026</v>
      </c>
      <c r="M883" s="80" t="str">
        <f>IF(tblPayments[[#This Row],[Balance]]=0,"Full Payment","Deposit")</f>
        <v>Deposit</v>
      </c>
      <c r="N883" s="43">
        <v>10755.99</v>
      </c>
      <c r="O883" s="83">
        <v>45979</v>
      </c>
      <c r="P883" s="87" t="s">
        <v>38</v>
      </c>
    </row>
    <row r="884" spans="1:16" x14ac:dyDescent="0.3">
      <c r="A884" s="77" t="s">
        <v>102</v>
      </c>
      <c r="B884" s="80" t="s">
        <v>77</v>
      </c>
      <c r="C884" s="43">
        <v>19200</v>
      </c>
      <c r="D884" s="43"/>
      <c r="E884" s="43">
        <v>19200</v>
      </c>
      <c r="F884" s="80" t="s">
        <v>75</v>
      </c>
      <c r="G884" s="83">
        <v>46320</v>
      </c>
      <c r="H884" s="83">
        <v>46327</v>
      </c>
      <c r="I884" s="4">
        <v>7</v>
      </c>
      <c r="J884" s="80" t="str">
        <f>TEXT(tblPayments[[#This Row],[Arrival]],"mmm")</f>
        <v>Oct</v>
      </c>
      <c r="K884" s="80">
        <f>MONTH(tblPayments[[#This Row],[Arrival]])</f>
        <v>10</v>
      </c>
      <c r="L884" s="80">
        <f>YEAR(tblPayments[[#This Row],[Arrival]])</f>
        <v>2026</v>
      </c>
      <c r="M884" s="80" t="str">
        <f>IF(tblPayments[[#This Row],[Balance]]=0,"Full Payment","Deposit")</f>
        <v>Deposit</v>
      </c>
      <c r="N884" s="43">
        <v>6552.42</v>
      </c>
      <c r="O884" s="83">
        <v>45679</v>
      </c>
      <c r="P884" s="87" t="s">
        <v>2</v>
      </c>
    </row>
    <row r="885" spans="1:16" x14ac:dyDescent="0.3">
      <c r="A885" s="77" t="s">
        <v>102</v>
      </c>
      <c r="B885" s="80" t="s">
        <v>77</v>
      </c>
      <c r="C885" s="43">
        <v>11451.6</v>
      </c>
      <c r="D885" s="43">
        <v>2862.9</v>
      </c>
      <c r="E885" s="43">
        <v>8588.68</v>
      </c>
      <c r="F885" s="80" t="s">
        <v>72</v>
      </c>
      <c r="G885" s="83">
        <v>46330</v>
      </c>
      <c r="H885" s="83">
        <v>46333</v>
      </c>
      <c r="I885" s="4">
        <v>3</v>
      </c>
      <c r="J885" s="80" t="str">
        <f>TEXT(tblPayments[[#This Row],[Arrival]],"mmm")</f>
        <v>Nov</v>
      </c>
      <c r="K885" s="80">
        <f>MONTH(tblPayments[[#This Row],[Arrival]])</f>
        <v>11</v>
      </c>
      <c r="L885" s="80">
        <f>YEAR(tblPayments[[#This Row],[Arrival]])</f>
        <v>2026</v>
      </c>
      <c r="M885" s="80" t="str">
        <f>IF(tblPayments[[#This Row],[Balance]]=0,"Full Payment","Deposit")</f>
        <v>Deposit</v>
      </c>
      <c r="N885" s="43">
        <v>7394.37</v>
      </c>
      <c r="O885" s="83">
        <v>45970</v>
      </c>
      <c r="P885" s="87" t="s">
        <v>15</v>
      </c>
    </row>
    <row r="886" spans="1:16" x14ac:dyDescent="0.3">
      <c r="A886" s="77" t="s">
        <v>102</v>
      </c>
      <c r="B886" s="80" t="s">
        <v>77</v>
      </c>
      <c r="C886" s="43">
        <v>71205.740000000005</v>
      </c>
      <c r="D886" s="43">
        <v>17801.43</v>
      </c>
      <c r="E886" s="43">
        <v>53404.31</v>
      </c>
      <c r="F886" s="80" t="s">
        <v>72</v>
      </c>
      <c r="G886" s="83">
        <v>46333</v>
      </c>
      <c r="H886" s="83">
        <v>46347</v>
      </c>
      <c r="I886" s="4">
        <v>14</v>
      </c>
      <c r="J886" s="80" t="str">
        <f>TEXT(tblPayments[[#This Row],[Arrival]],"mmm")</f>
        <v>Nov</v>
      </c>
      <c r="K886" s="80">
        <f>MONTH(tblPayments[[#This Row],[Arrival]])</f>
        <v>11</v>
      </c>
      <c r="L886" s="80">
        <f>YEAR(tblPayments[[#This Row],[Arrival]])</f>
        <v>2026</v>
      </c>
      <c r="M886" s="80" t="str">
        <f>IF(tblPayments[[#This Row],[Balance]]=0,"Full Payment","Deposit")</f>
        <v>Deposit</v>
      </c>
      <c r="N886" s="43">
        <v>24000.06</v>
      </c>
      <c r="O886" s="83">
        <v>45973</v>
      </c>
      <c r="P886" s="87" t="s">
        <v>15</v>
      </c>
    </row>
    <row r="887" spans="1:16" x14ac:dyDescent="0.3">
      <c r="A887" s="77" t="s">
        <v>102</v>
      </c>
      <c r="B887" s="80" t="s">
        <v>77</v>
      </c>
      <c r="C887" s="43">
        <v>23935.16</v>
      </c>
      <c r="D887" s="43">
        <v>5983.79</v>
      </c>
      <c r="E887" s="43">
        <v>17951.37</v>
      </c>
      <c r="F887" s="80" t="s">
        <v>72</v>
      </c>
      <c r="G887" s="83">
        <v>46339</v>
      </c>
      <c r="H887" s="83">
        <v>46346</v>
      </c>
      <c r="I887" s="4">
        <v>7</v>
      </c>
      <c r="J887" s="80" t="str">
        <f>TEXT(tblPayments[[#This Row],[Arrival]],"mmm")</f>
        <v>Nov</v>
      </c>
      <c r="K887" s="80">
        <f>MONTH(tblPayments[[#This Row],[Arrival]])</f>
        <v>11</v>
      </c>
      <c r="L887" s="80">
        <f>YEAR(tblPayments[[#This Row],[Arrival]])</f>
        <v>2026</v>
      </c>
      <c r="M887" s="80" t="str">
        <f>IF(tblPayments[[#This Row],[Balance]]=0,"Full Payment","Deposit")</f>
        <v>Deposit</v>
      </c>
      <c r="N887" s="43">
        <v>15458.73</v>
      </c>
      <c r="O887" s="83">
        <v>45983</v>
      </c>
      <c r="P887" s="87" t="s">
        <v>2</v>
      </c>
    </row>
    <row r="888" spans="1:16" x14ac:dyDescent="0.3">
      <c r="A888" s="77" t="s">
        <v>102</v>
      </c>
      <c r="B888" s="80" t="s">
        <v>77</v>
      </c>
      <c r="C888" s="43">
        <v>93256.57</v>
      </c>
      <c r="D888" s="43">
        <v>23314.14</v>
      </c>
      <c r="E888" s="43">
        <v>69942.53</v>
      </c>
      <c r="F888" s="80" t="s">
        <v>72</v>
      </c>
      <c r="G888" s="83">
        <v>46345</v>
      </c>
      <c r="H888" s="83">
        <v>46354</v>
      </c>
      <c r="I888" s="4">
        <v>9</v>
      </c>
      <c r="J888" s="80" t="str">
        <f>TEXT(tblPayments[[#This Row],[Arrival]],"mmm")</f>
        <v>Nov</v>
      </c>
      <c r="K888" s="80">
        <f>MONTH(tblPayments[[#This Row],[Arrival]])</f>
        <v>11</v>
      </c>
      <c r="L888" s="80">
        <f>YEAR(tblPayments[[#This Row],[Arrival]])</f>
        <v>2026</v>
      </c>
      <c r="M888" s="80" t="str">
        <f>IF(tblPayments[[#This Row],[Balance]]=0,"Full Payment","Deposit")</f>
        <v>Deposit</v>
      </c>
      <c r="N888" s="43">
        <v>45808.56</v>
      </c>
      <c r="O888" s="83">
        <v>45974</v>
      </c>
      <c r="P888" s="87" t="s">
        <v>15</v>
      </c>
    </row>
    <row r="889" spans="1:16" x14ac:dyDescent="0.3">
      <c r="A889" s="77" t="s">
        <v>102</v>
      </c>
      <c r="B889" s="80" t="s">
        <v>77</v>
      </c>
      <c r="C889" s="43">
        <v>20473.68</v>
      </c>
      <c r="D889" s="43">
        <v>20473.68</v>
      </c>
      <c r="E889" s="43"/>
      <c r="F889" s="80" t="s">
        <v>70</v>
      </c>
      <c r="G889" s="83">
        <v>46348</v>
      </c>
      <c r="H889" s="83">
        <v>46352</v>
      </c>
      <c r="I889" s="4">
        <v>4</v>
      </c>
      <c r="J889" s="80" t="str">
        <f>TEXT(tblPayments[[#This Row],[Arrival]],"mmm")</f>
        <v>Nov</v>
      </c>
      <c r="K889" s="80">
        <f>MONTH(tblPayments[[#This Row],[Arrival]])</f>
        <v>11</v>
      </c>
      <c r="L889" s="80">
        <f>YEAR(tblPayments[[#This Row],[Arrival]])</f>
        <v>2026</v>
      </c>
      <c r="M889" s="80" t="str">
        <f>IF(tblPayments[[#This Row],[Balance]]=0,"Full Payment","Deposit")</f>
        <v>Full Payment</v>
      </c>
      <c r="N889" s="43">
        <v>9532.7199999999993</v>
      </c>
      <c r="O889" s="83">
        <v>45854</v>
      </c>
      <c r="P889" s="87" t="s">
        <v>68</v>
      </c>
    </row>
    <row r="890" spans="1:16" x14ac:dyDescent="0.3">
      <c r="A890" s="77" t="s">
        <v>102</v>
      </c>
      <c r="B890" s="80" t="s">
        <v>77</v>
      </c>
      <c r="C890" s="43">
        <v>62571</v>
      </c>
      <c r="D890" s="43">
        <v>15642.75</v>
      </c>
      <c r="E890" s="43">
        <v>46928.25</v>
      </c>
      <c r="F890" s="80" t="s">
        <v>72</v>
      </c>
      <c r="G890" s="83">
        <v>46362</v>
      </c>
      <c r="H890" s="83">
        <v>46368</v>
      </c>
      <c r="I890" s="4">
        <v>6</v>
      </c>
      <c r="J890" s="80" t="str">
        <f>TEXT(tblPayments[[#This Row],[Arrival]],"mmm")</f>
        <v>Dec</v>
      </c>
      <c r="K890" s="80">
        <f>MONTH(tblPayments[[#This Row],[Arrival]])</f>
        <v>12</v>
      </c>
      <c r="L890" s="80">
        <f>YEAR(tblPayments[[#This Row],[Arrival]])</f>
        <v>2026</v>
      </c>
      <c r="M890" s="80" t="str">
        <f>IF(tblPayments[[#This Row],[Balance]]=0,"Full Payment","Deposit")</f>
        <v>Deposit</v>
      </c>
      <c r="N890" s="43">
        <v>43921.68</v>
      </c>
      <c r="O890" s="83">
        <v>45960</v>
      </c>
      <c r="P890" s="87" t="s">
        <v>38</v>
      </c>
    </row>
    <row r="891" spans="1:16" x14ac:dyDescent="0.3">
      <c r="A891" s="77" t="s">
        <v>102</v>
      </c>
      <c r="B891" s="80" t="s">
        <v>77</v>
      </c>
      <c r="C891" s="43">
        <v>5200</v>
      </c>
      <c r="D891" s="43"/>
      <c r="E891" s="43">
        <v>5200</v>
      </c>
      <c r="F891" s="80" t="s">
        <v>75</v>
      </c>
      <c r="G891" s="83">
        <v>46363</v>
      </c>
      <c r="H891" s="83">
        <v>46367</v>
      </c>
      <c r="I891" s="4">
        <v>4</v>
      </c>
      <c r="J891" s="80" t="str">
        <f>TEXT(tblPayments[[#This Row],[Arrival]],"mmm")</f>
        <v>Dec</v>
      </c>
      <c r="K891" s="80">
        <f>MONTH(tblPayments[[#This Row],[Arrival]])</f>
        <v>12</v>
      </c>
      <c r="L891" s="80">
        <f>YEAR(tblPayments[[#This Row],[Arrival]])</f>
        <v>2026</v>
      </c>
      <c r="M891" s="80" t="str">
        <f>IF(tblPayments[[#This Row],[Balance]]=0,"Full Payment","Deposit")</f>
        <v>Deposit</v>
      </c>
      <c r="N891" s="43">
        <v>0</v>
      </c>
      <c r="O891" s="83">
        <v>45533</v>
      </c>
      <c r="P891" s="87" t="s">
        <v>15</v>
      </c>
    </row>
    <row r="892" spans="1:16" x14ac:dyDescent="0.3">
      <c r="A892" s="77" t="s">
        <v>102</v>
      </c>
      <c r="B892" s="80" t="s">
        <v>77</v>
      </c>
      <c r="C892" s="43">
        <v>2600</v>
      </c>
      <c r="D892" s="43"/>
      <c r="E892" s="43">
        <v>2600</v>
      </c>
      <c r="F892" s="80" t="s">
        <v>75</v>
      </c>
      <c r="G892" s="83">
        <v>46363</v>
      </c>
      <c r="H892" s="83">
        <v>46367</v>
      </c>
      <c r="I892" s="4">
        <v>4</v>
      </c>
      <c r="J892" s="80" t="str">
        <f>TEXT(tblPayments[[#This Row],[Arrival]],"mmm")</f>
        <v>Dec</v>
      </c>
      <c r="K892" s="80">
        <f>MONTH(tblPayments[[#This Row],[Arrival]])</f>
        <v>12</v>
      </c>
      <c r="L892" s="80">
        <f>YEAR(tblPayments[[#This Row],[Arrival]])</f>
        <v>2026</v>
      </c>
      <c r="M892" s="80" t="str">
        <f>IF(tblPayments[[#This Row],[Balance]]=0,"Full Payment","Deposit")</f>
        <v>Deposit</v>
      </c>
      <c r="N892" s="43">
        <v>0</v>
      </c>
      <c r="O892" s="83">
        <v>45923</v>
      </c>
      <c r="P892" s="87" t="s">
        <v>15</v>
      </c>
    </row>
    <row r="893" spans="1:16" x14ac:dyDescent="0.3">
      <c r="A893" s="77" t="s">
        <v>102</v>
      </c>
      <c r="B893" s="80" t="s">
        <v>77</v>
      </c>
      <c r="C893" s="43">
        <v>10700</v>
      </c>
      <c r="D893" s="43"/>
      <c r="E893" s="43">
        <v>10700</v>
      </c>
      <c r="F893" s="80" t="s">
        <v>75</v>
      </c>
      <c r="G893" s="83">
        <v>46366</v>
      </c>
      <c r="H893" s="83">
        <v>46375</v>
      </c>
      <c r="I893" s="4">
        <v>9</v>
      </c>
      <c r="J893" s="80" t="str">
        <f>TEXT(tblPayments[[#This Row],[Arrival]],"mmm")</f>
        <v>Dec</v>
      </c>
      <c r="K893" s="80">
        <f>MONTH(tblPayments[[#This Row],[Arrival]])</f>
        <v>12</v>
      </c>
      <c r="L893" s="80">
        <f>YEAR(tblPayments[[#This Row],[Arrival]])</f>
        <v>2026</v>
      </c>
      <c r="M893" s="80" t="str">
        <f>IF(tblPayments[[#This Row],[Balance]]=0,"Full Payment","Deposit")</f>
        <v>Deposit</v>
      </c>
      <c r="N893" s="43">
        <v>1689.57</v>
      </c>
      <c r="O893" s="83">
        <v>45995</v>
      </c>
      <c r="P893" s="87" t="s">
        <v>15</v>
      </c>
    </row>
    <row r="894" spans="1:16" x14ac:dyDescent="0.3">
      <c r="A894" s="77" t="s">
        <v>102</v>
      </c>
      <c r="B894" s="80" t="s">
        <v>77</v>
      </c>
      <c r="C894" s="43">
        <v>14250</v>
      </c>
      <c r="D894" s="43"/>
      <c r="E894" s="43">
        <v>14250</v>
      </c>
      <c r="F894" s="80" t="s">
        <v>75</v>
      </c>
      <c r="G894" s="83">
        <v>46366</v>
      </c>
      <c r="H894" s="83">
        <v>46375</v>
      </c>
      <c r="I894" s="4">
        <v>9</v>
      </c>
      <c r="J894" s="80" t="str">
        <f>TEXT(tblPayments[[#This Row],[Arrival]],"mmm")</f>
        <v>Dec</v>
      </c>
      <c r="K894" s="80">
        <f>MONTH(tblPayments[[#This Row],[Arrival]])</f>
        <v>12</v>
      </c>
      <c r="L894" s="80">
        <f>YEAR(tblPayments[[#This Row],[Arrival]])</f>
        <v>2026</v>
      </c>
      <c r="M894" s="80" t="str">
        <f>IF(tblPayments[[#This Row],[Balance]]=0,"Full Payment","Deposit")</f>
        <v>Deposit</v>
      </c>
      <c r="N894" s="43">
        <v>975.24</v>
      </c>
      <c r="O894" s="83">
        <v>45995</v>
      </c>
      <c r="P894" s="87" t="s">
        <v>15</v>
      </c>
    </row>
    <row r="895" spans="1:16" x14ac:dyDescent="0.3">
      <c r="A895" s="77" t="s">
        <v>102</v>
      </c>
      <c r="B895" s="80" t="s">
        <v>77</v>
      </c>
      <c r="C895" s="43"/>
      <c r="D895" s="43"/>
      <c r="E895" s="43"/>
      <c r="F895" s="80" t="s">
        <v>73</v>
      </c>
      <c r="G895" s="83">
        <v>46368</v>
      </c>
      <c r="H895" s="83">
        <v>46377</v>
      </c>
      <c r="I895" s="4">
        <v>9</v>
      </c>
      <c r="J895" s="80" t="str">
        <f>TEXT(tblPayments[[#This Row],[Arrival]],"mmm")</f>
        <v>Dec</v>
      </c>
      <c r="K895" s="80">
        <f>MONTH(tblPayments[[#This Row],[Arrival]])</f>
        <v>12</v>
      </c>
      <c r="L895" s="80">
        <f>YEAR(tblPayments[[#This Row],[Arrival]])</f>
        <v>2026</v>
      </c>
      <c r="M895" s="80" t="str">
        <f>IF(tblPayments[[#This Row],[Balance]]=0,"Full Payment","Deposit")</f>
        <v>Full Payment</v>
      </c>
      <c r="N895" s="43">
        <v>0</v>
      </c>
      <c r="O895" s="83">
        <v>45984</v>
      </c>
      <c r="P895" s="87" t="s">
        <v>2</v>
      </c>
    </row>
    <row r="896" spans="1:16" x14ac:dyDescent="0.3">
      <c r="A896" s="77" t="s">
        <v>102</v>
      </c>
      <c r="B896" s="80" t="s">
        <v>77</v>
      </c>
      <c r="C896" s="43">
        <v>36439.120000000003</v>
      </c>
      <c r="D896" s="43"/>
      <c r="E896" s="43">
        <v>36439.120000000003</v>
      </c>
      <c r="F896" s="80" t="s">
        <v>75</v>
      </c>
      <c r="G896" s="83">
        <v>46371</v>
      </c>
      <c r="H896" s="83">
        <v>46377</v>
      </c>
      <c r="I896" s="4">
        <v>6</v>
      </c>
      <c r="J896" s="80" t="str">
        <f>TEXT(tblPayments[[#This Row],[Arrival]],"mmm")</f>
        <v>Dec</v>
      </c>
      <c r="K896" s="80">
        <f>MONTH(tblPayments[[#This Row],[Arrival]])</f>
        <v>12</v>
      </c>
      <c r="L896" s="80">
        <f>YEAR(tblPayments[[#This Row],[Arrival]])</f>
        <v>2026</v>
      </c>
      <c r="M896" s="80" t="str">
        <f>IF(tblPayments[[#This Row],[Balance]]=0,"Full Payment","Deposit")</f>
        <v>Deposit</v>
      </c>
      <c r="N896" s="43">
        <v>26110.44</v>
      </c>
      <c r="O896" s="83">
        <v>45972</v>
      </c>
      <c r="P896" s="87" t="s">
        <v>2</v>
      </c>
    </row>
    <row r="897" spans="1:16" x14ac:dyDescent="0.3">
      <c r="A897" s="77" t="s">
        <v>102</v>
      </c>
      <c r="B897" s="80" t="s">
        <v>77</v>
      </c>
      <c r="C897" s="43">
        <v>35110.339999999997</v>
      </c>
      <c r="D897" s="43"/>
      <c r="E897" s="43">
        <v>35110.339999999997</v>
      </c>
      <c r="F897" s="80" t="s">
        <v>75</v>
      </c>
      <c r="G897" s="83">
        <v>46371</v>
      </c>
      <c r="H897" s="83">
        <v>46377</v>
      </c>
      <c r="I897" s="4">
        <v>6</v>
      </c>
      <c r="J897" s="80" t="str">
        <f>TEXT(tblPayments[[#This Row],[Arrival]],"mmm")</f>
        <v>Dec</v>
      </c>
      <c r="K897" s="80">
        <f>MONTH(tblPayments[[#This Row],[Arrival]])</f>
        <v>12</v>
      </c>
      <c r="L897" s="80">
        <f>YEAR(tblPayments[[#This Row],[Arrival]])</f>
        <v>2026</v>
      </c>
      <c r="M897" s="80" t="str">
        <f>IF(tblPayments[[#This Row],[Balance]]=0,"Full Payment","Deposit")</f>
        <v>Deposit</v>
      </c>
      <c r="N897" s="43">
        <v>23151.96</v>
      </c>
      <c r="O897" s="83">
        <v>45972</v>
      </c>
      <c r="P897" s="87" t="s">
        <v>2</v>
      </c>
    </row>
    <row r="898" spans="1:16" x14ac:dyDescent="0.3">
      <c r="A898" s="77" t="s">
        <v>102</v>
      </c>
      <c r="B898" s="80" t="s">
        <v>77</v>
      </c>
      <c r="C898" s="43">
        <v>13266</v>
      </c>
      <c r="D898" s="43"/>
      <c r="E898" s="43">
        <v>13266</v>
      </c>
      <c r="F898" s="80" t="s">
        <v>75</v>
      </c>
      <c r="G898" s="83">
        <v>46373</v>
      </c>
      <c r="H898" s="83">
        <v>46377</v>
      </c>
      <c r="I898" s="4">
        <v>4</v>
      </c>
      <c r="J898" s="80" t="str">
        <f>TEXT(tblPayments[[#This Row],[Arrival]],"mmm")</f>
        <v>Dec</v>
      </c>
      <c r="K898" s="80">
        <f>MONTH(tblPayments[[#This Row],[Arrival]])</f>
        <v>12</v>
      </c>
      <c r="L898" s="80">
        <f>YEAR(tblPayments[[#This Row],[Arrival]])</f>
        <v>2026</v>
      </c>
      <c r="M898" s="80" t="str">
        <f>IF(tblPayments[[#This Row],[Balance]]=0,"Full Payment","Deposit")</f>
        <v>Deposit</v>
      </c>
      <c r="N898" s="43">
        <v>7211.52</v>
      </c>
      <c r="O898" s="83">
        <v>45941</v>
      </c>
      <c r="P898" s="87" t="s">
        <v>15</v>
      </c>
    </row>
    <row r="899" spans="1:16" x14ac:dyDescent="0.3">
      <c r="A899" s="77" t="s">
        <v>102</v>
      </c>
      <c r="B899" s="80" t="s">
        <v>76</v>
      </c>
      <c r="C899" s="43">
        <v>183057.2</v>
      </c>
      <c r="D899" s="43">
        <v>42901.8</v>
      </c>
      <c r="E899" s="43">
        <v>140155.4</v>
      </c>
      <c r="F899" s="80" t="s">
        <v>72</v>
      </c>
      <c r="G899" s="83">
        <v>46383</v>
      </c>
      <c r="H899" s="83">
        <v>46393</v>
      </c>
      <c r="I899" s="4">
        <v>10</v>
      </c>
      <c r="J899" s="80" t="str">
        <f>TEXT(tblPayments[[#This Row],[Arrival]],"mmm")</f>
        <v>Dec</v>
      </c>
      <c r="K899" s="80">
        <f>MONTH(tblPayments[[#This Row],[Arrival]])</f>
        <v>12</v>
      </c>
      <c r="L899" s="80">
        <f>YEAR(tblPayments[[#This Row],[Arrival]])</f>
        <v>2026</v>
      </c>
      <c r="M899" s="80" t="str">
        <f>IF(tblPayments[[#This Row],[Balance]]=0,"Full Payment","Deposit")</f>
        <v>Deposit</v>
      </c>
      <c r="N899" s="43">
        <v>136602.29999999999</v>
      </c>
      <c r="O899" s="83">
        <v>45893</v>
      </c>
      <c r="P899" s="87" t="s">
        <v>2</v>
      </c>
    </row>
    <row r="900" spans="1:16" x14ac:dyDescent="0.3">
      <c r="A900" s="77"/>
      <c r="B900" s="80"/>
      <c r="C900" s="43"/>
      <c r="D900" s="43"/>
      <c r="E900" s="43"/>
      <c r="F900" s="80"/>
      <c r="G900" s="83"/>
      <c r="H900" s="83"/>
      <c r="I900" s="4"/>
      <c r="J900" s="80" t="str">
        <f>TEXT(tblPayments[[#This Row],[Arrival]],"mmm")</f>
        <v>Jan</v>
      </c>
      <c r="K900" s="80">
        <f>MONTH(tblPayments[[#This Row],[Arrival]])</f>
        <v>1</v>
      </c>
      <c r="L900" s="80">
        <f>YEAR(tblPayments[[#This Row],[Arrival]])</f>
        <v>1900</v>
      </c>
      <c r="M900" s="80" t="str">
        <f>IF(tblPayments[[#This Row],[Balance]]=0,"Full Payment","Deposit")</f>
        <v>Full Payment</v>
      </c>
      <c r="N900" s="43"/>
      <c r="O900" s="83"/>
      <c r="P900" s="87"/>
    </row>
    <row r="901" spans="1:16" x14ac:dyDescent="0.3">
      <c r="A901" s="77"/>
      <c r="B901" s="80"/>
      <c r="C901" s="43"/>
      <c r="D901" s="43"/>
      <c r="E901" s="43"/>
      <c r="F901" s="80"/>
      <c r="G901" s="83"/>
      <c r="H901" s="83"/>
      <c r="I901" s="4"/>
      <c r="J901" s="80" t="str">
        <f>TEXT(tblPayments[[#This Row],[Arrival]],"mmm")</f>
        <v>Jan</v>
      </c>
      <c r="K901" s="80">
        <f>MONTH(tblPayments[[#This Row],[Arrival]])</f>
        <v>1</v>
      </c>
      <c r="L901" s="80">
        <f>YEAR(tblPayments[[#This Row],[Arrival]])</f>
        <v>1900</v>
      </c>
      <c r="M901" s="80" t="str">
        <f>IF(tblPayments[[#This Row],[Balance]]=0,"Full Payment","Deposit")</f>
        <v>Full Payment</v>
      </c>
      <c r="N901" s="43"/>
      <c r="O901" s="83"/>
      <c r="P901" s="87"/>
    </row>
    <row r="902" spans="1:16" x14ac:dyDescent="0.3">
      <c r="A902" s="77"/>
      <c r="B902" s="80"/>
      <c r="C902" s="43"/>
      <c r="D902" s="43"/>
      <c r="E902" s="43"/>
      <c r="F902" s="80"/>
      <c r="G902" s="83"/>
      <c r="H902" s="83"/>
      <c r="I902" s="4"/>
      <c r="J902" s="80" t="str">
        <f>TEXT(tblPayments[[#This Row],[Arrival]],"mmm")</f>
        <v>Jan</v>
      </c>
      <c r="K902" s="80">
        <f>MONTH(tblPayments[[#This Row],[Arrival]])</f>
        <v>1</v>
      </c>
      <c r="L902" s="80">
        <f>YEAR(tblPayments[[#This Row],[Arrival]])</f>
        <v>1900</v>
      </c>
      <c r="M902" s="80" t="str">
        <f>IF(tblPayments[[#This Row],[Balance]]=0,"Full Payment","Deposit")</f>
        <v>Full Payment</v>
      </c>
      <c r="N902" s="43"/>
      <c r="O902" s="83"/>
      <c r="P902" s="87"/>
    </row>
    <row r="903" spans="1:16" x14ac:dyDescent="0.3">
      <c r="A903" s="77"/>
      <c r="B903" s="80"/>
      <c r="C903" s="43"/>
      <c r="D903" s="43"/>
      <c r="E903" s="43"/>
      <c r="F903" s="80"/>
      <c r="G903" s="83"/>
      <c r="H903" s="83"/>
      <c r="I903" s="4"/>
      <c r="J903" s="80" t="str">
        <f>TEXT(tblPayments[[#This Row],[Arrival]],"mmm")</f>
        <v>Jan</v>
      </c>
      <c r="K903" s="80">
        <f>MONTH(tblPayments[[#This Row],[Arrival]])</f>
        <v>1</v>
      </c>
      <c r="L903" s="80">
        <f>YEAR(tblPayments[[#This Row],[Arrival]])</f>
        <v>1900</v>
      </c>
      <c r="M903" s="80" t="str">
        <f>IF(tblPayments[[#This Row],[Balance]]=0,"Full Payment","Deposit")</f>
        <v>Full Payment</v>
      </c>
      <c r="N903" s="43"/>
      <c r="O903" s="83"/>
      <c r="P903" s="87"/>
    </row>
    <row r="904" spans="1:16" x14ac:dyDescent="0.3">
      <c r="A904" s="77"/>
      <c r="B904" s="80"/>
      <c r="C904" s="43"/>
      <c r="D904" s="43"/>
      <c r="E904" s="43"/>
      <c r="F904" s="80"/>
      <c r="G904" s="83"/>
      <c r="H904" s="83"/>
      <c r="I904" s="4"/>
      <c r="J904" s="80" t="str">
        <f>TEXT(tblPayments[[#This Row],[Arrival]],"mmm")</f>
        <v>Jan</v>
      </c>
      <c r="K904" s="80">
        <f>MONTH(tblPayments[[#This Row],[Arrival]])</f>
        <v>1</v>
      </c>
      <c r="L904" s="80">
        <f>YEAR(tblPayments[[#This Row],[Arrival]])</f>
        <v>1900</v>
      </c>
      <c r="M904" s="80" t="str">
        <f>IF(tblPayments[[#This Row],[Balance]]=0,"Full Payment","Deposit")</f>
        <v>Full Payment</v>
      </c>
      <c r="N904" s="43"/>
      <c r="O904" s="83"/>
      <c r="P904" s="87"/>
    </row>
    <row r="905" spans="1:16" x14ac:dyDescent="0.3">
      <c r="A905" s="77"/>
      <c r="B905" s="80"/>
      <c r="C905" s="43"/>
      <c r="D905" s="43"/>
      <c r="E905" s="43"/>
      <c r="F905" s="80"/>
      <c r="G905" s="83"/>
      <c r="H905" s="83"/>
      <c r="I905" s="4"/>
      <c r="J905" s="80" t="str">
        <f>TEXT(tblPayments[[#This Row],[Arrival]],"mmm")</f>
        <v>Jan</v>
      </c>
      <c r="K905" s="80">
        <f>MONTH(tblPayments[[#This Row],[Arrival]])</f>
        <v>1</v>
      </c>
      <c r="L905" s="80">
        <f>YEAR(tblPayments[[#This Row],[Arrival]])</f>
        <v>1900</v>
      </c>
      <c r="M905" s="80" t="str">
        <f>IF(tblPayments[[#This Row],[Balance]]=0,"Full Payment","Deposit")</f>
        <v>Full Payment</v>
      </c>
      <c r="N905" s="43"/>
      <c r="O905" s="83"/>
      <c r="P905" s="87"/>
    </row>
    <row r="906" spans="1:16" x14ac:dyDescent="0.3">
      <c r="A906" s="77"/>
      <c r="B906" s="80"/>
      <c r="C906" s="43"/>
      <c r="D906" s="43"/>
      <c r="E906" s="43"/>
      <c r="F906" s="80"/>
      <c r="G906" s="83"/>
      <c r="H906" s="83"/>
      <c r="I906" s="4"/>
      <c r="J906" s="80" t="str">
        <f>TEXT(tblPayments[[#This Row],[Arrival]],"mmm")</f>
        <v>Jan</v>
      </c>
      <c r="K906" s="80">
        <f>MONTH(tblPayments[[#This Row],[Arrival]])</f>
        <v>1</v>
      </c>
      <c r="L906" s="80">
        <f>YEAR(tblPayments[[#This Row],[Arrival]])</f>
        <v>1900</v>
      </c>
      <c r="M906" s="80" t="str">
        <f>IF(tblPayments[[#This Row],[Balance]]=0,"Full Payment","Deposit")</f>
        <v>Full Payment</v>
      </c>
      <c r="N906" s="43"/>
      <c r="O906" s="83"/>
      <c r="P906" s="87"/>
    </row>
    <row r="907" spans="1:16" x14ac:dyDescent="0.3">
      <c r="A907" s="77"/>
      <c r="B907" s="80"/>
      <c r="C907" s="43"/>
      <c r="D907" s="43"/>
      <c r="E907" s="43"/>
      <c r="F907" s="80"/>
      <c r="G907" s="83"/>
      <c r="H907" s="83"/>
      <c r="I907" s="4"/>
      <c r="J907" s="80" t="str">
        <f>TEXT(tblPayments[[#This Row],[Arrival]],"mmm")</f>
        <v>Jan</v>
      </c>
      <c r="K907" s="80">
        <f>MONTH(tblPayments[[#This Row],[Arrival]])</f>
        <v>1</v>
      </c>
      <c r="L907" s="80">
        <f>YEAR(tblPayments[[#This Row],[Arrival]])</f>
        <v>1900</v>
      </c>
      <c r="M907" s="80" t="str">
        <f>IF(tblPayments[[#This Row],[Balance]]=0,"Full Payment","Deposit")</f>
        <v>Full Payment</v>
      </c>
      <c r="N907" s="43"/>
      <c r="O907" s="83"/>
      <c r="P907" s="87"/>
    </row>
    <row r="908" spans="1:16" x14ac:dyDescent="0.3">
      <c r="A908" s="77"/>
      <c r="B908" s="80"/>
      <c r="C908" s="43"/>
      <c r="D908" s="43"/>
      <c r="E908" s="43"/>
      <c r="F908" s="80"/>
      <c r="G908" s="83"/>
      <c r="H908" s="83"/>
      <c r="I908" s="4"/>
      <c r="J908" s="80" t="str">
        <f>TEXT(tblPayments[[#This Row],[Arrival]],"mmm")</f>
        <v>Jan</v>
      </c>
      <c r="K908" s="80">
        <f>MONTH(tblPayments[[#This Row],[Arrival]])</f>
        <v>1</v>
      </c>
      <c r="L908" s="80">
        <f>YEAR(tblPayments[[#This Row],[Arrival]])</f>
        <v>1900</v>
      </c>
      <c r="M908" s="80" t="str">
        <f>IF(tblPayments[[#This Row],[Balance]]=0,"Full Payment","Deposit")</f>
        <v>Full Payment</v>
      </c>
      <c r="N908" s="43"/>
      <c r="O908" s="83"/>
      <c r="P908" s="87"/>
    </row>
    <row r="909" spans="1:16" x14ac:dyDescent="0.3">
      <c r="A909" s="77"/>
      <c r="B909" s="80"/>
      <c r="C909" s="43"/>
      <c r="D909" s="43"/>
      <c r="E909" s="43"/>
      <c r="F909" s="80"/>
      <c r="G909" s="83"/>
      <c r="H909" s="83"/>
      <c r="I909" s="4"/>
      <c r="J909" s="80" t="str">
        <f>TEXT(tblPayments[[#This Row],[Arrival]],"mmm")</f>
        <v>Jan</v>
      </c>
      <c r="K909" s="80">
        <f>MONTH(tblPayments[[#This Row],[Arrival]])</f>
        <v>1</v>
      </c>
      <c r="L909" s="80">
        <f>YEAR(tblPayments[[#This Row],[Arrival]])</f>
        <v>1900</v>
      </c>
      <c r="M909" s="80" t="str">
        <f>IF(tblPayments[[#This Row],[Balance]]=0,"Full Payment","Deposit")</f>
        <v>Full Payment</v>
      </c>
      <c r="N909" s="43"/>
      <c r="O909" s="83"/>
      <c r="P909" s="87"/>
    </row>
    <row r="910" spans="1:16" x14ac:dyDescent="0.3">
      <c r="A910" s="77"/>
      <c r="B910" s="80"/>
      <c r="C910" s="43"/>
      <c r="D910" s="43"/>
      <c r="E910" s="43"/>
      <c r="F910" s="80"/>
      <c r="G910" s="83"/>
      <c r="H910" s="83"/>
      <c r="I910" s="4"/>
      <c r="J910" s="80" t="str">
        <f>TEXT(tblPayments[[#This Row],[Arrival]],"mmm")</f>
        <v>Jan</v>
      </c>
      <c r="K910" s="80">
        <f>MONTH(tblPayments[[#This Row],[Arrival]])</f>
        <v>1</v>
      </c>
      <c r="L910" s="80">
        <f>YEAR(tblPayments[[#This Row],[Arrival]])</f>
        <v>1900</v>
      </c>
      <c r="M910" s="80" t="str">
        <f>IF(tblPayments[[#This Row],[Balance]]=0,"Full Payment","Deposit")</f>
        <v>Full Payment</v>
      </c>
      <c r="N910" s="43"/>
      <c r="O910" s="83"/>
      <c r="P910" s="87"/>
    </row>
    <row r="911" spans="1:16" x14ac:dyDescent="0.3">
      <c r="A911" s="77"/>
      <c r="B911" s="80"/>
      <c r="C911" s="43"/>
      <c r="D911" s="43"/>
      <c r="E911" s="43"/>
      <c r="F911" s="80"/>
      <c r="G911" s="83"/>
      <c r="H911" s="83"/>
      <c r="I911" s="4"/>
      <c r="J911" s="80" t="str">
        <f>TEXT(tblPayments[[#This Row],[Arrival]],"mmm")</f>
        <v>Jan</v>
      </c>
      <c r="K911" s="80">
        <f>MONTH(tblPayments[[#This Row],[Arrival]])</f>
        <v>1</v>
      </c>
      <c r="L911" s="80">
        <f>YEAR(tblPayments[[#This Row],[Arrival]])</f>
        <v>1900</v>
      </c>
      <c r="M911" s="80" t="str">
        <f>IF(tblPayments[[#This Row],[Balance]]=0,"Full Payment","Deposit")</f>
        <v>Full Payment</v>
      </c>
      <c r="N911" s="43"/>
      <c r="O911" s="83"/>
      <c r="P911" s="87"/>
    </row>
    <row r="912" spans="1:16" x14ac:dyDescent="0.3">
      <c r="A912" s="77"/>
      <c r="B912" s="80"/>
      <c r="C912" s="43"/>
      <c r="D912" s="43"/>
      <c r="E912" s="43"/>
      <c r="F912" s="80"/>
      <c r="G912" s="83"/>
      <c r="H912" s="83"/>
      <c r="I912" s="4"/>
      <c r="J912" s="80" t="str">
        <f>TEXT(tblPayments[[#This Row],[Arrival]],"mmm")</f>
        <v>Jan</v>
      </c>
      <c r="K912" s="80">
        <f>MONTH(tblPayments[[#This Row],[Arrival]])</f>
        <v>1</v>
      </c>
      <c r="L912" s="80">
        <f>YEAR(tblPayments[[#This Row],[Arrival]])</f>
        <v>1900</v>
      </c>
      <c r="M912" s="80" t="str">
        <f>IF(tblPayments[[#This Row],[Balance]]=0,"Full Payment","Deposit")</f>
        <v>Full Payment</v>
      </c>
      <c r="N912" s="43"/>
      <c r="O912" s="83"/>
      <c r="P912" s="87"/>
    </row>
    <row r="913" spans="1:16" x14ac:dyDescent="0.3">
      <c r="A913" s="77"/>
      <c r="B913" s="80"/>
      <c r="C913" s="43"/>
      <c r="D913" s="43"/>
      <c r="E913" s="43"/>
      <c r="F913" s="80"/>
      <c r="G913" s="83"/>
      <c r="H913" s="83"/>
      <c r="I913" s="4"/>
      <c r="J913" s="80" t="str">
        <f>TEXT(tblPayments[[#This Row],[Arrival]],"mmm")</f>
        <v>Jan</v>
      </c>
      <c r="K913" s="80">
        <f>MONTH(tblPayments[[#This Row],[Arrival]])</f>
        <v>1</v>
      </c>
      <c r="L913" s="80">
        <f>YEAR(tblPayments[[#This Row],[Arrival]])</f>
        <v>1900</v>
      </c>
      <c r="M913" s="80" t="str">
        <f>IF(tblPayments[[#This Row],[Balance]]=0,"Full Payment","Deposit")</f>
        <v>Full Payment</v>
      </c>
      <c r="N913" s="43"/>
      <c r="O913" s="83"/>
      <c r="P913" s="87"/>
    </row>
    <row r="914" spans="1:16" x14ac:dyDescent="0.3">
      <c r="A914" s="77"/>
      <c r="B914" s="80"/>
      <c r="C914" s="43"/>
      <c r="D914" s="43"/>
      <c r="E914" s="43"/>
      <c r="F914" s="80"/>
      <c r="G914" s="83"/>
      <c r="H914" s="83"/>
      <c r="I914" s="4"/>
      <c r="J914" s="80" t="str">
        <f>TEXT(tblPayments[[#This Row],[Arrival]],"mmm")</f>
        <v>Jan</v>
      </c>
      <c r="K914" s="80">
        <f>MONTH(tblPayments[[#This Row],[Arrival]])</f>
        <v>1</v>
      </c>
      <c r="L914" s="80">
        <f>YEAR(tblPayments[[#This Row],[Arrival]])</f>
        <v>1900</v>
      </c>
      <c r="M914" s="80" t="str">
        <f>IF(tblPayments[[#This Row],[Balance]]=0,"Full Payment","Deposit")</f>
        <v>Full Payment</v>
      </c>
      <c r="N914" s="43"/>
      <c r="O914" s="83"/>
      <c r="P914" s="87"/>
    </row>
    <row r="915" spans="1:16" x14ac:dyDescent="0.3">
      <c r="A915" s="77"/>
      <c r="B915" s="80"/>
      <c r="C915" s="43"/>
      <c r="D915" s="43"/>
      <c r="E915" s="43"/>
      <c r="F915" s="80"/>
      <c r="G915" s="83"/>
      <c r="H915" s="83"/>
      <c r="I915" s="4"/>
      <c r="J915" s="80" t="str">
        <f>TEXT(tblPayments[[#This Row],[Arrival]],"mmm")</f>
        <v>Jan</v>
      </c>
      <c r="K915" s="80">
        <f>MONTH(tblPayments[[#This Row],[Arrival]])</f>
        <v>1</v>
      </c>
      <c r="L915" s="80">
        <f>YEAR(tblPayments[[#This Row],[Arrival]])</f>
        <v>1900</v>
      </c>
      <c r="M915" s="80" t="str">
        <f>IF(tblPayments[[#This Row],[Balance]]=0,"Full Payment","Deposit")</f>
        <v>Full Payment</v>
      </c>
      <c r="N915" s="43"/>
      <c r="O915" s="83"/>
      <c r="P915" s="87"/>
    </row>
    <row r="916" spans="1:16" x14ac:dyDescent="0.3">
      <c r="A916" s="77"/>
      <c r="B916" s="80"/>
      <c r="C916" s="43"/>
      <c r="D916" s="43"/>
      <c r="E916" s="43"/>
      <c r="F916" s="80"/>
      <c r="G916" s="83"/>
      <c r="H916" s="83"/>
      <c r="I916" s="4"/>
      <c r="J916" s="80" t="str">
        <f>TEXT(tblPayments[[#This Row],[Arrival]],"mmm")</f>
        <v>Jan</v>
      </c>
      <c r="K916" s="80">
        <f>MONTH(tblPayments[[#This Row],[Arrival]])</f>
        <v>1</v>
      </c>
      <c r="L916" s="80">
        <f>YEAR(tblPayments[[#This Row],[Arrival]])</f>
        <v>1900</v>
      </c>
      <c r="M916" s="80" t="str">
        <f>IF(tblPayments[[#This Row],[Balance]]=0,"Full Payment","Deposit")</f>
        <v>Full Payment</v>
      </c>
      <c r="N916" s="43"/>
      <c r="O916" s="83"/>
      <c r="P916" s="87"/>
    </row>
    <row r="917" spans="1:16" x14ac:dyDescent="0.3">
      <c r="A917" s="77"/>
      <c r="B917" s="80"/>
      <c r="C917" s="43"/>
      <c r="D917" s="43"/>
      <c r="E917" s="43"/>
      <c r="F917" s="80"/>
      <c r="G917" s="83"/>
      <c r="H917" s="83"/>
      <c r="I917" s="4"/>
      <c r="J917" s="80" t="str">
        <f>TEXT(tblPayments[[#This Row],[Arrival]],"mmm")</f>
        <v>Jan</v>
      </c>
      <c r="K917" s="80">
        <f>MONTH(tblPayments[[#This Row],[Arrival]])</f>
        <v>1</v>
      </c>
      <c r="L917" s="80">
        <f>YEAR(tblPayments[[#This Row],[Arrival]])</f>
        <v>1900</v>
      </c>
      <c r="M917" s="80" t="str">
        <f>IF(tblPayments[[#This Row],[Balance]]=0,"Full Payment","Deposit")</f>
        <v>Full Payment</v>
      </c>
      <c r="N917" s="43"/>
      <c r="O917" s="83"/>
      <c r="P917" s="87"/>
    </row>
    <row r="918" spans="1:16" x14ac:dyDescent="0.3">
      <c r="A918" s="77"/>
      <c r="B918" s="80"/>
      <c r="C918" s="43"/>
      <c r="D918" s="43"/>
      <c r="E918" s="43"/>
      <c r="F918" s="80"/>
      <c r="G918" s="83"/>
      <c r="H918" s="83"/>
      <c r="I918" s="4"/>
      <c r="J918" s="80" t="str">
        <f>TEXT(tblPayments[[#This Row],[Arrival]],"mmm")</f>
        <v>Jan</v>
      </c>
      <c r="K918" s="80">
        <f>MONTH(tblPayments[[#This Row],[Arrival]])</f>
        <v>1</v>
      </c>
      <c r="L918" s="80">
        <f>YEAR(tblPayments[[#This Row],[Arrival]])</f>
        <v>1900</v>
      </c>
      <c r="M918" s="80" t="str">
        <f>IF(tblPayments[[#This Row],[Balance]]=0,"Full Payment","Deposit")</f>
        <v>Full Payment</v>
      </c>
      <c r="N918" s="43"/>
      <c r="O918" s="83"/>
      <c r="P918" s="87"/>
    </row>
    <row r="919" spans="1:16" x14ac:dyDescent="0.3">
      <c r="A919" s="77"/>
      <c r="B919" s="80"/>
      <c r="C919" s="43"/>
      <c r="D919" s="43"/>
      <c r="E919" s="43"/>
      <c r="F919" s="80"/>
      <c r="G919" s="83"/>
      <c r="H919" s="83"/>
      <c r="I919" s="4"/>
      <c r="J919" s="80" t="str">
        <f>TEXT(tblPayments[[#This Row],[Arrival]],"mmm")</f>
        <v>Jan</v>
      </c>
      <c r="K919" s="80">
        <f>MONTH(tblPayments[[#This Row],[Arrival]])</f>
        <v>1</v>
      </c>
      <c r="L919" s="80">
        <f>YEAR(tblPayments[[#This Row],[Arrival]])</f>
        <v>1900</v>
      </c>
      <c r="M919" s="80" t="str">
        <f>IF(tblPayments[[#This Row],[Balance]]=0,"Full Payment","Deposit")</f>
        <v>Full Payment</v>
      </c>
      <c r="N919" s="43"/>
      <c r="O919" s="83"/>
      <c r="P919" s="87"/>
    </row>
    <row r="920" spans="1:16" x14ac:dyDescent="0.3">
      <c r="A920" s="77"/>
      <c r="B920" s="80"/>
      <c r="C920" s="43"/>
      <c r="D920" s="43"/>
      <c r="E920" s="43"/>
      <c r="F920" s="80"/>
      <c r="G920" s="83"/>
      <c r="H920" s="83"/>
      <c r="I920" s="4"/>
      <c r="J920" s="80" t="str">
        <f>TEXT(tblPayments[[#This Row],[Arrival]],"mmm")</f>
        <v>Jan</v>
      </c>
      <c r="K920" s="80">
        <f>MONTH(tblPayments[[#This Row],[Arrival]])</f>
        <v>1</v>
      </c>
      <c r="L920" s="80">
        <f>YEAR(tblPayments[[#This Row],[Arrival]])</f>
        <v>1900</v>
      </c>
      <c r="M920" s="80" t="str">
        <f>IF(tblPayments[[#This Row],[Balance]]=0,"Full Payment","Deposit")</f>
        <v>Full Payment</v>
      </c>
      <c r="N920" s="43"/>
      <c r="O920" s="83"/>
      <c r="P920" s="87"/>
    </row>
    <row r="921" spans="1:16" x14ac:dyDescent="0.3">
      <c r="A921" s="77"/>
      <c r="B921" s="80"/>
      <c r="C921" s="43"/>
      <c r="D921" s="43"/>
      <c r="E921" s="43"/>
      <c r="F921" s="80"/>
      <c r="G921" s="83"/>
      <c r="H921" s="83"/>
      <c r="I921" s="4"/>
      <c r="J921" s="80" t="str">
        <f>TEXT(tblPayments[[#This Row],[Arrival]],"mmm")</f>
        <v>Jan</v>
      </c>
      <c r="K921" s="80">
        <f>MONTH(tblPayments[[#This Row],[Arrival]])</f>
        <v>1</v>
      </c>
      <c r="L921" s="80">
        <f>YEAR(tblPayments[[#This Row],[Arrival]])</f>
        <v>1900</v>
      </c>
      <c r="M921" s="80" t="str">
        <f>IF(tblPayments[[#This Row],[Balance]]=0,"Full Payment","Deposit")</f>
        <v>Full Payment</v>
      </c>
      <c r="N921" s="43"/>
      <c r="O921" s="83"/>
      <c r="P921" s="87"/>
    </row>
    <row r="922" spans="1:16" x14ac:dyDescent="0.3">
      <c r="A922" s="77"/>
      <c r="B922" s="80"/>
      <c r="C922" s="43"/>
      <c r="D922" s="43"/>
      <c r="E922" s="43"/>
      <c r="F922" s="80"/>
      <c r="G922" s="83"/>
      <c r="H922" s="83"/>
      <c r="I922" s="4"/>
      <c r="J922" s="80" t="str">
        <f>TEXT(tblPayments[[#This Row],[Arrival]],"mmm")</f>
        <v>Jan</v>
      </c>
      <c r="K922" s="80">
        <f>MONTH(tblPayments[[#This Row],[Arrival]])</f>
        <v>1</v>
      </c>
      <c r="L922" s="80">
        <f>YEAR(tblPayments[[#This Row],[Arrival]])</f>
        <v>1900</v>
      </c>
      <c r="M922" s="80" t="str">
        <f>IF(tblPayments[[#This Row],[Balance]]=0,"Full Payment","Deposit")</f>
        <v>Full Payment</v>
      </c>
      <c r="N922" s="43"/>
      <c r="O922" s="83"/>
      <c r="P922" s="87"/>
    </row>
    <row r="923" spans="1:16" x14ac:dyDescent="0.3">
      <c r="A923" s="77" t="s">
        <v>103</v>
      </c>
      <c r="B923" s="80" t="s">
        <v>76</v>
      </c>
      <c r="C923" s="43">
        <v>0</v>
      </c>
      <c r="D923" s="43"/>
      <c r="E923" s="43">
        <v>0</v>
      </c>
      <c r="F923" s="80" t="s">
        <v>73</v>
      </c>
      <c r="G923" s="83">
        <v>46024</v>
      </c>
      <c r="H923" s="83">
        <v>46026</v>
      </c>
      <c r="I923" s="4">
        <v>2</v>
      </c>
      <c r="J923" s="80" t="str">
        <f>TEXT(tblPayments[[#This Row],[Arrival]],"mmm")</f>
        <v>Jan</v>
      </c>
      <c r="K923" s="80">
        <f>MONTH(tblPayments[[#This Row],[Arrival]])</f>
        <v>1</v>
      </c>
      <c r="L923" s="80">
        <f>YEAR(tblPayments[[#This Row],[Arrival]])</f>
        <v>2026</v>
      </c>
      <c r="M923" s="80" t="str">
        <f>IF(tblPayments[[#This Row],[Balance]]=0,"Full Payment","Deposit")</f>
        <v>Full Payment</v>
      </c>
      <c r="N923" s="43"/>
      <c r="O923" s="83">
        <v>45972</v>
      </c>
      <c r="P923" s="87" t="s">
        <v>16</v>
      </c>
    </row>
    <row r="924" spans="1:16" x14ac:dyDescent="0.3">
      <c r="A924" s="77" t="s">
        <v>103</v>
      </c>
      <c r="B924" s="80" t="s">
        <v>76</v>
      </c>
      <c r="C924" s="43">
        <v>18133.32</v>
      </c>
      <c r="D924" s="43">
        <v>18133.32</v>
      </c>
      <c r="E924" s="43"/>
      <c r="F924" s="80" t="s">
        <v>70</v>
      </c>
      <c r="G924" s="83">
        <v>46025</v>
      </c>
      <c r="H924" s="83">
        <v>46028</v>
      </c>
      <c r="I924" s="4">
        <v>3</v>
      </c>
      <c r="J924" s="80" t="str">
        <f>TEXT(tblPayments[[#This Row],[Arrival]],"mmm")</f>
        <v>Jan</v>
      </c>
      <c r="K924" s="80">
        <f>MONTH(tblPayments[[#This Row],[Arrival]])</f>
        <v>1</v>
      </c>
      <c r="L924" s="80">
        <f>YEAR(tblPayments[[#This Row],[Arrival]])</f>
        <v>2026</v>
      </c>
      <c r="M924" s="80" t="str">
        <f>IF(tblPayments[[#This Row],[Balance]]=0,"Full Payment","Deposit")</f>
        <v>Full Payment</v>
      </c>
      <c r="N924" s="43"/>
      <c r="O924" s="83">
        <v>45974</v>
      </c>
      <c r="P924" s="87" t="s">
        <v>13</v>
      </c>
    </row>
    <row r="925" spans="1:16" x14ac:dyDescent="0.3">
      <c r="A925" s="77" t="s">
        <v>103</v>
      </c>
      <c r="B925" s="80" t="s">
        <v>77</v>
      </c>
      <c r="C925" s="43">
        <v>47826</v>
      </c>
      <c r="D925" s="43">
        <v>47826</v>
      </c>
      <c r="E925" s="43"/>
      <c r="F925" s="80" t="s">
        <v>70</v>
      </c>
      <c r="G925" s="83">
        <v>46034</v>
      </c>
      <c r="H925" s="83">
        <v>46036</v>
      </c>
      <c r="I925" s="4">
        <v>2</v>
      </c>
      <c r="J925" s="80" t="str">
        <f>TEXT(tblPayments[[#This Row],[Arrival]],"mmm")</f>
        <v>Jan</v>
      </c>
      <c r="K925" s="80">
        <f>MONTH(tblPayments[[#This Row],[Arrival]])</f>
        <v>1</v>
      </c>
      <c r="L925" s="80">
        <f>YEAR(tblPayments[[#This Row],[Arrival]])</f>
        <v>2026</v>
      </c>
      <c r="M925" s="80" t="str">
        <f>IF(tblPayments[[#This Row],[Balance]]=0,"Full Payment","Deposit")</f>
        <v>Full Payment</v>
      </c>
      <c r="N925" s="43"/>
      <c r="O925" s="83">
        <v>45976</v>
      </c>
      <c r="P925" s="87" t="s">
        <v>43</v>
      </c>
    </row>
    <row r="926" spans="1:16" x14ac:dyDescent="0.3">
      <c r="A926" s="77" t="s">
        <v>103</v>
      </c>
      <c r="B926" s="80" t="s">
        <v>77</v>
      </c>
      <c r="C926" s="43">
        <v>26896.799999999999</v>
      </c>
      <c r="D926" s="43">
        <v>6724.2</v>
      </c>
      <c r="E926" s="43">
        <v>20172.599999999999</v>
      </c>
      <c r="F926" s="80" t="s">
        <v>78</v>
      </c>
      <c r="G926" s="83">
        <v>46035</v>
      </c>
      <c r="H926" s="83">
        <v>46037</v>
      </c>
      <c r="I926" s="4">
        <v>2</v>
      </c>
      <c r="J926" s="80" t="str">
        <f>TEXT(tblPayments[[#This Row],[Arrival]],"mmm")</f>
        <v>Jan</v>
      </c>
      <c r="K926" s="80">
        <f>MONTH(tblPayments[[#This Row],[Arrival]])</f>
        <v>1</v>
      </c>
      <c r="L926" s="80">
        <f>YEAR(tblPayments[[#This Row],[Arrival]])</f>
        <v>2026</v>
      </c>
      <c r="M926" s="80" t="str">
        <f>IF(tblPayments[[#This Row],[Balance]]=0,"Full Payment","Deposit")</f>
        <v>Deposit</v>
      </c>
      <c r="N926" s="43"/>
      <c r="O926" s="83">
        <v>45957</v>
      </c>
      <c r="P926" s="87" t="s">
        <v>15</v>
      </c>
    </row>
    <row r="927" spans="1:16" x14ac:dyDescent="0.3">
      <c r="A927" s="77" t="s">
        <v>103</v>
      </c>
      <c r="B927" s="80" t="s">
        <v>77</v>
      </c>
      <c r="C927" s="43">
        <v>39274.86</v>
      </c>
      <c r="D927" s="43">
        <v>30664.86</v>
      </c>
      <c r="E927" s="43">
        <v>8610</v>
      </c>
      <c r="F927" s="80" t="s">
        <v>78</v>
      </c>
      <c r="G927" s="83">
        <v>46035</v>
      </c>
      <c r="H927" s="83">
        <v>46038</v>
      </c>
      <c r="I927" s="4">
        <v>3</v>
      </c>
      <c r="J927" s="80" t="str">
        <f>TEXT(tblPayments[[#This Row],[Arrival]],"mmm")</f>
        <v>Jan</v>
      </c>
      <c r="K927" s="80">
        <f>MONTH(tblPayments[[#This Row],[Arrival]])</f>
        <v>1</v>
      </c>
      <c r="L927" s="80">
        <f>YEAR(tblPayments[[#This Row],[Arrival]])</f>
        <v>2026</v>
      </c>
      <c r="M927" s="80" t="str">
        <f>IF(tblPayments[[#This Row],[Balance]]=0,"Full Payment","Deposit")</f>
        <v>Deposit</v>
      </c>
      <c r="N927" s="43"/>
      <c r="O927" s="83">
        <v>45963</v>
      </c>
      <c r="P927" s="87" t="s">
        <v>15</v>
      </c>
    </row>
    <row r="928" spans="1:16" x14ac:dyDescent="0.3">
      <c r="A928" s="77" t="s">
        <v>103</v>
      </c>
      <c r="B928" s="80" t="s">
        <v>77</v>
      </c>
      <c r="C928" s="43">
        <v>99261.62</v>
      </c>
      <c r="D928" s="43"/>
      <c r="E928" s="43">
        <v>99261.62</v>
      </c>
      <c r="F928" s="80" t="s">
        <v>75</v>
      </c>
      <c r="G928" s="83">
        <v>46035</v>
      </c>
      <c r="H928" s="83">
        <v>46042</v>
      </c>
      <c r="I928" s="4">
        <v>7</v>
      </c>
      <c r="J928" s="80" t="str">
        <f>TEXT(tblPayments[[#This Row],[Arrival]],"mmm")</f>
        <v>Jan</v>
      </c>
      <c r="K928" s="80">
        <f>MONTH(tblPayments[[#This Row],[Arrival]])</f>
        <v>1</v>
      </c>
      <c r="L928" s="80">
        <f>YEAR(tblPayments[[#This Row],[Arrival]])</f>
        <v>2026</v>
      </c>
      <c r="M928" s="80" t="str">
        <f>IF(tblPayments[[#This Row],[Balance]]=0,"Full Payment","Deposit")</f>
        <v>Deposit</v>
      </c>
      <c r="N928" s="43"/>
      <c r="O928" s="83">
        <v>45859</v>
      </c>
      <c r="P928" s="87" t="s">
        <v>15</v>
      </c>
    </row>
    <row r="929" spans="1:16" x14ac:dyDescent="0.3">
      <c r="A929" s="77" t="s">
        <v>103</v>
      </c>
      <c r="B929" s="80" t="s">
        <v>77</v>
      </c>
      <c r="C929" s="43">
        <v>0</v>
      </c>
      <c r="D929" s="43"/>
      <c r="E929" s="43">
        <v>0</v>
      </c>
      <c r="F929" s="80" t="s">
        <v>73</v>
      </c>
      <c r="G929" s="83">
        <v>46041</v>
      </c>
      <c r="H929" s="83">
        <v>46043</v>
      </c>
      <c r="I929" s="4">
        <v>2</v>
      </c>
      <c r="J929" s="80" t="str">
        <f>TEXT(tblPayments[[#This Row],[Arrival]],"mmm")</f>
        <v>Jan</v>
      </c>
      <c r="K929" s="80">
        <f>MONTH(tblPayments[[#This Row],[Arrival]])</f>
        <v>1</v>
      </c>
      <c r="L929" s="80">
        <f>YEAR(tblPayments[[#This Row],[Arrival]])</f>
        <v>2026</v>
      </c>
      <c r="M929" s="80" t="str">
        <f>IF(tblPayments[[#This Row],[Balance]]=0,"Full Payment","Deposit")</f>
        <v>Full Payment</v>
      </c>
      <c r="N929" s="43"/>
      <c r="O929" s="83">
        <v>45954</v>
      </c>
      <c r="P929" s="87" t="s">
        <v>31</v>
      </c>
    </row>
    <row r="930" spans="1:16" x14ac:dyDescent="0.3">
      <c r="A930" s="77" t="s">
        <v>103</v>
      </c>
      <c r="B930" s="80" t="s">
        <v>77</v>
      </c>
      <c r="C930" s="43">
        <v>62200</v>
      </c>
      <c r="D930" s="43">
        <v>62200</v>
      </c>
      <c r="E930" s="43"/>
      <c r="F930" s="80" t="s">
        <v>70</v>
      </c>
      <c r="G930" s="83">
        <v>46045</v>
      </c>
      <c r="H930" s="83">
        <v>46051</v>
      </c>
      <c r="I930" s="4">
        <v>6</v>
      </c>
      <c r="J930" s="80" t="str">
        <f>TEXT(tblPayments[[#This Row],[Arrival]],"mmm")</f>
        <v>Jan</v>
      </c>
      <c r="K930" s="80">
        <f>MONTH(tblPayments[[#This Row],[Arrival]])</f>
        <v>1</v>
      </c>
      <c r="L930" s="80">
        <f>YEAR(tblPayments[[#This Row],[Arrival]])</f>
        <v>2026</v>
      </c>
      <c r="M930" s="80" t="str">
        <f>IF(tblPayments[[#This Row],[Balance]]=0,"Full Payment","Deposit")</f>
        <v>Full Payment</v>
      </c>
      <c r="N930" s="43"/>
      <c r="O930" s="83">
        <v>45588</v>
      </c>
      <c r="P930" s="87" t="s">
        <v>15</v>
      </c>
    </row>
    <row r="931" spans="1:16" x14ac:dyDescent="0.3">
      <c r="A931" s="77" t="s">
        <v>103</v>
      </c>
      <c r="B931" s="80" t="s">
        <v>77</v>
      </c>
      <c r="C931" s="43"/>
      <c r="D931" s="43"/>
      <c r="E931" s="43"/>
      <c r="F931" s="80" t="s">
        <v>73</v>
      </c>
      <c r="G931" s="83">
        <v>46047</v>
      </c>
      <c r="H931" s="83">
        <v>46050</v>
      </c>
      <c r="I931" s="4"/>
      <c r="J931" s="80" t="str">
        <f>TEXT(tblPayments[[#This Row],[Arrival]],"mmm")</f>
        <v>Jan</v>
      </c>
      <c r="K931" s="80">
        <f>MONTH(tblPayments[[#This Row],[Arrival]])</f>
        <v>1</v>
      </c>
      <c r="L931" s="80">
        <f>YEAR(tblPayments[[#This Row],[Arrival]])</f>
        <v>2026</v>
      </c>
      <c r="M931" s="80" t="str">
        <f>IF(tblPayments[[#This Row],[Balance]]=0,"Full Payment","Deposit")</f>
        <v>Full Payment</v>
      </c>
      <c r="N931" s="43"/>
      <c r="O931" s="83"/>
      <c r="P931" s="87"/>
    </row>
    <row r="932" spans="1:16" x14ac:dyDescent="0.3">
      <c r="A932" s="77" t="s">
        <v>103</v>
      </c>
      <c r="B932" s="80" t="s">
        <v>77</v>
      </c>
      <c r="C932" s="43">
        <v>50914</v>
      </c>
      <c r="D932" s="43"/>
      <c r="E932" s="43">
        <v>50914</v>
      </c>
      <c r="F932" s="80" t="s">
        <v>75</v>
      </c>
      <c r="G932" s="83">
        <v>46048</v>
      </c>
      <c r="H932" s="83">
        <v>46050</v>
      </c>
      <c r="I932" s="4">
        <v>2</v>
      </c>
      <c r="J932" s="80" t="str">
        <f>TEXT(tblPayments[[#This Row],[Arrival]],"mmm")</f>
        <v>Jan</v>
      </c>
      <c r="K932" s="80">
        <f>MONTH(tblPayments[[#This Row],[Arrival]])</f>
        <v>1</v>
      </c>
      <c r="L932" s="80">
        <f>YEAR(tblPayments[[#This Row],[Arrival]])</f>
        <v>2026</v>
      </c>
      <c r="M932" s="80" t="str">
        <f>IF(tblPayments[[#This Row],[Balance]]=0,"Full Payment","Deposit")</f>
        <v>Deposit</v>
      </c>
      <c r="N932" s="43"/>
      <c r="O932" s="83">
        <v>45748</v>
      </c>
      <c r="P932" s="87" t="s">
        <v>14</v>
      </c>
    </row>
    <row r="933" spans="1:16" x14ac:dyDescent="0.3">
      <c r="A933" s="77" t="s">
        <v>103</v>
      </c>
      <c r="B933" s="80" t="s">
        <v>77</v>
      </c>
      <c r="C933" s="43">
        <v>33377.370000000003</v>
      </c>
      <c r="D933" s="43"/>
      <c r="E933" s="43">
        <v>33377.370000000003</v>
      </c>
      <c r="F933" s="80" t="s">
        <v>75</v>
      </c>
      <c r="G933" s="83">
        <v>46050</v>
      </c>
      <c r="H933" s="83">
        <v>46053</v>
      </c>
      <c r="I933" s="4">
        <v>3</v>
      </c>
      <c r="J933" s="80" t="str">
        <f>TEXT(tblPayments[[#This Row],[Arrival]],"mmm")</f>
        <v>Jan</v>
      </c>
      <c r="K933" s="80">
        <f>MONTH(tblPayments[[#This Row],[Arrival]])</f>
        <v>1</v>
      </c>
      <c r="L933" s="80">
        <f>YEAR(tblPayments[[#This Row],[Arrival]])</f>
        <v>2026</v>
      </c>
      <c r="M933" s="80" t="str">
        <f>IF(tblPayments[[#This Row],[Balance]]=0,"Full Payment","Deposit")</f>
        <v>Deposit</v>
      </c>
      <c r="N933" s="43"/>
      <c r="O933" s="83">
        <v>45988</v>
      </c>
      <c r="P933" s="87" t="s">
        <v>15</v>
      </c>
    </row>
    <row r="934" spans="1:16" x14ac:dyDescent="0.3">
      <c r="A934" s="77" t="s">
        <v>103</v>
      </c>
      <c r="B934" s="80" t="s">
        <v>77</v>
      </c>
      <c r="C934" s="43">
        <v>26559.98</v>
      </c>
      <c r="D934" s="43">
        <v>26559.98</v>
      </c>
      <c r="E934" s="43"/>
      <c r="F934" s="80" t="s">
        <v>70</v>
      </c>
      <c r="G934" s="83">
        <v>46052</v>
      </c>
      <c r="H934" s="83">
        <v>46059</v>
      </c>
      <c r="I934" s="4">
        <v>7</v>
      </c>
      <c r="J934" s="80" t="str">
        <f>TEXT(tblPayments[[#This Row],[Arrival]],"mmm")</f>
        <v>Jan</v>
      </c>
      <c r="K934" s="80">
        <f>MONTH(tblPayments[[#This Row],[Arrival]])</f>
        <v>1</v>
      </c>
      <c r="L934" s="80">
        <f>YEAR(tblPayments[[#This Row],[Arrival]])</f>
        <v>2026</v>
      </c>
      <c r="M934" s="80" t="str">
        <f>IF(tblPayments[[#This Row],[Balance]]=0,"Full Payment","Deposit")</f>
        <v>Full Payment</v>
      </c>
      <c r="N934" s="43"/>
      <c r="O934" s="83">
        <v>45803</v>
      </c>
      <c r="P934" s="87" t="s">
        <v>1</v>
      </c>
    </row>
    <row r="935" spans="1:16" x14ac:dyDescent="0.3">
      <c r="A935" s="77" t="s">
        <v>103</v>
      </c>
      <c r="B935" s="80" t="s">
        <v>77</v>
      </c>
      <c r="C935" s="43">
        <v>3942</v>
      </c>
      <c r="D935" s="43"/>
      <c r="E935" s="43">
        <v>3942</v>
      </c>
      <c r="F935" s="80" t="s">
        <v>75</v>
      </c>
      <c r="G935" s="83">
        <v>46052</v>
      </c>
      <c r="H935" s="83">
        <v>46054</v>
      </c>
      <c r="I935" s="4">
        <v>2</v>
      </c>
      <c r="J935" s="80" t="str">
        <f>TEXT(tblPayments[[#This Row],[Arrival]],"mmm")</f>
        <v>Jan</v>
      </c>
      <c r="K935" s="80">
        <f>MONTH(tblPayments[[#This Row],[Arrival]])</f>
        <v>1</v>
      </c>
      <c r="L935" s="80">
        <f>YEAR(tblPayments[[#This Row],[Arrival]])</f>
        <v>2026</v>
      </c>
      <c r="M935" s="80" t="str">
        <f>IF(tblPayments[[#This Row],[Balance]]=0,"Full Payment","Deposit")</f>
        <v>Deposit</v>
      </c>
      <c r="N935" s="43"/>
      <c r="O935" s="83">
        <v>45939</v>
      </c>
      <c r="P935" s="87" t="s">
        <v>13</v>
      </c>
    </row>
    <row r="936" spans="1:16" x14ac:dyDescent="0.3">
      <c r="A936" s="77" t="s">
        <v>103</v>
      </c>
      <c r="B936" s="80" t="s">
        <v>77</v>
      </c>
      <c r="C936" s="43">
        <v>77770.06</v>
      </c>
      <c r="D936" s="43">
        <v>15692.64</v>
      </c>
      <c r="E936" s="43">
        <v>62077.42</v>
      </c>
      <c r="F936" s="80" t="s">
        <v>78</v>
      </c>
      <c r="G936" s="83">
        <v>46057</v>
      </c>
      <c r="H936" s="83">
        <v>46065</v>
      </c>
      <c r="I936" s="4">
        <v>8</v>
      </c>
      <c r="J936" s="80" t="str">
        <f>TEXT(tblPayments[[#This Row],[Arrival]],"mmm")</f>
        <v>Feb</v>
      </c>
      <c r="K936" s="80">
        <f>MONTH(tblPayments[[#This Row],[Arrival]])</f>
        <v>2</v>
      </c>
      <c r="L936" s="80">
        <f>YEAR(tblPayments[[#This Row],[Arrival]])</f>
        <v>2026</v>
      </c>
      <c r="M936" s="80" t="str">
        <f>IF(tblPayments[[#This Row],[Balance]]=0,"Full Payment","Deposit")</f>
        <v>Deposit</v>
      </c>
      <c r="N936" s="43"/>
      <c r="O936" s="83">
        <v>45812</v>
      </c>
      <c r="P936" s="87" t="s">
        <v>15</v>
      </c>
    </row>
    <row r="937" spans="1:16" x14ac:dyDescent="0.3">
      <c r="A937" s="77" t="s">
        <v>103</v>
      </c>
      <c r="B937" s="80" t="s">
        <v>77</v>
      </c>
      <c r="C937" s="43">
        <v>575</v>
      </c>
      <c r="D937" s="43"/>
      <c r="E937" s="43">
        <v>575</v>
      </c>
      <c r="F937" s="80" t="s">
        <v>82</v>
      </c>
      <c r="G937" s="83">
        <v>46059</v>
      </c>
      <c r="H937" s="83">
        <v>46061</v>
      </c>
      <c r="I937" s="4">
        <v>2</v>
      </c>
      <c r="J937" s="80" t="str">
        <f>TEXT(tblPayments[[#This Row],[Arrival]],"mmm")</f>
        <v>Feb</v>
      </c>
      <c r="K937" s="80">
        <f>MONTH(tblPayments[[#This Row],[Arrival]])</f>
        <v>2</v>
      </c>
      <c r="L937" s="80">
        <f>YEAR(tblPayments[[#This Row],[Arrival]])</f>
        <v>2026</v>
      </c>
      <c r="M937" s="80" t="str">
        <f>IF(tblPayments[[#This Row],[Balance]]=0,"Full Payment","Deposit")</f>
        <v>Deposit</v>
      </c>
      <c r="N937" s="43"/>
      <c r="O937" s="83">
        <v>45869</v>
      </c>
      <c r="P937" s="87" t="s">
        <v>1</v>
      </c>
    </row>
    <row r="938" spans="1:16" x14ac:dyDescent="0.3">
      <c r="A938" s="77" t="s">
        <v>103</v>
      </c>
      <c r="B938" s="80" t="s">
        <v>77</v>
      </c>
      <c r="C938" s="43">
        <v>18948</v>
      </c>
      <c r="D938" s="43">
        <v>5684.4</v>
      </c>
      <c r="E938" s="43">
        <v>13263.6</v>
      </c>
      <c r="F938" s="80" t="s">
        <v>78</v>
      </c>
      <c r="G938" s="83">
        <v>46063</v>
      </c>
      <c r="H938" s="83">
        <v>46065</v>
      </c>
      <c r="I938" s="4">
        <v>2</v>
      </c>
      <c r="J938" s="80" t="str">
        <f>TEXT(tblPayments[[#This Row],[Arrival]],"mmm")</f>
        <v>Feb</v>
      </c>
      <c r="K938" s="80">
        <f>MONTH(tblPayments[[#This Row],[Arrival]])</f>
        <v>2</v>
      </c>
      <c r="L938" s="80">
        <f>YEAR(tblPayments[[#This Row],[Arrival]])</f>
        <v>2026</v>
      </c>
      <c r="M938" s="80" t="str">
        <f>IF(tblPayments[[#This Row],[Balance]]=0,"Full Payment","Deposit")</f>
        <v>Deposit</v>
      </c>
      <c r="N938" s="43"/>
      <c r="O938" s="83">
        <v>45951</v>
      </c>
      <c r="P938" s="87" t="s">
        <v>26</v>
      </c>
    </row>
    <row r="939" spans="1:16" x14ac:dyDescent="0.3">
      <c r="A939" s="77" t="s">
        <v>103</v>
      </c>
      <c r="B939" s="80" t="s">
        <v>77</v>
      </c>
      <c r="C939" s="43">
        <v>0</v>
      </c>
      <c r="D939" s="43"/>
      <c r="E939" s="43">
        <v>0</v>
      </c>
      <c r="F939" s="80" t="s">
        <v>73</v>
      </c>
      <c r="G939" s="83">
        <v>46067</v>
      </c>
      <c r="H939" s="83">
        <v>46070</v>
      </c>
      <c r="I939" s="4">
        <v>3</v>
      </c>
      <c r="J939" s="80" t="str">
        <f>TEXT(tblPayments[[#This Row],[Arrival]],"mmm")</f>
        <v>Feb</v>
      </c>
      <c r="K939" s="80">
        <f>MONTH(tblPayments[[#This Row],[Arrival]])</f>
        <v>2</v>
      </c>
      <c r="L939" s="80">
        <f>YEAR(tblPayments[[#This Row],[Arrival]])</f>
        <v>2026</v>
      </c>
      <c r="M939" s="80" t="str">
        <f>IF(tblPayments[[#This Row],[Balance]]=0,"Full Payment","Deposit")</f>
        <v>Full Payment</v>
      </c>
      <c r="N939" s="43"/>
      <c r="O939" s="83">
        <v>45989</v>
      </c>
      <c r="P939" s="87" t="s">
        <v>2</v>
      </c>
    </row>
    <row r="940" spans="1:16" x14ac:dyDescent="0.3">
      <c r="A940" s="77" t="s">
        <v>103</v>
      </c>
      <c r="B940" s="80" t="s">
        <v>77</v>
      </c>
      <c r="C940" s="43">
        <v>21328.5</v>
      </c>
      <c r="D940" s="43"/>
      <c r="E940" s="43">
        <v>21328.5</v>
      </c>
      <c r="F940" s="80" t="s">
        <v>75</v>
      </c>
      <c r="G940" s="83">
        <v>46067</v>
      </c>
      <c r="H940" s="83">
        <v>46070</v>
      </c>
      <c r="I940" s="4">
        <v>3</v>
      </c>
      <c r="J940" s="80" t="str">
        <f>TEXT(tblPayments[[#This Row],[Arrival]],"mmm")</f>
        <v>Feb</v>
      </c>
      <c r="K940" s="80">
        <f>MONTH(tblPayments[[#This Row],[Arrival]])</f>
        <v>2</v>
      </c>
      <c r="L940" s="80">
        <f>YEAR(tblPayments[[#This Row],[Arrival]])</f>
        <v>2026</v>
      </c>
      <c r="M940" s="80" t="str">
        <f>IF(tblPayments[[#This Row],[Balance]]=0,"Full Payment","Deposit")</f>
        <v>Deposit</v>
      </c>
      <c r="N940" s="43"/>
      <c r="O940" s="83">
        <v>45446</v>
      </c>
      <c r="P940" s="87" t="s">
        <v>2</v>
      </c>
    </row>
    <row r="941" spans="1:16" x14ac:dyDescent="0.3">
      <c r="A941" s="77" t="s">
        <v>103</v>
      </c>
      <c r="B941" s="80" t="s">
        <v>77</v>
      </c>
      <c r="C941" s="43">
        <v>15001.26</v>
      </c>
      <c r="D941" s="43"/>
      <c r="E941" s="43">
        <v>15001.26</v>
      </c>
      <c r="F941" s="80" t="s">
        <v>75</v>
      </c>
      <c r="G941" s="83">
        <v>46068</v>
      </c>
      <c r="H941" s="83">
        <v>46070</v>
      </c>
      <c r="I941" s="4">
        <v>2</v>
      </c>
      <c r="J941" s="80" t="str">
        <f>TEXT(tblPayments[[#This Row],[Arrival]],"mmm")</f>
        <v>Feb</v>
      </c>
      <c r="K941" s="80">
        <f>MONTH(tblPayments[[#This Row],[Arrival]])</f>
        <v>2</v>
      </c>
      <c r="L941" s="80">
        <f>YEAR(tblPayments[[#This Row],[Arrival]])</f>
        <v>2026</v>
      </c>
      <c r="M941" s="80" t="str">
        <f>IF(tblPayments[[#This Row],[Balance]]=0,"Full Payment","Deposit")</f>
        <v>Deposit</v>
      </c>
      <c r="N941" s="43"/>
      <c r="O941" s="83">
        <v>45885</v>
      </c>
      <c r="P941" s="87" t="s">
        <v>15</v>
      </c>
    </row>
    <row r="942" spans="1:16" x14ac:dyDescent="0.3">
      <c r="A942" s="77" t="s">
        <v>103</v>
      </c>
      <c r="B942" s="80" t="s">
        <v>77</v>
      </c>
      <c r="C942" s="43">
        <v>36994</v>
      </c>
      <c r="D942" s="43">
        <v>9248.5</v>
      </c>
      <c r="E942" s="43">
        <v>27745.5</v>
      </c>
      <c r="F942" s="80" t="s">
        <v>78</v>
      </c>
      <c r="G942" s="83">
        <v>46068</v>
      </c>
      <c r="H942" s="83">
        <v>46072</v>
      </c>
      <c r="I942" s="4">
        <v>4</v>
      </c>
      <c r="J942" s="80" t="str">
        <f>TEXT(tblPayments[[#This Row],[Arrival]],"mmm")</f>
        <v>Feb</v>
      </c>
      <c r="K942" s="80">
        <f>MONTH(tblPayments[[#This Row],[Arrival]])</f>
        <v>2</v>
      </c>
      <c r="L942" s="80">
        <f>YEAR(tblPayments[[#This Row],[Arrival]])</f>
        <v>2026</v>
      </c>
      <c r="M942" s="80" t="str">
        <f>IF(tblPayments[[#This Row],[Balance]]=0,"Full Payment","Deposit")</f>
        <v>Deposit</v>
      </c>
      <c r="N942" s="43"/>
      <c r="O942" s="83">
        <v>45967</v>
      </c>
      <c r="P942" s="87" t="s">
        <v>31</v>
      </c>
    </row>
    <row r="943" spans="1:16" x14ac:dyDescent="0.3">
      <c r="A943" s="77" t="s">
        <v>103</v>
      </c>
      <c r="B943" s="80" t="s">
        <v>77</v>
      </c>
      <c r="C943" s="43">
        <v>0</v>
      </c>
      <c r="D943" s="43"/>
      <c r="E943" s="43">
        <v>0</v>
      </c>
      <c r="F943" s="80" t="s">
        <v>73</v>
      </c>
      <c r="G943" s="83">
        <v>46071</v>
      </c>
      <c r="H943" s="83">
        <v>46073</v>
      </c>
      <c r="I943" s="4">
        <v>2</v>
      </c>
      <c r="J943" s="80" t="str">
        <f>TEXT(tblPayments[[#This Row],[Arrival]],"mmm")</f>
        <v>Feb</v>
      </c>
      <c r="K943" s="80">
        <f>MONTH(tblPayments[[#This Row],[Arrival]])</f>
        <v>2</v>
      </c>
      <c r="L943" s="80">
        <f>YEAR(tblPayments[[#This Row],[Arrival]])</f>
        <v>2026</v>
      </c>
      <c r="M943" s="80" t="str">
        <f>IF(tblPayments[[#This Row],[Balance]]=0,"Full Payment","Deposit")</f>
        <v>Full Payment</v>
      </c>
      <c r="N943" s="43"/>
      <c r="O943" s="83">
        <v>46001</v>
      </c>
      <c r="P943" s="87" t="s">
        <v>43</v>
      </c>
    </row>
    <row r="944" spans="1:16" x14ac:dyDescent="0.3">
      <c r="A944" s="77" t="s">
        <v>103</v>
      </c>
      <c r="B944" s="80" t="s">
        <v>77</v>
      </c>
      <c r="C944" s="43">
        <v>45555</v>
      </c>
      <c r="D944" s="43">
        <v>45555</v>
      </c>
      <c r="E944" s="43"/>
      <c r="F944" s="80" t="s">
        <v>70</v>
      </c>
      <c r="G944" s="83">
        <v>46071</v>
      </c>
      <c r="H944" s="83">
        <v>46076</v>
      </c>
      <c r="I944" s="4">
        <v>5</v>
      </c>
      <c r="J944" s="80" t="str">
        <f>TEXT(tblPayments[[#This Row],[Arrival]],"mmm")</f>
        <v>Feb</v>
      </c>
      <c r="K944" s="80">
        <f>MONTH(tblPayments[[#This Row],[Arrival]])</f>
        <v>2</v>
      </c>
      <c r="L944" s="80">
        <f>YEAR(tblPayments[[#This Row],[Arrival]])</f>
        <v>2026</v>
      </c>
      <c r="M944" s="80" t="str">
        <f>IF(tblPayments[[#This Row],[Balance]]=0,"Full Payment","Deposit")</f>
        <v>Full Payment</v>
      </c>
      <c r="N944" s="43"/>
      <c r="O944" s="83">
        <v>45972</v>
      </c>
      <c r="P944" s="87" t="s">
        <v>16</v>
      </c>
    </row>
    <row r="945" spans="1:16" x14ac:dyDescent="0.3">
      <c r="A945" s="77" t="s">
        <v>103</v>
      </c>
      <c r="B945" s="80" t="s">
        <v>77</v>
      </c>
      <c r="C945" s="43">
        <v>35046</v>
      </c>
      <c r="D945" s="43"/>
      <c r="E945" s="43">
        <v>35046</v>
      </c>
      <c r="F945" s="80" t="s">
        <v>75</v>
      </c>
      <c r="G945" s="83">
        <v>46071</v>
      </c>
      <c r="H945" s="83">
        <v>46075</v>
      </c>
      <c r="I945" s="4">
        <v>4</v>
      </c>
      <c r="J945" s="80" t="str">
        <f>TEXT(tblPayments[[#This Row],[Arrival]],"mmm")</f>
        <v>Feb</v>
      </c>
      <c r="K945" s="80">
        <f>MONTH(tblPayments[[#This Row],[Arrival]])</f>
        <v>2</v>
      </c>
      <c r="L945" s="80">
        <f>YEAR(tblPayments[[#This Row],[Arrival]])</f>
        <v>2026</v>
      </c>
      <c r="M945" s="80" t="str">
        <f>IF(tblPayments[[#This Row],[Balance]]=0,"Full Payment","Deposit")</f>
        <v>Deposit</v>
      </c>
      <c r="N945" s="43"/>
      <c r="O945" s="83">
        <v>45989</v>
      </c>
      <c r="P945" s="87" t="s">
        <v>31</v>
      </c>
    </row>
    <row r="946" spans="1:16" x14ac:dyDescent="0.3">
      <c r="A946" s="77" t="s">
        <v>103</v>
      </c>
      <c r="B946" s="80" t="s">
        <v>77</v>
      </c>
      <c r="C946" s="43">
        <v>3900</v>
      </c>
      <c r="D946" s="43">
        <v>3900</v>
      </c>
      <c r="E946" s="43"/>
      <c r="F946" s="80" t="s">
        <v>70</v>
      </c>
      <c r="G946" s="83">
        <v>46072</v>
      </c>
      <c r="H946" s="83">
        <v>46073</v>
      </c>
      <c r="I946" s="4">
        <v>1</v>
      </c>
      <c r="J946" s="80" t="str">
        <f>TEXT(tblPayments[[#This Row],[Arrival]],"mmm")</f>
        <v>Feb</v>
      </c>
      <c r="K946" s="80">
        <f>MONTH(tblPayments[[#This Row],[Arrival]])</f>
        <v>2</v>
      </c>
      <c r="L946" s="80">
        <f>YEAR(tblPayments[[#This Row],[Arrival]])</f>
        <v>2026</v>
      </c>
      <c r="M946" s="80" t="str">
        <f>IF(tblPayments[[#This Row],[Balance]]=0,"Full Payment","Deposit")</f>
        <v>Full Payment</v>
      </c>
      <c r="N946" s="43"/>
      <c r="O946" s="83">
        <v>45883</v>
      </c>
      <c r="P946" s="87" t="s">
        <v>31</v>
      </c>
    </row>
    <row r="947" spans="1:16" x14ac:dyDescent="0.3">
      <c r="A947" s="77" t="s">
        <v>103</v>
      </c>
      <c r="B947" s="80" t="s">
        <v>77</v>
      </c>
      <c r="C947" s="43">
        <v>334000.03999999998</v>
      </c>
      <c r="D947" s="43">
        <v>334000.03999999998</v>
      </c>
      <c r="E947" s="43"/>
      <c r="F947" s="80" t="s">
        <v>70</v>
      </c>
      <c r="G947" s="83">
        <v>46077</v>
      </c>
      <c r="H947" s="83">
        <v>46091</v>
      </c>
      <c r="I947" s="4">
        <v>14</v>
      </c>
      <c r="J947" s="80" t="str">
        <f>TEXT(tblPayments[[#This Row],[Arrival]],"mmm")</f>
        <v>Feb</v>
      </c>
      <c r="K947" s="80">
        <f>MONTH(tblPayments[[#This Row],[Arrival]])</f>
        <v>2</v>
      </c>
      <c r="L947" s="80">
        <f>YEAR(tblPayments[[#This Row],[Arrival]])</f>
        <v>2026</v>
      </c>
      <c r="M947" s="80" t="str">
        <f>IF(tblPayments[[#This Row],[Balance]]=0,"Full Payment","Deposit")</f>
        <v>Full Payment</v>
      </c>
      <c r="N947" s="43"/>
      <c r="O947" s="83">
        <v>45939</v>
      </c>
      <c r="P947" s="87" t="s">
        <v>16</v>
      </c>
    </row>
    <row r="948" spans="1:16" x14ac:dyDescent="0.3">
      <c r="A948" s="77" t="s">
        <v>103</v>
      </c>
      <c r="B948" s="80" t="s">
        <v>77</v>
      </c>
      <c r="C948" s="43">
        <v>1150</v>
      </c>
      <c r="D948" s="43"/>
      <c r="E948" s="43">
        <v>1150</v>
      </c>
      <c r="F948" s="80" t="s">
        <v>75</v>
      </c>
      <c r="G948" s="83">
        <v>46086</v>
      </c>
      <c r="H948" s="83">
        <v>46087</v>
      </c>
      <c r="I948" s="4">
        <v>1</v>
      </c>
      <c r="J948" s="80" t="str">
        <f>TEXT(tblPayments[[#This Row],[Arrival]],"mmm")</f>
        <v>Mar</v>
      </c>
      <c r="K948" s="80">
        <f>MONTH(tblPayments[[#This Row],[Arrival]])</f>
        <v>3</v>
      </c>
      <c r="L948" s="80">
        <f>YEAR(tblPayments[[#This Row],[Arrival]])</f>
        <v>2026</v>
      </c>
      <c r="M948" s="80" t="str">
        <f>IF(tblPayments[[#This Row],[Balance]]=0,"Full Payment","Deposit")</f>
        <v>Deposit</v>
      </c>
      <c r="N948" s="43"/>
      <c r="O948" s="83">
        <v>45717</v>
      </c>
      <c r="P948" s="87" t="s">
        <v>2</v>
      </c>
    </row>
    <row r="949" spans="1:16" x14ac:dyDescent="0.3">
      <c r="A949" s="77" t="s">
        <v>103</v>
      </c>
      <c r="B949" s="80" t="s">
        <v>77</v>
      </c>
      <c r="C949" s="43">
        <v>28270</v>
      </c>
      <c r="D949" s="43"/>
      <c r="E949" s="43">
        <v>28270</v>
      </c>
      <c r="F949" s="80" t="s">
        <v>75</v>
      </c>
      <c r="G949" s="83">
        <v>46087</v>
      </c>
      <c r="H949" s="83">
        <v>46092</v>
      </c>
      <c r="I949" s="4">
        <v>5</v>
      </c>
      <c r="J949" s="80" t="str">
        <f>TEXT(tblPayments[[#This Row],[Arrival]],"mmm")</f>
        <v>Mar</v>
      </c>
      <c r="K949" s="80">
        <f>MONTH(tblPayments[[#This Row],[Arrival]])</f>
        <v>3</v>
      </c>
      <c r="L949" s="80">
        <f>YEAR(tblPayments[[#This Row],[Arrival]])</f>
        <v>2026</v>
      </c>
      <c r="M949" s="80" t="str">
        <f>IF(tblPayments[[#This Row],[Balance]]=0,"Full Payment","Deposit")</f>
        <v>Deposit</v>
      </c>
      <c r="N949" s="43"/>
      <c r="O949" s="83">
        <v>45877</v>
      </c>
      <c r="P949" s="87" t="s">
        <v>13</v>
      </c>
    </row>
    <row r="950" spans="1:16" x14ac:dyDescent="0.3">
      <c r="A950" s="77" t="s">
        <v>103</v>
      </c>
      <c r="B950" s="80" t="s">
        <v>77</v>
      </c>
      <c r="C950" s="43">
        <v>56549.5</v>
      </c>
      <c r="D950" s="43"/>
      <c r="E950" s="43">
        <v>56549.5</v>
      </c>
      <c r="F950" s="80" t="s">
        <v>75</v>
      </c>
      <c r="G950" s="83">
        <v>46089</v>
      </c>
      <c r="H950" s="83">
        <v>46096</v>
      </c>
      <c r="I950" s="4">
        <v>7</v>
      </c>
      <c r="J950" s="80" t="str">
        <f>TEXT(tblPayments[[#This Row],[Arrival]],"mmm")</f>
        <v>Mar</v>
      </c>
      <c r="K950" s="80">
        <f>MONTH(tblPayments[[#This Row],[Arrival]])</f>
        <v>3</v>
      </c>
      <c r="L950" s="80">
        <f>YEAR(tblPayments[[#This Row],[Arrival]])</f>
        <v>2026</v>
      </c>
      <c r="M950" s="80" t="str">
        <f>IF(tblPayments[[#This Row],[Balance]]=0,"Full Payment","Deposit")</f>
        <v>Deposit</v>
      </c>
      <c r="N950" s="43"/>
      <c r="O950" s="83">
        <v>45987</v>
      </c>
      <c r="P950" s="87" t="s">
        <v>17</v>
      </c>
    </row>
    <row r="951" spans="1:16" x14ac:dyDescent="0.3">
      <c r="A951" s="77" t="s">
        <v>103</v>
      </c>
      <c r="B951" s="80" t="s">
        <v>77</v>
      </c>
      <c r="C951" s="43">
        <v>136903.07</v>
      </c>
      <c r="D951" s="43">
        <v>136903.07</v>
      </c>
      <c r="E951" s="43"/>
      <c r="F951" s="80" t="s">
        <v>70</v>
      </c>
      <c r="G951" s="83">
        <v>46096</v>
      </c>
      <c r="H951" s="83">
        <v>46110</v>
      </c>
      <c r="I951" s="4">
        <v>14</v>
      </c>
      <c r="J951" s="80" t="str">
        <f>TEXT(tblPayments[[#This Row],[Arrival]],"mmm")</f>
        <v>Mar</v>
      </c>
      <c r="K951" s="80">
        <f>MONTH(tblPayments[[#This Row],[Arrival]])</f>
        <v>3</v>
      </c>
      <c r="L951" s="80">
        <f>YEAR(tblPayments[[#This Row],[Arrival]])</f>
        <v>2026</v>
      </c>
      <c r="M951" s="80" t="str">
        <f>IF(tblPayments[[#This Row],[Balance]]=0,"Full Payment","Deposit")</f>
        <v>Full Payment</v>
      </c>
      <c r="N951" s="43"/>
      <c r="O951" s="83">
        <v>45761</v>
      </c>
      <c r="P951" s="87" t="s">
        <v>13</v>
      </c>
    </row>
    <row r="952" spans="1:16" x14ac:dyDescent="0.3">
      <c r="A952" s="77" t="s">
        <v>103</v>
      </c>
      <c r="B952" s="80" t="s">
        <v>77</v>
      </c>
      <c r="C952" s="43">
        <v>56091</v>
      </c>
      <c r="D952" s="43"/>
      <c r="E952" s="43">
        <v>56091</v>
      </c>
      <c r="F952" s="80" t="s">
        <v>75</v>
      </c>
      <c r="G952" s="83">
        <v>46097</v>
      </c>
      <c r="H952" s="83">
        <v>46106</v>
      </c>
      <c r="I952" s="4">
        <v>9</v>
      </c>
      <c r="J952" s="80" t="str">
        <f>TEXT(tblPayments[[#This Row],[Arrival]],"mmm")</f>
        <v>Mar</v>
      </c>
      <c r="K952" s="80">
        <f>MONTH(tblPayments[[#This Row],[Arrival]])</f>
        <v>3</v>
      </c>
      <c r="L952" s="80">
        <f>YEAR(tblPayments[[#This Row],[Arrival]])</f>
        <v>2026</v>
      </c>
      <c r="M952" s="80" t="str">
        <f>IF(tblPayments[[#This Row],[Balance]]=0,"Full Payment","Deposit")</f>
        <v>Deposit</v>
      </c>
      <c r="N952" s="43"/>
      <c r="O952" s="83">
        <v>45828</v>
      </c>
      <c r="P952" s="87" t="s">
        <v>13</v>
      </c>
    </row>
    <row r="953" spans="1:16" x14ac:dyDescent="0.3">
      <c r="A953" s="77" t="s">
        <v>103</v>
      </c>
      <c r="B953" s="80" t="s">
        <v>77</v>
      </c>
      <c r="C953" s="43">
        <v>0</v>
      </c>
      <c r="D953" s="43"/>
      <c r="E953" s="43">
        <v>0</v>
      </c>
      <c r="F953" s="80" t="s">
        <v>73</v>
      </c>
      <c r="G953" s="83">
        <v>46098</v>
      </c>
      <c r="H953" s="83">
        <v>46100</v>
      </c>
      <c r="I953" s="4">
        <v>2</v>
      </c>
      <c r="J953" s="80" t="str">
        <f>TEXT(tblPayments[[#This Row],[Arrival]],"mmm")</f>
        <v>Mar</v>
      </c>
      <c r="K953" s="80">
        <f>MONTH(tblPayments[[#This Row],[Arrival]])</f>
        <v>3</v>
      </c>
      <c r="L953" s="80">
        <f>YEAR(tblPayments[[#This Row],[Arrival]])</f>
        <v>2026</v>
      </c>
      <c r="M953" s="80" t="str">
        <f>IF(tblPayments[[#This Row],[Balance]]=0,"Full Payment","Deposit")</f>
        <v>Full Payment</v>
      </c>
      <c r="N953" s="43"/>
      <c r="O953" s="83">
        <v>45799</v>
      </c>
      <c r="P953" s="87" t="s">
        <v>15</v>
      </c>
    </row>
    <row r="954" spans="1:16" x14ac:dyDescent="0.3">
      <c r="A954" s="77" t="s">
        <v>103</v>
      </c>
      <c r="B954" s="80" t="s">
        <v>77</v>
      </c>
      <c r="C954" s="43">
        <v>0</v>
      </c>
      <c r="D954" s="43"/>
      <c r="E954" s="43">
        <v>0</v>
      </c>
      <c r="F954" s="80" t="s">
        <v>73</v>
      </c>
      <c r="G954" s="83">
        <v>46098</v>
      </c>
      <c r="H954" s="83">
        <v>46100</v>
      </c>
      <c r="I954" s="4">
        <v>2</v>
      </c>
      <c r="J954" s="80" t="str">
        <f>TEXT(tblPayments[[#This Row],[Arrival]],"mmm")</f>
        <v>Mar</v>
      </c>
      <c r="K954" s="80">
        <f>MONTH(tblPayments[[#This Row],[Arrival]])</f>
        <v>3</v>
      </c>
      <c r="L954" s="80">
        <f>YEAR(tblPayments[[#This Row],[Arrival]])</f>
        <v>2026</v>
      </c>
      <c r="M954" s="80" t="str">
        <f>IF(tblPayments[[#This Row],[Balance]]=0,"Full Payment","Deposit")</f>
        <v>Full Payment</v>
      </c>
      <c r="N954" s="43"/>
      <c r="O954" s="83">
        <v>45989</v>
      </c>
      <c r="P954" s="87" t="s">
        <v>2</v>
      </c>
    </row>
    <row r="955" spans="1:16" x14ac:dyDescent="0.3">
      <c r="A955" s="77" t="s">
        <v>103</v>
      </c>
      <c r="B955" s="80" t="s">
        <v>77</v>
      </c>
      <c r="C955" s="43"/>
      <c r="D955" s="43"/>
      <c r="E955" s="43"/>
      <c r="F955" s="80"/>
      <c r="G955" s="83">
        <v>46099</v>
      </c>
      <c r="H955" s="83">
        <v>46104</v>
      </c>
      <c r="I955" s="4"/>
      <c r="J955" s="80" t="str">
        <f>TEXT(tblPayments[[#This Row],[Arrival]],"mmm")</f>
        <v>Mar</v>
      </c>
      <c r="K955" s="80">
        <f>MONTH(tblPayments[[#This Row],[Arrival]])</f>
        <v>3</v>
      </c>
      <c r="L955" s="80">
        <f>YEAR(tblPayments[[#This Row],[Arrival]])</f>
        <v>2026</v>
      </c>
      <c r="M955" s="80" t="str">
        <f>IF(tblPayments[[#This Row],[Balance]]=0,"Full Payment","Deposit")</f>
        <v>Full Payment</v>
      </c>
      <c r="N955" s="43"/>
      <c r="O955" s="83"/>
      <c r="P955" s="87"/>
    </row>
    <row r="956" spans="1:16" x14ac:dyDescent="0.3">
      <c r="A956" s="77" t="s">
        <v>103</v>
      </c>
      <c r="B956" s="80" t="s">
        <v>77</v>
      </c>
      <c r="C956" s="43"/>
      <c r="D956" s="43"/>
      <c r="E956" s="43"/>
      <c r="F956" s="80"/>
      <c r="G956" s="83">
        <v>46099</v>
      </c>
      <c r="H956" s="83">
        <v>46104</v>
      </c>
      <c r="I956" s="4"/>
      <c r="J956" s="80" t="str">
        <f>TEXT(tblPayments[[#This Row],[Arrival]],"mmm")</f>
        <v>Mar</v>
      </c>
      <c r="K956" s="80">
        <f>MONTH(tblPayments[[#This Row],[Arrival]])</f>
        <v>3</v>
      </c>
      <c r="L956" s="80">
        <f>YEAR(tblPayments[[#This Row],[Arrival]])</f>
        <v>2026</v>
      </c>
      <c r="M956" s="80" t="str">
        <f>IF(tblPayments[[#This Row],[Balance]]=0,"Full Payment","Deposit")</f>
        <v>Full Payment</v>
      </c>
      <c r="N956" s="43"/>
      <c r="O956" s="83"/>
      <c r="P956" s="87"/>
    </row>
    <row r="957" spans="1:16" x14ac:dyDescent="0.3">
      <c r="A957" s="77" t="s">
        <v>103</v>
      </c>
      <c r="B957" s="80" t="s">
        <v>77</v>
      </c>
      <c r="C957" s="43">
        <v>56981.2</v>
      </c>
      <c r="D957" s="43">
        <v>32227.01</v>
      </c>
      <c r="E957" s="43">
        <v>24754.19</v>
      </c>
      <c r="F957" s="80" t="s">
        <v>78</v>
      </c>
      <c r="G957" s="83">
        <v>46100</v>
      </c>
      <c r="H957" s="83">
        <v>46110</v>
      </c>
      <c r="I957" s="4">
        <v>10</v>
      </c>
      <c r="J957" s="80" t="str">
        <f>TEXT(tblPayments[[#This Row],[Arrival]],"mmm")</f>
        <v>Mar</v>
      </c>
      <c r="K957" s="80">
        <f>MONTH(tblPayments[[#This Row],[Arrival]])</f>
        <v>3</v>
      </c>
      <c r="L957" s="80">
        <f>YEAR(tblPayments[[#This Row],[Arrival]])</f>
        <v>2026</v>
      </c>
      <c r="M957" s="80" t="str">
        <f>IF(tblPayments[[#This Row],[Balance]]=0,"Full Payment","Deposit")</f>
        <v>Deposit</v>
      </c>
      <c r="N957" s="43"/>
      <c r="O957" s="83">
        <v>45775</v>
      </c>
      <c r="P957" s="87" t="s">
        <v>42</v>
      </c>
    </row>
    <row r="958" spans="1:16" x14ac:dyDescent="0.3">
      <c r="A958" s="77" t="s">
        <v>103</v>
      </c>
      <c r="B958" s="80" t="s">
        <v>77</v>
      </c>
      <c r="C958" s="43">
        <v>91374</v>
      </c>
      <c r="D958" s="43"/>
      <c r="E958" s="43">
        <v>91374</v>
      </c>
      <c r="F958" s="80" t="s">
        <v>75</v>
      </c>
      <c r="G958" s="83">
        <v>46109</v>
      </c>
      <c r="H958" s="83">
        <v>46118</v>
      </c>
      <c r="I958" s="4">
        <v>9</v>
      </c>
      <c r="J958" s="80" t="str">
        <f>TEXT(tblPayments[[#This Row],[Arrival]],"mmm")</f>
        <v>Mar</v>
      </c>
      <c r="K958" s="80">
        <f>MONTH(tblPayments[[#This Row],[Arrival]])</f>
        <v>3</v>
      </c>
      <c r="L958" s="80">
        <f>YEAR(tblPayments[[#This Row],[Arrival]])</f>
        <v>2026</v>
      </c>
      <c r="M958" s="80" t="str">
        <f>IF(tblPayments[[#This Row],[Balance]]=0,"Full Payment","Deposit")</f>
        <v>Deposit</v>
      </c>
      <c r="N958" s="43"/>
      <c r="O958" s="83">
        <v>45958</v>
      </c>
      <c r="P958" s="87" t="s">
        <v>27</v>
      </c>
    </row>
    <row r="959" spans="1:16" x14ac:dyDescent="0.3">
      <c r="A959" s="77" t="s">
        <v>103</v>
      </c>
      <c r="B959" s="80" t="s">
        <v>77</v>
      </c>
      <c r="C959" s="43">
        <v>75860</v>
      </c>
      <c r="D959" s="43"/>
      <c r="E959" s="43">
        <v>75860</v>
      </c>
      <c r="F959" s="80" t="s">
        <v>75</v>
      </c>
      <c r="G959" s="83">
        <v>46110</v>
      </c>
      <c r="H959" s="83">
        <v>46117</v>
      </c>
      <c r="I959" s="4">
        <v>7</v>
      </c>
      <c r="J959" s="80" t="str">
        <f>TEXT(tblPayments[[#This Row],[Arrival]],"mmm")</f>
        <v>Mar</v>
      </c>
      <c r="K959" s="80">
        <f>MONTH(tblPayments[[#This Row],[Arrival]])</f>
        <v>3</v>
      </c>
      <c r="L959" s="80">
        <f>YEAR(tblPayments[[#This Row],[Arrival]])</f>
        <v>2026</v>
      </c>
      <c r="M959" s="80" t="str">
        <f>IF(tblPayments[[#This Row],[Balance]]=0,"Full Payment","Deposit")</f>
        <v>Deposit</v>
      </c>
      <c r="N959" s="43"/>
      <c r="O959" s="83">
        <v>45800</v>
      </c>
      <c r="P959" s="87" t="s">
        <v>2</v>
      </c>
    </row>
    <row r="960" spans="1:16" x14ac:dyDescent="0.3">
      <c r="A960" s="77" t="s">
        <v>103</v>
      </c>
      <c r="B960" s="80" t="s">
        <v>77</v>
      </c>
      <c r="C960" s="43">
        <v>86700</v>
      </c>
      <c r="D960" s="43"/>
      <c r="E960" s="43">
        <v>86700</v>
      </c>
      <c r="F960" s="80" t="s">
        <v>75</v>
      </c>
      <c r="G960" s="83">
        <v>46110</v>
      </c>
      <c r="H960" s="83">
        <v>46117</v>
      </c>
      <c r="I960" s="4">
        <v>7</v>
      </c>
      <c r="J960" s="80" t="str">
        <f>TEXT(tblPayments[[#This Row],[Arrival]],"mmm")</f>
        <v>Mar</v>
      </c>
      <c r="K960" s="80">
        <f>MONTH(tblPayments[[#This Row],[Arrival]])</f>
        <v>3</v>
      </c>
      <c r="L960" s="80">
        <f>YEAR(tblPayments[[#This Row],[Arrival]])</f>
        <v>2026</v>
      </c>
      <c r="M960" s="80" t="str">
        <f>IF(tblPayments[[#This Row],[Balance]]=0,"Full Payment","Deposit")</f>
        <v>Deposit</v>
      </c>
      <c r="N960" s="43"/>
      <c r="O960" s="83">
        <v>45800</v>
      </c>
      <c r="P960" s="87" t="s">
        <v>2</v>
      </c>
    </row>
    <row r="961" spans="1:16" x14ac:dyDescent="0.3">
      <c r="A961" s="77" t="s">
        <v>103</v>
      </c>
      <c r="B961" s="80" t="s">
        <v>77</v>
      </c>
      <c r="C961" s="43">
        <v>51524.6</v>
      </c>
      <c r="D961" s="43">
        <v>14095.89</v>
      </c>
      <c r="E961" s="43">
        <v>37428.71</v>
      </c>
      <c r="F961" s="80" t="s">
        <v>78</v>
      </c>
      <c r="G961" s="83">
        <v>46112</v>
      </c>
      <c r="H961" s="83">
        <v>46117</v>
      </c>
      <c r="I961" s="4">
        <v>5</v>
      </c>
      <c r="J961" s="80" t="str">
        <f>TEXT(tblPayments[[#This Row],[Arrival]],"mmm")</f>
        <v>Mar</v>
      </c>
      <c r="K961" s="80">
        <f>MONTH(tblPayments[[#This Row],[Arrival]])</f>
        <v>3</v>
      </c>
      <c r="L961" s="80">
        <f>YEAR(tblPayments[[#This Row],[Arrival]])</f>
        <v>2026</v>
      </c>
      <c r="M961" s="80" t="str">
        <f>IF(tblPayments[[#This Row],[Balance]]=0,"Full Payment","Deposit")</f>
        <v>Deposit</v>
      </c>
      <c r="N961" s="43"/>
      <c r="O961" s="83">
        <v>45833</v>
      </c>
      <c r="P961" s="87" t="s">
        <v>2</v>
      </c>
    </row>
    <row r="962" spans="1:16" x14ac:dyDescent="0.3">
      <c r="A962" s="77" t="s">
        <v>103</v>
      </c>
      <c r="B962" s="80" t="s">
        <v>77</v>
      </c>
      <c r="C962" s="43">
        <v>36312.18</v>
      </c>
      <c r="D962" s="43"/>
      <c r="E962" s="43">
        <v>36312.18</v>
      </c>
      <c r="F962" s="80" t="s">
        <v>75</v>
      </c>
      <c r="G962" s="83">
        <v>46115</v>
      </c>
      <c r="H962" s="83">
        <v>46118</v>
      </c>
      <c r="I962" s="4">
        <v>3</v>
      </c>
      <c r="J962" s="80" t="str">
        <f>TEXT(tblPayments[[#This Row],[Arrival]],"mmm")</f>
        <v>Apr</v>
      </c>
      <c r="K962" s="80">
        <f>MONTH(tblPayments[[#This Row],[Arrival]])</f>
        <v>4</v>
      </c>
      <c r="L962" s="80">
        <f>YEAR(tblPayments[[#This Row],[Arrival]])</f>
        <v>2026</v>
      </c>
      <c r="M962" s="80" t="str">
        <f>IF(tblPayments[[#This Row],[Balance]]=0,"Full Payment","Deposit")</f>
        <v>Deposit</v>
      </c>
      <c r="N962" s="43"/>
      <c r="O962" s="83">
        <v>45786</v>
      </c>
      <c r="P962" s="87" t="s">
        <v>40</v>
      </c>
    </row>
    <row r="963" spans="1:16" x14ac:dyDescent="0.3">
      <c r="A963" s="77" t="s">
        <v>103</v>
      </c>
      <c r="B963" s="80" t="s">
        <v>77</v>
      </c>
      <c r="C963" s="43">
        <v>67386</v>
      </c>
      <c r="D963" s="43"/>
      <c r="E963" s="43">
        <v>67386</v>
      </c>
      <c r="F963" s="80" t="s">
        <v>75</v>
      </c>
      <c r="G963" s="83">
        <v>46124</v>
      </c>
      <c r="H963" s="83">
        <v>46131</v>
      </c>
      <c r="I963" s="4">
        <v>7</v>
      </c>
      <c r="J963" s="80" t="str">
        <f>TEXT(tblPayments[[#This Row],[Arrival]],"mmm")</f>
        <v>Apr</v>
      </c>
      <c r="K963" s="80">
        <f>MONTH(tblPayments[[#This Row],[Arrival]])</f>
        <v>4</v>
      </c>
      <c r="L963" s="80">
        <f>YEAR(tblPayments[[#This Row],[Arrival]])</f>
        <v>2026</v>
      </c>
      <c r="M963" s="80" t="str">
        <f>IF(tblPayments[[#This Row],[Balance]]=0,"Full Payment","Deposit")</f>
        <v>Deposit</v>
      </c>
      <c r="N963" s="43"/>
      <c r="O963" s="83">
        <v>45905</v>
      </c>
      <c r="P963" s="87" t="s">
        <v>9</v>
      </c>
    </row>
    <row r="964" spans="1:16" x14ac:dyDescent="0.3">
      <c r="A964" s="77" t="s">
        <v>103</v>
      </c>
      <c r="B964" s="80" t="s">
        <v>77</v>
      </c>
      <c r="C964" s="43">
        <v>26248</v>
      </c>
      <c r="D964" s="43"/>
      <c r="E964" s="43">
        <v>26248</v>
      </c>
      <c r="F964" s="80" t="s">
        <v>75</v>
      </c>
      <c r="G964" s="83">
        <v>46134</v>
      </c>
      <c r="H964" s="83">
        <v>46137</v>
      </c>
      <c r="I964" s="4">
        <v>3</v>
      </c>
      <c r="J964" s="80" t="str">
        <f>TEXT(tblPayments[[#This Row],[Arrival]],"mmm")</f>
        <v>Apr</v>
      </c>
      <c r="K964" s="80">
        <f>MONTH(tblPayments[[#This Row],[Arrival]])</f>
        <v>4</v>
      </c>
      <c r="L964" s="80">
        <f>YEAR(tblPayments[[#This Row],[Arrival]])</f>
        <v>2026</v>
      </c>
      <c r="M964" s="80" t="str">
        <f>IF(tblPayments[[#This Row],[Balance]]=0,"Full Payment","Deposit")</f>
        <v>Deposit</v>
      </c>
      <c r="N964" s="43"/>
      <c r="O964" s="83">
        <v>45927</v>
      </c>
      <c r="P964" s="87" t="s">
        <v>2</v>
      </c>
    </row>
    <row r="965" spans="1:16" x14ac:dyDescent="0.3">
      <c r="A965" s="77" t="s">
        <v>103</v>
      </c>
      <c r="B965" s="80" t="s">
        <v>77</v>
      </c>
      <c r="C965" s="43">
        <v>19186.22</v>
      </c>
      <c r="D965" s="43"/>
      <c r="E965" s="43">
        <v>19186.22</v>
      </c>
      <c r="F965" s="80" t="s">
        <v>75</v>
      </c>
      <c r="G965" s="83">
        <v>46134</v>
      </c>
      <c r="H965" s="83">
        <v>46137</v>
      </c>
      <c r="I965" s="4">
        <v>3</v>
      </c>
      <c r="J965" s="80" t="str">
        <f>TEXT(tblPayments[[#This Row],[Arrival]],"mmm")</f>
        <v>Apr</v>
      </c>
      <c r="K965" s="80">
        <f>MONTH(tblPayments[[#This Row],[Arrival]])</f>
        <v>4</v>
      </c>
      <c r="L965" s="80">
        <f>YEAR(tblPayments[[#This Row],[Arrival]])</f>
        <v>2026</v>
      </c>
      <c r="M965" s="80" t="str">
        <f>IF(tblPayments[[#This Row],[Balance]]=0,"Full Payment","Deposit")</f>
        <v>Deposit</v>
      </c>
      <c r="N965" s="43"/>
      <c r="O965" s="83">
        <v>45715</v>
      </c>
      <c r="P965" s="87" t="s">
        <v>18</v>
      </c>
    </row>
    <row r="966" spans="1:16" x14ac:dyDescent="0.3">
      <c r="A966" s="77" t="s">
        <v>103</v>
      </c>
      <c r="B966" s="80" t="s">
        <v>77</v>
      </c>
      <c r="C966" s="43">
        <v>0</v>
      </c>
      <c r="D966" s="43"/>
      <c r="E966" s="43">
        <v>0</v>
      </c>
      <c r="F966" s="80" t="s">
        <v>73</v>
      </c>
      <c r="G966" s="83">
        <v>46140</v>
      </c>
      <c r="H966" s="83">
        <v>46143</v>
      </c>
      <c r="I966" s="4">
        <v>3</v>
      </c>
      <c r="J966" s="80" t="str">
        <f>TEXT(tblPayments[[#This Row],[Arrival]],"mmm")</f>
        <v>Apr</v>
      </c>
      <c r="K966" s="80">
        <f>MONTH(tblPayments[[#This Row],[Arrival]])</f>
        <v>4</v>
      </c>
      <c r="L966" s="80">
        <f>YEAR(tblPayments[[#This Row],[Arrival]])</f>
        <v>2026</v>
      </c>
      <c r="M966" s="80" t="str">
        <f>IF(tblPayments[[#This Row],[Balance]]=0,"Full Payment","Deposit")</f>
        <v>Full Payment</v>
      </c>
      <c r="N966" s="43"/>
      <c r="O966" s="83">
        <v>45834</v>
      </c>
      <c r="P966" s="87" t="s">
        <v>2</v>
      </c>
    </row>
    <row r="967" spans="1:16" x14ac:dyDescent="0.3">
      <c r="A967" s="77" t="s">
        <v>103</v>
      </c>
      <c r="B967" s="80" t="s">
        <v>77</v>
      </c>
      <c r="C967" s="43">
        <v>18996</v>
      </c>
      <c r="D967" s="43"/>
      <c r="E967" s="43">
        <v>18996</v>
      </c>
      <c r="F967" s="80" t="s">
        <v>75</v>
      </c>
      <c r="G967" s="83">
        <v>46146</v>
      </c>
      <c r="H967" s="83">
        <v>46150</v>
      </c>
      <c r="I967" s="4">
        <v>4</v>
      </c>
      <c r="J967" s="80" t="str">
        <f>TEXT(tblPayments[[#This Row],[Arrival]],"mmm")</f>
        <v>May</v>
      </c>
      <c r="K967" s="80">
        <f>MONTH(tblPayments[[#This Row],[Arrival]])</f>
        <v>5</v>
      </c>
      <c r="L967" s="80">
        <f>YEAR(tblPayments[[#This Row],[Arrival]])</f>
        <v>2026</v>
      </c>
      <c r="M967" s="80" t="str">
        <f>IF(tblPayments[[#This Row],[Balance]]=0,"Full Payment","Deposit")</f>
        <v>Deposit</v>
      </c>
      <c r="N967" s="43"/>
      <c r="O967" s="83">
        <v>45999</v>
      </c>
      <c r="P967" s="87" t="s">
        <v>31</v>
      </c>
    </row>
    <row r="968" spans="1:16" x14ac:dyDescent="0.3">
      <c r="A968" s="77" t="s">
        <v>103</v>
      </c>
      <c r="B968" s="80" t="s">
        <v>77</v>
      </c>
      <c r="C968" s="43"/>
      <c r="D968" s="43"/>
      <c r="E968" s="43"/>
      <c r="F968" s="80" t="s">
        <v>74</v>
      </c>
      <c r="G968" s="83">
        <v>46147</v>
      </c>
      <c r="H968" s="83">
        <v>46151</v>
      </c>
      <c r="I968" s="4">
        <v>4</v>
      </c>
      <c r="J968" s="80" t="str">
        <f>TEXT(tblPayments[[#This Row],[Arrival]],"mmm")</f>
        <v>May</v>
      </c>
      <c r="K968" s="80">
        <f>MONTH(tblPayments[[#This Row],[Arrival]])</f>
        <v>5</v>
      </c>
      <c r="L968" s="80">
        <f>YEAR(tblPayments[[#This Row],[Arrival]])</f>
        <v>2026</v>
      </c>
      <c r="M968" s="80" t="str">
        <f>IF(tblPayments[[#This Row],[Balance]]=0,"Full Payment","Deposit")</f>
        <v>Full Payment</v>
      </c>
      <c r="N968" s="43"/>
      <c r="O968" s="83">
        <v>45999</v>
      </c>
      <c r="P968" s="87" t="s">
        <v>31</v>
      </c>
    </row>
    <row r="969" spans="1:16" x14ac:dyDescent="0.3">
      <c r="A969" s="77" t="s">
        <v>103</v>
      </c>
      <c r="B969" s="80" t="s">
        <v>77</v>
      </c>
      <c r="C969" s="43">
        <v>1075</v>
      </c>
      <c r="D969" s="43"/>
      <c r="E969" s="43">
        <v>1075</v>
      </c>
      <c r="F969" s="80" t="s">
        <v>75</v>
      </c>
      <c r="G969" s="83">
        <v>46149</v>
      </c>
      <c r="H969" s="83">
        <v>46151</v>
      </c>
      <c r="I969" s="4">
        <v>2</v>
      </c>
      <c r="J969" s="80" t="str">
        <f>TEXT(tblPayments[[#This Row],[Arrival]],"mmm")</f>
        <v>May</v>
      </c>
      <c r="K969" s="80">
        <f>MONTH(tblPayments[[#This Row],[Arrival]])</f>
        <v>5</v>
      </c>
      <c r="L969" s="80">
        <f>YEAR(tblPayments[[#This Row],[Arrival]])</f>
        <v>2026</v>
      </c>
      <c r="M969" s="80" t="str">
        <f>IF(tblPayments[[#This Row],[Balance]]=0,"Full Payment","Deposit")</f>
        <v>Deposit</v>
      </c>
      <c r="N969" s="43"/>
      <c r="O969" s="83">
        <v>45911</v>
      </c>
      <c r="P969" s="87" t="s">
        <v>2</v>
      </c>
    </row>
    <row r="970" spans="1:16" x14ac:dyDescent="0.3">
      <c r="A970" s="77" t="s">
        <v>103</v>
      </c>
      <c r="B970" s="80" t="s">
        <v>77</v>
      </c>
      <c r="C970" s="43">
        <v>21017.97</v>
      </c>
      <c r="D970" s="43"/>
      <c r="E970" s="43">
        <v>21017.97</v>
      </c>
      <c r="F970" s="80" t="s">
        <v>75</v>
      </c>
      <c r="G970" s="83">
        <v>46151</v>
      </c>
      <c r="H970" s="83">
        <v>46155</v>
      </c>
      <c r="I970" s="4">
        <v>4</v>
      </c>
      <c r="J970" s="80" t="str">
        <f>TEXT(tblPayments[[#This Row],[Arrival]],"mmm")</f>
        <v>May</v>
      </c>
      <c r="K970" s="80">
        <f>MONTH(tblPayments[[#This Row],[Arrival]])</f>
        <v>5</v>
      </c>
      <c r="L970" s="80">
        <f>YEAR(tblPayments[[#This Row],[Arrival]])</f>
        <v>2026</v>
      </c>
      <c r="M970" s="80" t="str">
        <f>IF(tblPayments[[#This Row],[Balance]]=0,"Full Payment","Deposit")</f>
        <v>Deposit</v>
      </c>
      <c r="N970" s="43"/>
      <c r="O970" s="83">
        <v>45815</v>
      </c>
      <c r="P970" s="87" t="s">
        <v>15</v>
      </c>
    </row>
    <row r="971" spans="1:16" x14ac:dyDescent="0.3">
      <c r="A971" s="77" t="s">
        <v>103</v>
      </c>
      <c r="B971" s="80" t="s">
        <v>77</v>
      </c>
      <c r="C971" s="43">
        <v>20914</v>
      </c>
      <c r="D971" s="43"/>
      <c r="E971" s="43">
        <v>20914</v>
      </c>
      <c r="F971" s="80" t="s">
        <v>75</v>
      </c>
      <c r="G971" s="83">
        <v>46151</v>
      </c>
      <c r="H971" s="83">
        <v>46155</v>
      </c>
      <c r="I971" s="4">
        <v>4</v>
      </c>
      <c r="J971" s="80" t="str">
        <f>TEXT(tblPayments[[#This Row],[Arrival]],"mmm")</f>
        <v>May</v>
      </c>
      <c r="K971" s="80">
        <f>MONTH(tblPayments[[#This Row],[Arrival]])</f>
        <v>5</v>
      </c>
      <c r="L971" s="80">
        <f>YEAR(tblPayments[[#This Row],[Arrival]])</f>
        <v>2026</v>
      </c>
      <c r="M971" s="80" t="str">
        <f>IF(tblPayments[[#This Row],[Balance]]=0,"Full Payment","Deposit")</f>
        <v>Deposit</v>
      </c>
      <c r="N971" s="43"/>
      <c r="O971" s="83">
        <v>45835</v>
      </c>
      <c r="P971" s="87" t="s">
        <v>5</v>
      </c>
    </row>
    <row r="972" spans="1:16" x14ac:dyDescent="0.3">
      <c r="A972" s="77" t="s">
        <v>103</v>
      </c>
      <c r="B972" s="80" t="s">
        <v>77</v>
      </c>
      <c r="C972" s="43">
        <v>28817.97</v>
      </c>
      <c r="D972" s="43"/>
      <c r="E972" s="43">
        <v>28817.97</v>
      </c>
      <c r="F972" s="80" t="s">
        <v>75</v>
      </c>
      <c r="G972" s="83">
        <v>46164</v>
      </c>
      <c r="H972" s="83">
        <v>46171</v>
      </c>
      <c r="I972" s="4">
        <v>7</v>
      </c>
      <c r="J972" s="80" t="str">
        <f>TEXT(tblPayments[[#This Row],[Arrival]],"mmm")</f>
        <v>May</v>
      </c>
      <c r="K972" s="80">
        <f>MONTH(tblPayments[[#This Row],[Arrival]])</f>
        <v>5</v>
      </c>
      <c r="L972" s="80">
        <f>YEAR(tblPayments[[#This Row],[Arrival]])</f>
        <v>2026</v>
      </c>
      <c r="M972" s="80" t="str">
        <f>IF(tblPayments[[#This Row],[Balance]]=0,"Full Payment","Deposit")</f>
        <v>Deposit</v>
      </c>
      <c r="N972" s="43"/>
      <c r="O972" s="83">
        <v>45998</v>
      </c>
      <c r="P972" s="87" t="s">
        <v>15</v>
      </c>
    </row>
    <row r="973" spans="1:16" x14ac:dyDescent="0.3">
      <c r="A973" s="77" t="s">
        <v>103</v>
      </c>
      <c r="B973" s="80" t="s">
        <v>77</v>
      </c>
      <c r="C973" s="43">
        <v>29074.85</v>
      </c>
      <c r="D973" s="43"/>
      <c r="E973" s="43">
        <v>29074.85</v>
      </c>
      <c r="F973" s="80" t="s">
        <v>75</v>
      </c>
      <c r="G973" s="83">
        <v>46166</v>
      </c>
      <c r="H973" s="83">
        <v>46171</v>
      </c>
      <c r="I973" s="4">
        <v>5</v>
      </c>
      <c r="J973" s="80" t="str">
        <f>TEXT(tblPayments[[#This Row],[Arrival]],"mmm")</f>
        <v>May</v>
      </c>
      <c r="K973" s="80">
        <f>MONTH(tblPayments[[#This Row],[Arrival]])</f>
        <v>5</v>
      </c>
      <c r="L973" s="80">
        <f>YEAR(tblPayments[[#This Row],[Arrival]])</f>
        <v>2026</v>
      </c>
      <c r="M973" s="80" t="str">
        <f>IF(tblPayments[[#This Row],[Balance]]=0,"Full Payment","Deposit")</f>
        <v>Deposit</v>
      </c>
      <c r="N973" s="43"/>
      <c r="O973" s="83">
        <v>45968</v>
      </c>
      <c r="P973" s="87" t="s">
        <v>15</v>
      </c>
    </row>
    <row r="974" spans="1:16" x14ac:dyDescent="0.3">
      <c r="A974" s="77" t="s">
        <v>103</v>
      </c>
      <c r="B974" s="80" t="s">
        <v>77</v>
      </c>
      <c r="C974" s="43">
        <v>0</v>
      </c>
      <c r="D974" s="43"/>
      <c r="E974" s="43">
        <v>0</v>
      </c>
      <c r="F974" s="80" t="s">
        <v>73</v>
      </c>
      <c r="G974" s="83">
        <v>46179</v>
      </c>
      <c r="H974" s="83">
        <v>46180</v>
      </c>
      <c r="I974" s="4">
        <v>1</v>
      </c>
      <c r="J974" s="80" t="str">
        <f>TEXT(tblPayments[[#This Row],[Arrival]],"mmm")</f>
        <v>Jun</v>
      </c>
      <c r="K974" s="80">
        <f>MONTH(tblPayments[[#This Row],[Arrival]])</f>
        <v>6</v>
      </c>
      <c r="L974" s="80">
        <f>YEAR(tblPayments[[#This Row],[Arrival]])</f>
        <v>2026</v>
      </c>
      <c r="M974" s="80" t="str">
        <f>IF(tblPayments[[#This Row],[Balance]]=0,"Full Payment","Deposit")</f>
        <v>Full Payment</v>
      </c>
      <c r="N974" s="43"/>
      <c r="O974" s="83">
        <v>45999</v>
      </c>
      <c r="P974" s="87" t="s">
        <v>5</v>
      </c>
    </row>
    <row r="975" spans="1:16" x14ac:dyDescent="0.3">
      <c r="A975" s="77" t="s">
        <v>103</v>
      </c>
      <c r="B975" s="80" t="s">
        <v>77</v>
      </c>
      <c r="C975" s="43">
        <v>24842</v>
      </c>
      <c r="D975" s="43"/>
      <c r="E975" s="43">
        <v>24842</v>
      </c>
      <c r="F975" s="80" t="s">
        <v>75</v>
      </c>
      <c r="G975" s="83">
        <v>46242</v>
      </c>
      <c r="H975" s="83">
        <v>46244</v>
      </c>
      <c r="I975" s="4">
        <v>2</v>
      </c>
      <c r="J975" s="80" t="str">
        <f>TEXT(tblPayments[[#This Row],[Arrival]],"mmm")</f>
        <v>Aug</v>
      </c>
      <c r="K975" s="80">
        <f>MONTH(tblPayments[[#This Row],[Arrival]])</f>
        <v>8</v>
      </c>
      <c r="L975" s="80">
        <f>YEAR(tblPayments[[#This Row],[Arrival]])</f>
        <v>2026</v>
      </c>
      <c r="M975" s="80" t="str">
        <f>IF(tblPayments[[#This Row],[Balance]]=0,"Full Payment","Deposit")</f>
        <v>Deposit</v>
      </c>
      <c r="N975" s="43"/>
      <c r="O975" s="83">
        <v>45983</v>
      </c>
      <c r="P975" s="87" t="s">
        <v>31</v>
      </c>
    </row>
    <row r="976" spans="1:16" x14ac:dyDescent="0.3">
      <c r="A976" s="77" t="s">
        <v>103</v>
      </c>
      <c r="B976" s="80" t="s">
        <v>77</v>
      </c>
      <c r="C976" s="43">
        <v>0</v>
      </c>
      <c r="D976" s="43"/>
      <c r="E976" s="43">
        <v>0</v>
      </c>
      <c r="F976" s="80" t="s">
        <v>73</v>
      </c>
      <c r="G976" s="83">
        <v>46262</v>
      </c>
      <c r="H976" s="83">
        <v>46264</v>
      </c>
      <c r="I976" s="4">
        <v>2</v>
      </c>
      <c r="J976" s="80" t="str">
        <f>TEXT(tblPayments[[#This Row],[Arrival]],"mmm")</f>
        <v>Aug</v>
      </c>
      <c r="K976" s="80">
        <f>MONTH(tblPayments[[#This Row],[Arrival]])</f>
        <v>8</v>
      </c>
      <c r="L976" s="80">
        <f>YEAR(tblPayments[[#This Row],[Arrival]])</f>
        <v>2026</v>
      </c>
      <c r="M976" s="80" t="str">
        <f>IF(tblPayments[[#This Row],[Balance]]=0,"Full Payment","Deposit")</f>
        <v>Full Payment</v>
      </c>
      <c r="N976" s="43"/>
      <c r="O976" s="83">
        <v>45961</v>
      </c>
      <c r="P976" s="87" t="s">
        <v>31</v>
      </c>
    </row>
    <row r="977" spans="1:16" x14ac:dyDescent="0.3">
      <c r="A977" s="77" t="s">
        <v>103</v>
      </c>
      <c r="B977" s="80" t="s">
        <v>77</v>
      </c>
      <c r="C977" s="43">
        <v>29522.66</v>
      </c>
      <c r="D977" s="43">
        <v>29522.66</v>
      </c>
      <c r="E977" s="43"/>
      <c r="F977" s="80" t="s">
        <v>70</v>
      </c>
      <c r="G977" s="83">
        <v>46352</v>
      </c>
      <c r="H977" s="83">
        <v>46356</v>
      </c>
      <c r="I977" s="4">
        <v>4</v>
      </c>
      <c r="J977" s="80" t="str">
        <f>TEXT(tblPayments[[#This Row],[Arrival]],"mmm")</f>
        <v>Nov</v>
      </c>
      <c r="K977" s="80">
        <f>MONTH(tblPayments[[#This Row],[Arrival]])</f>
        <v>11</v>
      </c>
      <c r="L977" s="80">
        <f>YEAR(tblPayments[[#This Row],[Arrival]])</f>
        <v>2026</v>
      </c>
      <c r="M977" s="80" t="str">
        <f>IF(tblPayments[[#This Row],[Balance]]=0,"Full Payment","Deposit")</f>
        <v>Full Payment</v>
      </c>
      <c r="N977" s="43"/>
      <c r="O977" s="83">
        <v>45854</v>
      </c>
      <c r="P977" s="87" t="s">
        <v>68</v>
      </c>
    </row>
    <row r="978" spans="1:16" x14ac:dyDescent="0.3">
      <c r="A978" s="77" t="s">
        <v>103</v>
      </c>
      <c r="B978" s="80" t="s">
        <v>77</v>
      </c>
      <c r="C978" s="43">
        <v>43700</v>
      </c>
      <c r="D978" s="43">
        <v>43700</v>
      </c>
      <c r="E978" s="43"/>
      <c r="F978" s="80" t="s">
        <v>70</v>
      </c>
      <c r="G978" s="83">
        <v>46361</v>
      </c>
      <c r="H978" s="83">
        <v>46368</v>
      </c>
      <c r="I978" s="4">
        <v>7</v>
      </c>
      <c r="J978" s="80" t="str">
        <f>TEXT(tblPayments[[#This Row],[Arrival]],"mmm")</f>
        <v>Dec</v>
      </c>
      <c r="K978" s="80">
        <f>MONTH(tblPayments[[#This Row],[Arrival]])</f>
        <v>12</v>
      </c>
      <c r="L978" s="80">
        <f>YEAR(tblPayments[[#This Row],[Arrival]])</f>
        <v>2026</v>
      </c>
      <c r="M978" s="80" t="str">
        <f>IF(tblPayments[[#This Row],[Balance]]=0,"Full Payment","Deposit")</f>
        <v>Full Payment</v>
      </c>
      <c r="N978" s="43"/>
      <c r="O978" s="83">
        <v>45931</v>
      </c>
      <c r="P978" s="87" t="s">
        <v>5</v>
      </c>
    </row>
    <row r="979" spans="1:16" x14ac:dyDescent="0.3">
      <c r="A979" s="77"/>
      <c r="B979" s="80"/>
      <c r="C979" s="43"/>
      <c r="D979" s="43"/>
      <c r="E979" s="43"/>
      <c r="F979" s="80"/>
      <c r="G979" s="83"/>
      <c r="H979" s="83"/>
      <c r="I979" s="4"/>
      <c r="J979" s="80" t="str">
        <f>TEXT(tblPayments[[#This Row],[Arrival]],"mmm")</f>
        <v>Jan</v>
      </c>
      <c r="K979" s="80">
        <f>MONTH(tblPayments[[#This Row],[Arrival]])</f>
        <v>1</v>
      </c>
      <c r="L979" s="80">
        <f>YEAR(tblPayments[[#This Row],[Arrival]])</f>
        <v>1900</v>
      </c>
      <c r="M979" s="80" t="str">
        <f>IF(tblPayments[[#This Row],[Balance]]=0,"Full Payment","Deposit")</f>
        <v>Full Payment</v>
      </c>
      <c r="N979" s="43"/>
      <c r="O979" s="83"/>
      <c r="P979" s="87"/>
    </row>
    <row r="980" spans="1:16" x14ac:dyDescent="0.3">
      <c r="A980" s="77"/>
      <c r="B980" s="80"/>
      <c r="C980" s="43"/>
      <c r="D980" s="43"/>
      <c r="E980" s="43"/>
      <c r="F980" s="80"/>
      <c r="G980" s="83"/>
      <c r="H980" s="83"/>
      <c r="I980" s="4"/>
      <c r="J980" s="80" t="str">
        <f>TEXT(tblPayments[[#This Row],[Arrival]],"mmm")</f>
        <v>Jan</v>
      </c>
      <c r="K980" s="80">
        <f>MONTH(tblPayments[[#This Row],[Arrival]])</f>
        <v>1</v>
      </c>
      <c r="L980" s="80">
        <f>YEAR(tblPayments[[#This Row],[Arrival]])</f>
        <v>1900</v>
      </c>
      <c r="M980" s="80" t="str">
        <f>IF(tblPayments[[#This Row],[Balance]]=0,"Full Payment","Deposit")</f>
        <v>Full Payment</v>
      </c>
      <c r="N980" s="43"/>
      <c r="O980" s="83"/>
      <c r="P980" s="87"/>
    </row>
    <row r="981" spans="1:16" x14ac:dyDescent="0.3">
      <c r="A981" s="77"/>
      <c r="B981" s="80"/>
      <c r="C981" s="43"/>
      <c r="D981" s="43"/>
      <c r="E981" s="43"/>
      <c r="F981" s="80"/>
      <c r="G981" s="83"/>
      <c r="H981" s="83"/>
      <c r="I981" s="4"/>
      <c r="J981" s="80" t="str">
        <f>TEXT(tblPayments[[#This Row],[Arrival]],"mmm")</f>
        <v>Jan</v>
      </c>
      <c r="K981" s="80">
        <f>MONTH(tblPayments[[#This Row],[Arrival]])</f>
        <v>1</v>
      </c>
      <c r="L981" s="80">
        <f>YEAR(tblPayments[[#This Row],[Arrival]])</f>
        <v>1900</v>
      </c>
      <c r="M981" s="80" t="str">
        <f>IF(tblPayments[[#This Row],[Balance]]=0,"Full Payment","Deposit")</f>
        <v>Full Payment</v>
      </c>
      <c r="N981" s="43"/>
      <c r="O981" s="83"/>
      <c r="P981" s="87"/>
    </row>
    <row r="982" spans="1:16" x14ac:dyDescent="0.3">
      <c r="A982" s="77"/>
      <c r="B982" s="80"/>
      <c r="C982" s="43"/>
      <c r="D982" s="43"/>
      <c r="E982" s="43"/>
      <c r="F982" s="80"/>
      <c r="G982" s="83"/>
      <c r="H982" s="83"/>
      <c r="I982" s="4"/>
      <c r="J982" s="80" t="str">
        <f>TEXT(tblPayments[[#This Row],[Arrival]],"mmm")</f>
        <v>Jan</v>
      </c>
      <c r="K982" s="80">
        <f>MONTH(tblPayments[[#This Row],[Arrival]])</f>
        <v>1</v>
      </c>
      <c r="L982" s="80">
        <f>YEAR(tblPayments[[#This Row],[Arrival]])</f>
        <v>1900</v>
      </c>
      <c r="M982" s="80" t="str">
        <f>IF(tblPayments[[#This Row],[Balance]]=0,"Full Payment","Deposit")</f>
        <v>Full Payment</v>
      </c>
      <c r="N982" s="43"/>
      <c r="O982" s="83"/>
      <c r="P982" s="87"/>
    </row>
    <row r="983" spans="1:16" x14ac:dyDescent="0.3">
      <c r="A983" s="77"/>
      <c r="B983" s="80"/>
      <c r="C983" s="43"/>
      <c r="D983" s="43"/>
      <c r="E983" s="43"/>
      <c r="F983" s="80"/>
      <c r="G983" s="83"/>
      <c r="H983" s="83"/>
      <c r="I983" s="4"/>
      <c r="J983" s="80" t="str">
        <f>TEXT(tblPayments[[#This Row],[Arrival]],"mmm")</f>
        <v>Jan</v>
      </c>
      <c r="K983" s="80">
        <f>MONTH(tblPayments[[#This Row],[Arrival]])</f>
        <v>1</v>
      </c>
      <c r="L983" s="80">
        <f>YEAR(tblPayments[[#This Row],[Arrival]])</f>
        <v>1900</v>
      </c>
      <c r="M983" s="80" t="str">
        <f>IF(tblPayments[[#This Row],[Balance]]=0,"Full Payment","Deposit")</f>
        <v>Full Payment</v>
      </c>
      <c r="N983" s="43"/>
      <c r="O983" s="83"/>
      <c r="P983" s="87"/>
    </row>
    <row r="984" spans="1:16" x14ac:dyDescent="0.3">
      <c r="A984" s="77"/>
      <c r="B984" s="80"/>
      <c r="C984" s="43"/>
      <c r="D984" s="43"/>
      <c r="E984" s="43"/>
      <c r="F984" s="80"/>
      <c r="G984" s="83"/>
      <c r="H984" s="83"/>
      <c r="I984" s="4"/>
      <c r="J984" s="80" t="str">
        <f>TEXT(tblPayments[[#This Row],[Arrival]],"mmm")</f>
        <v>Jan</v>
      </c>
      <c r="K984" s="80">
        <f>MONTH(tblPayments[[#This Row],[Arrival]])</f>
        <v>1</v>
      </c>
      <c r="L984" s="80">
        <f>YEAR(tblPayments[[#This Row],[Arrival]])</f>
        <v>1900</v>
      </c>
      <c r="M984" s="80" t="str">
        <f>IF(tblPayments[[#This Row],[Balance]]=0,"Full Payment","Deposit")</f>
        <v>Full Payment</v>
      </c>
      <c r="N984" s="43"/>
      <c r="O984" s="83"/>
      <c r="P984" s="87"/>
    </row>
    <row r="985" spans="1:16" x14ac:dyDescent="0.3">
      <c r="A985" s="77"/>
      <c r="B985" s="80"/>
      <c r="C985" s="43"/>
      <c r="D985" s="43"/>
      <c r="E985" s="43"/>
      <c r="F985" s="80"/>
      <c r="G985" s="83"/>
      <c r="H985" s="83"/>
      <c r="I985" s="4"/>
      <c r="J985" s="80" t="str">
        <f>TEXT(tblPayments[[#This Row],[Arrival]],"mmm")</f>
        <v>Jan</v>
      </c>
      <c r="K985" s="80">
        <f>MONTH(tblPayments[[#This Row],[Arrival]])</f>
        <v>1</v>
      </c>
      <c r="L985" s="80">
        <f>YEAR(tblPayments[[#This Row],[Arrival]])</f>
        <v>1900</v>
      </c>
      <c r="M985" s="80" t="str">
        <f>IF(tblPayments[[#This Row],[Balance]]=0,"Full Payment","Deposit")</f>
        <v>Full Payment</v>
      </c>
      <c r="N985" s="43"/>
      <c r="O985" s="83"/>
      <c r="P985" s="87"/>
    </row>
    <row r="986" spans="1:16" x14ac:dyDescent="0.3">
      <c r="A986" s="77"/>
      <c r="B986" s="80"/>
      <c r="C986" s="43"/>
      <c r="D986" s="43"/>
      <c r="E986" s="43"/>
      <c r="F986" s="80"/>
      <c r="G986" s="83"/>
      <c r="H986" s="83"/>
      <c r="I986" s="4"/>
      <c r="J986" s="80" t="str">
        <f>TEXT(tblPayments[[#This Row],[Arrival]],"mmm")</f>
        <v>Jan</v>
      </c>
      <c r="K986" s="80">
        <f>MONTH(tblPayments[[#This Row],[Arrival]])</f>
        <v>1</v>
      </c>
      <c r="L986" s="80">
        <f>YEAR(tblPayments[[#This Row],[Arrival]])</f>
        <v>1900</v>
      </c>
      <c r="M986" s="80" t="str">
        <f>IF(tblPayments[[#This Row],[Balance]]=0,"Full Payment","Deposit")</f>
        <v>Full Payment</v>
      </c>
      <c r="N986" s="43"/>
      <c r="O986" s="83"/>
      <c r="P986" s="87"/>
    </row>
    <row r="987" spans="1:16" x14ac:dyDescent="0.3">
      <c r="A987" s="77"/>
      <c r="B987" s="80"/>
      <c r="C987" s="43"/>
      <c r="D987" s="43"/>
      <c r="E987" s="43"/>
      <c r="F987" s="80"/>
      <c r="G987" s="83"/>
      <c r="H987" s="83"/>
      <c r="I987" s="4"/>
      <c r="J987" s="80" t="str">
        <f>TEXT(tblPayments[[#This Row],[Arrival]],"mmm")</f>
        <v>Jan</v>
      </c>
      <c r="K987" s="80">
        <f>MONTH(tblPayments[[#This Row],[Arrival]])</f>
        <v>1</v>
      </c>
      <c r="L987" s="80">
        <f>YEAR(tblPayments[[#This Row],[Arrival]])</f>
        <v>1900</v>
      </c>
      <c r="M987" s="80" t="str">
        <f>IF(tblPayments[[#This Row],[Balance]]=0,"Full Payment","Deposit")</f>
        <v>Full Payment</v>
      </c>
      <c r="N987" s="43"/>
      <c r="O987" s="83"/>
      <c r="P987" s="87"/>
    </row>
    <row r="988" spans="1:16" x14ac:dyDescent="0.3">
      <c r="A988" s="77"/>
      <c r="B988" s="80"/>
      <c r="C988" s="43"/>
      <c r="D988" s="43"/>
      <c r="E988" s="43"/>
      <c r="F988" s="80"/>
      <c r="G988" s="83"/>
      <c r="H988" s="83"/>
      <c r="I988" s="4"/>
      <c r="J988" s="80" t="str">
        <f>TEXT(tblPayments[[#This Row],[Arrival]],"mmm")</f>
        <v>Jan</v>
      </c>
      <c r="K988" s="80">
        <f>MONTH(tblPayments[[#This Row],[Arrival]])</f>
        <v>1</v>
      </c>
      <c r="L988" s="80">
        <f>YEAR(tblPayments[[#This Row],[Arrival]])</f>
        <v>1900</v>
      </c>
      <c r="M988" s="80" t="str">
        <f>IF(tblPayments[[#This Row],[Balance]]=0,"Full Payment","Deposit")</f>
        <v>Full Payment</v>
      </c>
      <c r="N988" s="43"/>
      <c r="O988" s="83"/>
      <c r="P988" s="87"/>
    </row>
    <row r="989" spans="1:16" x14ac:dyDescent="0.3">
      <c r="A989" s="77"/>
      <c r="B989" s="80"/>
      <c r="C989" s="43"/>
      <c r="D989" s="43"/>
      <c r="E989" s="43"/>
      <c r="F989" s="80"/>
      <c r="G989" s="83"/>
      <c r="H989" s="83"/>
      <c r="I989" s="4"/>
      <c r="J989" s="80" t="str">
        <f>TEXT(tblPayments[[#This Row],[Arrival]],"mmm")</f>
        <v>Jan</v>
      </c>
      <c r="K989" s="80">
        <f>MONTH(tblPayments[[#This Row],[Arrival]])</f>
        <v>1</v>
      </c>
      <c r="L989" s="80">
        <f>YEAR(tblPayments[[#This Row],[Arrival]])</f>
        <v>1900</v>
      </c>
      <c r="M989" s="80" t="str">
        <f>IF(tblPayments[[#This Row],[Balance]]=0,"Full Payment","Deposit")</f>
        <v>Full Payment</v>
      </c>
      <c r="N989" s="43"/>
      <c r="O989" s="83"/>
      <c r="P989" s="87"/>
    </row>
    <row r="990" spans="1:16" x14ac:dyDescent="0.3">
      <c r="A990" s="77"/>
      <c r="B990" s="80"/>
      <c r="C990" s="43"/>
      <c r="D990" s="43"/>
      <c r="E990" s="43"/>
      <c r="F990" s="80"/>
      <c r="G990" s="83"/>
      <c r="H990" s="83"/>
      <c r="I990" s="4"/>
      <c r="J990" s="80" t="str">
        <f>TEXT(tblPayments[[#This Row],[Arrival]],"mmm")</f>
        <v>Jan</v>
      </c>
      <c r="K990" s="80">
        <f>MONTH(tblPayments[[#This Row],[Arrival]])</f>
        <v>1</v>
      </c>
      <c r="L990" s="80">
        <f>YEAR(tblPayments[[#This Row],[Arrival]])</f>
        <v>1900</v>
      </c>
      <c r="M990" s="80" t="str">
        <f>IF(tblPayments[[#This Row],[Balance]]=0,"Full Payment","Deposit")</f>
        <v>Full Payment</v>
      </c>
      <c r="N990" s="43"/>
      <c r="O990" s="83"/>
      <c r="P990" s="87"/>
    </row>
    <row r="991" spans="1:16" x14ac:dyDescent="0.3">
      <c r="A991" s="77"/>
      <c r="B991" s="80"/>
      <c r="C991" s="43"/>
      <c r="D991" s="43"/>
      <c r="E991" s="43"/>
      <c r="F991" s="80"/>
      <c r="G991" s="83"/>
      <c r="H991" s="83"/>
      <c r="I991" s="4"/>
      <c r="J991" s="80" t="str">
        <f>TEXT(tblPayments[[#This Row],[Arrival]],"mmm")</f>
        <v>Jan</v>
      </c>
      <c r="K991" s="80">
        <f>MONTH(tblPayments[[#This Row],[Arrival]])</f>
        <v>1</v>
      </c>
      <c r="L991" s="80">
        <f>YEAR(tblPayments[[#This Row],[Arrival]])</f>
        <v>1900</v>
      </c>
      <c r="M991" s="80" t="str">
        <f>IF(tblPayments[[#This Row],[Balance]]=0,"Full Payment","Deposit")</f>
        <v>Full Payment</v>
      </c>
      <c r="N991" s="43"/>
      <c r="O991" s="83"/>
      <c r="P991" s="87"/>
    </row>
    <row r="992" spans="1:16" x14ac:dyDescent="0.3">
      <c r="A992" s="77"/>
      <c r="B992" s="80"/>
      <c r="C992" s="43"/>
      <c r="D992" s="43"/>
      <c r="E992" s="43"/>
      <c r="F992" s="80"/>
      <c r="G992" s="83"/>
      <c r="H992" s="83"/>
      <c r="I992" s="4"/>
      <c r="J992" s="80" t="str">
        <f>TEXT(tblPayments[[#This Row],[Arrival]],"mmm")</f>
        <v>Jan</v>
      </c>
      <c r="K992" s="80">
        <f>MONTH(tblPayments[[#This Row],[Arrival]])</f>
        <v>1</v>
      </c>
      <c r="L992" s="80">
        <f>YEAR(tblPayments[[#This Row],[Arrival]])</f>
        <v>1900</v>
      </c>
      <c r="M992" s="80" t="str">
        <f>IF(tblPayments[[#This Row],[Balance]]=0,"Full Payment","Deposit")</f>
        <v>Full Payment</v>
      </c>
      <c r="N992" s="43"/>
      <c r="O992" s="83"/>
      <c r="P992" s="87"/>
    </row>
    <row r="993" spans="1:16" x14ac:dyDescent="0.3">
      <c r="A993" s="77"/>
      <c r="B993" s="80"/>
      <c r="C993" s="43"/>
      <c r="D993" s="43"/>
      <c r="E993" s="43"/>
      <c r="F993" s="80"/>
      <c r="G993" s="83"/>
      <c r="H993" s="83"/>
      <c r="I993" s="4"/>
      <c r="J993" s="80" t="str">
        <f>TEXT(tblPayments[[#This Row],[Arrival]],"mmm")</f>
        <v>Jan</v>
      </c>
      <c r="K993" s="80">
        <f>MONTH(tblPayments[[#This Row],[Arrival]])</f>
        <v>1</v>
      </c>
      <c r="L993" s="80">
        <f>YEAR(tblPayments[[#This Row],[Arrival]])</f>
        <v>1900</v>
      </c>
      <c r="M993" s="80" t="str">
        <f>IF(tblPayments[[#This Row],[Balance]]=0,"Full Payment","Deposit")</f>
        <v>Full Payment</v>
      </c>
      <c r="N993" s="43"/>
      <c r="O993" s="83"/>
      <c r="P993" s="87"/>
    </row>
    <row r="994" spans="1:16" x14ac:dyDescent="0.3">
      <c r="A994" s="77"/>
      <c r="B994" s="80"/>
      <c r="C994" s="43"/>
      <c r="D994" s="43"/>
      <c r="E994" s="43"/>
      <c r="F994" s="80"/>
      <c r="G994" s="83"/>
      <c r="H994" s="83"/>
      <c r="I994" s="4"/>
      <c r="J994" s="80" t="str">
        <f>TEXT(tblPayments[[#This Row],[Arrival]],"mmm")</f>
        <v>Jan</v>
      </c>
      <c r="K994" s="80">
        <f>MONTH(tblPayments[[#This Row],[Arrival]])</f>
        <v>1</v>
      </c>
      <c r="L994" s="80">
        <f>YEAR(tblPayments[[#This Row],[Arrival]])</f>
        <v>1900</v>
      </c>
      <c r="M994" s="80" t="str">
        <f>IF(tblPayments[[#This Row],[Balance]]=0,"Full Payment","Deposit")</f>
        <v>Full Payment</v>
      </c>
      <c r="N994" s="43"/>
      <c r="O994" s="83"/>
      <c r="P994" s="87"/>
    </row>
    <row r="995" spans="1:16" x14ac:dyDescent="0.3">
      <c r="A995" s="77"/>
      <c r="B995" s="80"/>
      <c r="C995" s="43"/>
      <c r="D995" s="43"/>
      <c r="E995" s="43"/>
      <c r="F995" s="80"/>
      <c r="G995" s="83"/>
      <c r="H995" s="83"/>
      <c r="I995" s="4"/>
      <c r="J995" s="80" t="str">
        <f>TEXT(tblPayments[[#This Row],[Arrival]],"mmm")</f>
        <v>Jan</v>
      </c>
      <c r="K995" s="80">
        <f>MONTH(tblPayments[[#This Row],[Arrival]])</f>
        <v>1</v>
      </c>
      <c r="L995" s="80">
        <f>YEAR(tblPayments[[#This Row],[Arrival]])</f>
        <v>1900</v>
      </c>
      <c r="M995" s="80" t="str">
        <f>IF(tblPayments[[#This Row],[Balance]]=0,"Full Payment","Deposit")</f>
        <v>Full Payment</v>
      </c>
      <c r="N995" s="43"/>
      <c r="O995" s="83"/>
      <c r="P995" s="87"/>
    </row>
    <row r="996" spans="1:16" x14ac:dyDescent="0.3">
      <c r="A996" s="77"/>
      <c r="B996" s="80"/>
      <c r="C996" s="43"/>
      <c r="D996" s="43"/>
      <c r="E996" s="43"/>
      <c r="F996" s="80"/>
      <c r="G996" s="83"/>
      <c r="H996" s="83"/>
      <c r="I996" s="4"/>
      <c r="J996" s="80" t="str">
        <f>TEXT(tblPayments[[#This Row],[Arrival]],"mmm")</f>
        <v>Jan</v>
      </c>
      <c r="K996" s="80">
        <f>MONTH(tblPayments[[#This Row],[Arrival]])</f>
        <v>1</v>
      </c>
      <c r="L996" s="80">
        <f>YEAR(tblPayments[[#This Row],[Arrival]])</f>
        <v>1900</v>
      </c>
      <c r="M996" s="80" t="str">
        <f>IF(tblPayments[[#This Row],[Balance]]=0,"Full Payment","Deposit")</f>
        <v>Full Payment</v>
      </c>
      <c r="N996" s="43"/>
      <c r="O996" s="83"/>
      <c r="P996" s="87"/>
    </row>
    <row r="997" spans="1:16" x14ac:dyDescent="0.3">
      <c r="A997" s="77"/>
      <c r="B997" s="80"/>
      <c r="C997" s="43"/>
      <c r="D997" s="43"/>
      <c r="E997" s="43"/>
      <c r="F997" s="80"/>
      <c r="G997" s="83"/>
      <c r="H997" s="83"/>
      <c r="I997" s="4"/>
      <c r="J997" s="80" t="str">
        <f>TEXT(tblPayments[[#This Row],[Arrival]],"mmm")</f>
        <v>Jan</v>
      </c>
      <c r="K997" s="80">
        <f>MONTH(tblPayments[[#This Row],[Arrival]])</f>
        <v>1</v>
      </c>
      <c r="L997" s="80">
        <f>YEAR(tblPayments[[#This Row],[Arrival]])</f>
        <v>1900</v>
      </c>
      <c r="M997" s="80" t="str">
        <f>IF(tblPayments[[#This Row],[Balance]]=0,"Full Payment","Deposit")</f>
        <v>Full Payment</v>
      </c>
      <c r="N997" s="43"/>
      <c r="O997" s="83"/>
      <c r="P997" s="87"/>
    </row>
    <row r="998" spans="1:16" x14ac:dyDescent="0.3">
      <c r="A998" s="77"/>
      <c r="B998" s="80"/>
      <c r="C998" s="43"/>
      <c r="D998" s="43"/>
      <c r="E998" s="43"/>
      <c r="F998" s="80"/>
      <c r="G998" s="83"/>
      <c r="H998" s="83"/>
      <c r="I998" s="4"/>
      <c r="J998" s="80" t="str">
        <f>TEXT(tblPayments[[#This Row],[Arrival]],"mmm")</f>
        <v>Jan</v>
      </c>
      <c r="K998" s="80">
        <f>MONTH(tblPayments[[#This Row],[Arrival]])</f>
        <v>1</v>
      </c>
      <c r="L998" s="80">
        <f>YEAR(tblPayments[[#This Row],[Arrival]])</f>
        <v>1900</v>
      </c>
      <c r="M998" s="80" t="str">
        <f>IF(tblPayments[[#This Row],[Balance]]=0,"Full Payment","Deposit")</f>
        <v>Full Payment</v>
      </c>
      <c r="N998" s="43"/>
      <c r="O998" s="83"/>
      <c r="P998" s="87"/>
    </row>
    <row r="999" spans="1:16" x14ac:dyDescent="0.3">
      <c r="A999" s="77"/>
      <c r="B999" s="80"/>
      <c r="C999" s="43"/>
      <c r="D999" s="43"/>
      <c r="E999" s="43"/>
      <c r="F999" s="80"/>
      <c r="G999" s="83"/>
      <c r="H999" s="83"/>
      <c r="I999" s="4"/>
      <c r="J999" s="80" t="str">
        <f>TEXT(tblPayments[[#This Row],[Arrival]],"mmm")</f>
        <v>Jan</v>
      </c>
      <c r="K999" s="80">
        <f>MONTH(tblPayments[[#This Row],[Arrival]])</f>
        <v>1</v>
      </c>
      <c r="L999" s="80">
        <f>YEAR(tblPayments[[#This Row],[Arrival]])</f>
        <v>1900</v>
      </c>
      <c r="M999" s="80" t="str">
        <f>IF(tblPayments[[#This Row],[Balance]]=0,"Full Payment","Deposit")</f>
        <v>Full Payment</v>
      </c>
      <c r="N999" s="43"/>
      <c r="O999" s="83"/>
      <c r="P999" s="87"/>
    </row>
    <row r="1000" spans="1:16" x14ac:dyDescent="0.3">
      <c r="A1000" s="77"/>
      <c r="B1000" s="80"/>
      <c r="C1000" s="43"/>
      <c r="D1000" s="43"/>
      <c r="E1000" s="43"/>
      <c r="F1000" s="80"/>
      <c r="G1000" s="83"/>
      <c r="H1000" s="83"/>
      <c r="I1000" s="4"/>
      <c r="J1000" s="80" t="str">
        <f>TEXT(tblPayments[[#This Row],[Arrival]],"mmm")</f>
        <v>Jan</v>
      </c>
      <c r="K1000" s="80">
        <f>MONTH(tblPayments[[#This Row],[Arrival]])</f>
        <v>1</v>
      </c>
      <c r="L1000" s="80">
        <f>YEAR(tblPayments[[#This Row],[Arrival]])</f>
        <v>1900</v>
      </c>
      <c r="M1000" s="80" t="str">
        <f>IF(tblPayments[[#This Row],[Balance]]=0,"Full Payment","Deposit")</f>
        <v>Full Payment</v>
      </c>
      <c r="N1000" s="43"/>
      <c r="O1000" s="83"/>
      <c r="P1000" s="87"/>
    </row>
    <row r="1001" spans="1:16" x14ac:dyDescent="0.3">
      <c r="A1001" s="79"/>
      <c r="B1001" s="82"/>
      <c r="C1001" s="52"/>
      <c r="D1001" s="52"/>
      <c r="E1001" s="52"/>
      <c r="F1001" s="82"/>
      <c r="G1001" s="85"/>
      <c r="H1001" s="85"/>
      <c r="I1001" s="51"/>
      <c r="J1001" s="82" t="str">
        <f>TEXT(tblPayments[[#This Row],[Arrival]],"mmm")</f>
        <v>Jan</v>
      </c>
      <c r="K1001" s="82">
        <f>MONTH(tblPayments[[#This Row],[Arrival]])</f>
        <v>1</v>
      </c>
      <c r="L1001" s="82">
        <f>YEAR(tblPayments[[#This Row],[Arrival]])</f>
        <v>1900</v>
      </c>
      <c r="M1001" s="82" t="str">
        <f>IF(tblPayments[[#This Row],[Balance]]=0,"Full Payment","Deposit")</f>
        <v>Full Payment</v>
      </c>
      <c r="N1001" s="52"/>
      <c r="O1001" s="85"/>
      <c r="P1001" s="89"/>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17C13-C7CC-44A4-B084-FF0DCC49D9E6}">
  <dimension ref="A1:L428"/>
  <sheetViews>
    <sheetView zoomScale="62" zoomScaleNormal="62" workbookViewId="0">
      <selection activeCell="C20" sqref="C20"/>
    </sheetView>
  </sheetViews>
  <sheetFormatPr defaultColWidth="8.88671875" defaultRowHeight="14.4" x14ac:dyDescent="0.3"/>
  <cols>
    <col min="1" max="1" width="12.109375" style="17" customWidth="1"/>
    <col min="2" max="2" width="14.33203125" style="17" customWidth="1"/>
    <col min="3" max="3" width="23.5546875" style="22" customWidth="1"/>
    <col min="4" max="4" width="26.6640625" style="22" customWidth="1"/>
    <col min="5" max="5" width="14.5546875" style="22" customWidth="1"/>
    <col min="6" max="6" width="23.5546875" style="22" customWidth="1"/>
    <col min="7" max="7" width="14.33203125" style="17" customWidth="1"/>
    <col min="8" max="8" width="15" style="17" customWidth="1"/>
    <col min="9" max="9" width="18" style="17" customWidth="1"/>
    <col min="10" max="10" width="23.33203125" style="21" customWidth="1"/>
    <col min="11" max="11" width="18.6640625" style="17" customWidth="1"/>
    <col min="12" max="12" width="26.44140625" style="17" customWidth="1"/>
    <col min="13" max="16384" width="8.88671875" style="17"/>
  </cols>
  <sheetData>
    <row r="1" spans="1:12" s="13" customFormat="1" x14ac:dyDescent="0.3">
      <c r="A1" s="29" t="s">
        <v>46</v>
      </c>
      <c r="B1" s="30" t="s">
        <v>71</v>
      </c>
      <c r="C1" s="31" t="s">
        <v>54</v>
      </c>
      <c r="D1" s="31" t="s">
        <v>55</v>
      </c>
      <c r="E1" s="31" t="s">
        <v>56</v>
      </c>
      <c r="F1" s="31" t="s">
        <v>69</v>
      </c>
      <c r="G1" s="30" t="s">
        <v>47</v>
      </c>
      <c r="H1" s="30" t="s">
        <v>48</v>
      </c>
      <c r="I1" s="30" t="s">
        <v>49</v>
      </c>
      <c r="J1" s="32" t="s">
        <v>50</v>
      </c>
      <c r="K1" s="30" t="s">
        <v>52</v>
      </c>
      <c r="L1" s="33" t="s">
        <v>53</v>
      </c>
    </row>
    <row r="2" spans="1:12" x14ac:dyDescent="0.3">
      <c r="A2" s="27" t="s">
        <v>101</v>
      </c>
      <c r="B2" s="14" t="s">
        <v>76</v>
      </c>
      <c r="C2" s="9">
        <v>199999.97</v>
      </c>
      <c r="D2" s="9">
        <v>199999.97</v>
      </c>
      <c r="E2" s="16"/>
      <c r="F2" s="14" t="s">
        <v>70</v>
      </c>
      <c r="G2" s="15">
        <v>46023</v>
      </c>
      <c r="H2" s="15">
        <v>46030</v>
      </c>
      <c r="I2" s="14">
        <v>7</v>
      </c>
      <c r="J2" s="9">
        <v>137553.57</v>
      </c>
      <c r="K2" s="15">
        <v>45933</v>
      </c>
      <c r="L2" s="28" t="s">
        <v>1</v>
      </c>
    </row>
    <row r="3" spans="1:12" x14ac:dyDescent="0.3">
      <c r="A3" s="27" t="s">
        <v>101</v>
      </c>
      <c r="B3" s="14" t="s">
        <v>76</v>
      </c>
      <c r="C3" s="9">
        <v>209974.09</v>
      </c>
      <c r="D3" s="9">
        <v>209974.09</v>
      </c>
      <c r="E3" s="16"/>
      <c r="F3" s="14" t="s">
        <v>70</v>
      </c>
      <c r="G3" s="15">
        <v>46023</v>
      </c>
      <c r="H3" s="15">
        <v>46030</v>
      </c>
      <c r="I3" s="14">
        <v>7</v>
      </c>
      <c r="J3" s="9">
        <v>149217.09</v>
      </c>
      <c r="K3" s="15">
        <v>45861</v>
      </c>
      <c r="L3" s="28" t="s">
        <v>2</v>
      </c>
    </row>
    <row r="4" spans="1:12" x14ac:dyDescent="0.3">
      <c r="A4" s="27" t="s">
        <v>101</v>
      </c>
      <c r="B4" s="14" t="s">
        <v>76</v>
      </c>
      <c r="C4" s="9">
        <v>136440</v>
      </c>
      <c r="D4" s="9">
        <v>136440</v>
      </c>
      <c r="E4" s="16"/>
      <c r="F4" s="14" t="s">
        <v>70</v>
      </c>
      <c r="G4" s="15">
        <v>46024</v>
      </c>
      <c r="H4" s="15">
        <v>46034</v>
      </c>
      <c r="I4" s="14">
        <v>10</v>
      </c>
      <c r="J4" s="9">
        <v>95268.04</v>
      </c>
      <c r="K4" s="15">
        <v>45895</v>
      </c>
      <c r="L4" s="28" t="s">
        <v>1</v>
      </c>
    </row>
    <row r="5" spans="1:12" x14ac:dyDescent="0.3">
      <c r="A5" s="27" t="s">
        <v>101</v>
      </c>
      <c r="B5" s="14" t="s">
        <v>76</v>
      </c>
      <c r="C5" s="9">
        <v>131512</v>
      </c>
      <c r="D5" s="9">
        <v>131512</v>
      </c>
      <c r="E5" s="16"/>
      <c r="F5" s="14" t="s">
        <v>70</v>
      </c>
      <c r="G5" s="15">
        <v>46024</v>
      </c>
      <c r="H5" s="15">
        <v>46033</v>
      </c>
      <c r="I5" s="14">
        <v>9</v>
      </c>
      <c r="J5" s="9">
        <v>90370.98</v>
      </c>
      <c r="K5" s="15">
        <v>45973</v>
      </c>
      <c r="L5" s="28" t="s">
        <v>1</v>
      </c>
    </row>
    <row r="6" spans="1:12" x14ac:dyDescent="0.3">
      <c r="A6" s="27" t="s">
        <v>101</v>
      </c>
      <c r="B6" s="14" t="s">
        <v>76</v>
      </c>
      <c r="C6" s="9">
        <v>65778</v>
      </c>
      <c r="D6" s="9">
        <v>65778</v>
      </c>
      <c r="E6" s="16"/>
      <c r="F6" s="14" t="s">
        <v>70</v>
      </c>
      <c r="G6" s="15">
        <v>46025</v>
      </c>
      <c r="H6" s="15">
        <v>46032</v>
      </c>
      <c r="I6" s="14">
        <v>7</v>
      </c>
      <c r="J6" s="9">
        <v>36985.269999999997</v>
      </c>
      <c r="K6" s="15">
        <v>45736</v>
      </c>
      <c r="L6" s="28" t="s">
        <v>2</v>
      </c>
    </row>
    <row r="7" spans="1:12" x14ac:dyDescent="0.3">
      <c r="A7" s="27" t="s">
        <v>101</v>
      </c>
      <c r="B7" s="14" t="s">
        <v>76</v>
      </c>
      <c r="C7" s="9">
        <v>116300</v>
      </c>
      <c r="D7" s="9">
        <v>116300</v>
      </c>
      <c r="E7" s="16"/>
      <c r="F7" s="14" t="s">
        <v>70</v>
      </c>
      <c r="G7" s="15">
        <v>46025</v>
      </c>
      <c r="H7" s="15">
        <v>46034</v>
      </c>
      <c r="I7" s="14">
        <v>9</v>
      </c>
      <c r="J7" s="9">
        <v>84335.67</v>
      </c>
      <c r="K7" s="15">
        <v>45901</v>
      </c>
      <c r="L7" s="28" t="s">
        <v>1</v>
      </c>
    </row>
    <row r="8" spans="1:12" x14ac:dyDescent="0.3">
      <c r="A8" s="27" t="s">
        <v>101</v>
      </c>
      <c r="B8" s="14" t="s">
        <v>76</v>
      </c>
      <c r="C8" s="9">
        <v>78492.39</v>
      </c>
      <c r="D8" s="9">
        <v>78824.539999999994</v>
      </c>
      <c r="E8" s="16"/>
      <c r="F8" s="14" t="s">
        <v>70</v>
      </c>
      <c r="G8" s="15">
        <v>46025</v>
      </c>
      <c r="H8" s="15">
        <v>46032</v>
      </c>
      <c r="I8" s="14">
        <v>7</v>
      </c>
      <c r="J8" s="9">
        <v>57379.839999999997</v>
      </c>
      <c r="K8" s="15">
        <v>45833</v>
      </c>
      <c r="L8" s="28" t="s">
        <v>1</v>
      </c>
    </row>
    <row r="9" spans="1:12" x14ac:dyDescent="0.3">
      <c r="A9" s="27" t="s">
        <v>101</v>
      </c>
      <c r="B9" s="14" t="s">
        <v>76</v>
      </c>
      <c r="C9" s="9">
        <v>20030.88</v>
      </c>
      <c r="D9" s="9">
        <v>20030.88</v>
      </c>
      <c r="E9" s="16"/>
      <c r="F9" s="14" t="s">
        <v>70</v>
      </c>
      <c r="G9" s="15">
        <v>46026</v>
      </c>
      <c r="H9" s="15">
        <v>46030</v>
      </c>
      <c r="I9" s="14">
        <v>4</v>
      </c>
      <c r="J9" s="9">
        <v>11604.76</v>
      </c>
      <c r="K9" s="15">
        <v>45912</v>
      </c>
      <c r="L9" s="28" t="s">
        <v>8</v>
      </c>
    </row>
    <row r="10" spans="1:12" x14ac:dyDescent="0.3">
      <c r="A10" s="27" t="s">
        <v>101</v>
      </c>
      <c r="B10" s="14" t="s">
        <v>76</v>
      </c>
      <c r="C10" s="9">
        <v>85106</v>
      </c>
      <c r="D10" s="9">
        <v>85106</v>
      </c>
      <c r="E10" s="16"/>
      <c r="F10" s="14" t="s">
        <v>70</v>
      </c>
      <c r="G10" s="15">
        <v>46026</v>
      </c>
      <c r="H10" s="15">
        <v>46031</v>
      </c>
      <c r="I10" s="14">
        <v>5</v>
      </c>
      <c r="J10" s="9">
        <v>59803.1</v>
      </c>
      <c r="K10" s="15">
        <v>45933</v>
      </c>
      <c r="L10" s="28" t="s">
        <v>10</v>
      </c>
    </row>
    <row r="11" spans="1:12" x14ac:dyDescent="0.3">
      <c r="A11" s="27" t="s">
        <v>101</v>
      </c>
      <c r="B11" s="14" t="s">
        <v>76</v>
      </c>
      <c r="C11" s="16">
        <v>0</v>
      </c>
      <c r="D11" s="16">
        <v>0</v>
      </c>
      <c r="E11" s="16"/>
      <c r="F11" s="14" t="s">
        <v>73</v>
      </c>
      <c r="G11" s="15">
        <v>46026</v>
      </c>
      <c r="H11" s="15">
        <v>46028</v>
      </c>
      <c r="I11" s="14">
        <v>2</v>
      </c>
      <c r="J11" s="9">
        <v>0</v>
      </c>
      <c r="K11" s="15">
        <v>45973</v>
      </c>
      <c r="L11" s="28" t="s">
        <v>6</v>
      </c>
    </row>
    <row r="12" spans="1:12" x14ac:dyDescent="0.3">
      <c r="A12" s="27" t="s">
        <v>101</v>
      </c>
      <c r="B12" s="14" t="s">
        <v>76</v>
      </c>
      <c r="C12" s="16">
        <v>0</v>
      </c>
      <c r="D12" s="16">
        <v>0</v>
      </c>
      <c r="E12" s="16"/>
      <c r="F12" s="14" t="s">
        <v>74</v>
      </c>
      <c r="G12" s="15">
        <v>46026</v>
      </c>
      <c r="H12" s="15">
        <v>46033</v>
      </c>
      <c r="I12" s="14">
        <v>7</v>
      </c>
      <c r="J12" s="9">
        <v>22696.94</v>
      </c>
      <c r="K12" s="15">
        <v>46001</v>
      </c>
      <c r="L12" s="28" t="s">
        <v>9</v>
      </c>
    </row>
    <row r="13" spans="1:12" x14ac:dyDescent="0.3">
      <c r="A13" s="27" t="s">
        <v>101</v>
      </c>
      <c r="B13" s="14" t="s">
        <v>76</v>
      </c>
      <c r="C13" s="16">
        <v>0</v>
      </c>
      <c r="D13" s="16">
        <v>0</v>
      </c>
      <c r="E13" s="16"/>
      <c r="F13" s="14" t="s">
        <v>74</v>
      </c>
      <c r="G13" s="15">
        <v>46026</v>
      </c>
      <c r="H13" s="15">
        <v>46033</v>
      </c>
      <c r="I13" s="14">
        <v>7</v>
      </c>
      <c r="J13" s="9">
        <v>22696.94</v>
      </c>
      <c r="K13" s="15">
        <v>46001</v>
      </c>
      <c r="L13" s="28" t="s">
        <v>9</v>
      </c>
    </row>
    <row r="14" spans="1:12" x14ac:dyDescent="0.3">
      <c r="A14" s="27" t="s">
        <v>101</v>
      </c>
      <c r="B14" s="14" t="s">
        <v>76</v>
      </c>
      <c r="C14" s="9">
        <v>18682.88</v>
      </c>
      <c r="D14" s="9">
        <v>18682.88</v>
      </c>
      <c r="E14" s="16"/>
      <c r="F14" s="14" t="s">
        <v>70</v>
      </c>
      <c r="G14" s="15">
        <v>46026</v>
      </c>
      <c r="H14" s="15">
        <v>46030</v>
      </c>
      <c r="I14" s="14">
        <v>4</v>
      </c>
      <c r="J14" s="9">
        <v>11766.56</v>
      </c>
      <c r="K14" s="15">
        <v>45837</v>
      </c>
      <c r="L14" s="28" t="s">
        <v>9</v>
      </c>
    </row>
    <row r="15" spans="1:12" x14ac:dyDescent="0.3">
      <c r="A15" s="27" t="s">
        <v>101</v>
      </c>
      <c r="B15" s="14" t="s">
        <v>76</v>
      </c>
      <c r="C15" s="9">
        <v>63049.9</v>
      </c>
      <c r="D15" s="9">
        <v>2600</v>
      </c>
      <c r="E15" s="9">
        <v>60449.9</v>
      </c>
      <c r="F15" s="14" t="s">
        <v>80</v>
      </c>
      <c r="G15" s="15">
        <v>46027</v>
      </c>
      <c r="H15" s="15">
        <v>46036</v>
      </c>
      <c r="I15" s="14">
        <v>9</v>
      </c>
      <c r="J15" s="9">
        <v>45073.17</v>
      </c>
      <c r="K15" s="15">
        <v>45938</v>
      </c>
      <c r="L15" s="28" t="s">
        <v>12</v>
      </c>
    </row>
    <row r="16" spans="1:12" x14ac:dyDescent="0.3">
      <c r="A16" s="27" t="s">
        <v>101</v>
      </c>
      <c r="B16" s="14" t="s">
        <v>76</v>
      </c>
      <c r="C16" s="9">
        <v>43204</v>
      </c>
      <c r="D16" s="9">
        <v>43204</v>
      </c>
      <c r="E16" s="16"/>
      <c r="F16" s="14" t="s">
        <v>70</v>
      </c>
      <c r="G16" s="15">
        <v>46027</v>
      </c>
      <c r="H16" s="15">
        <v>46033</v>
      </c>
      <c r="I16" s="14">
        <v>6</v>
      </c>
      <c r="J16" s="9">
        <v>30396.3</v>
      </c>
      <c r="K16" s="15">
        <v>45975</v>
      </c>
      <c r="L16" s="28" t="s">
        <v>13</v>
      </c>
    </row>
    <row r="17" spans="1:12" x14ac:dyDescent="0.3">
      <c r="A17" s="27" t="s">
        <v>101</v>
      </c>
      <c r="B17" s="14" t="s">
        <v>76</v>
      </c>
      <c r="C17" s="9">
        <v>30367.55</v>
      </c>
      <c r="D17" s="9">
        <v>30367.55</v>
      </c>
      <c r="E17" s="16"/>
      <c r="F17" s="14" t="s">
        <v>70</v>
      </c>
      <c r="G17" s="15">
        <v>46027</v>
      </c>
      <c r="H17" s="15">
        <v>46030</v>
      </c>
      <c r="I17" s="14">
        <v>3</v>
      </c>
      <c r="J17" s="9">
        <v>21402.3</v>
      </c>
      <c r="K17" s="15">
        <v>45961</v>
      </c>
      <c r="L17" s="28" t="s">
        <v>14</v>
      </c>
    </row>
    <row r="18" spans="1:12" x14ac:dyDescent="0.3">
      <c r="A18" s="27" t="s">
        <v>101</v>
      </c>
      <c r="B18" s="14" t="s">
        <v>76</v>
      </c>
      <c r="C18" s="16">
        <v>56372.1</v>
      </c>
      <c r="D18" s="16">
        <v>56372.1</v>
      </c>
      <c r="E18" s="16"/>
      <c r="F18" s="14" t="s">
        <v>72</v>
      </c>
      <c r="G18" s="15">
        <v>46028</v>
      </c>
      <c r="H18" s="15">
        <v>46035</v>
      </c>
      <c r="I18" s="14">
        <v>7</v>
      </c>
      <c r="J18" s="9">
        <v>38085.53</v>
      </c>
      <c r="K18" s="15">
        <v>45976</v>
      </c>
      <c r="L18" s="28" t="s">
        <v>1</v>
      </c>
    </row>
    <row r="19" spans="1:12" x14ac:dyDescent="0.3">
      <c r="A19" s="27" t="s">
        <v>101</v>
      </c>
      <c r="B19" s="14" t="s">
        <v>76</v>
      </c>
      <c r="C19" s="16">
        <v>0</v>
      </c>
      <c r="D19" s="16">
        <v>0</v>
      </c>
      <c r="E19" s="16"/>
      <c r="F19" s="14" t="s">
        <v>73</v>
      </c>
      <c r="G19" s="15">
        <v>46028</v>
      </c>
      <c r="H19" s="15">
        <v>46033</v>
      </c>
      <c r="I19" s="14">
        <v>5</v>
      </c>
      <c r="J19" s="9">
        <v>0</v>
      </c>
      <c r="K19" s="15">
        <v>45975</v>
      </c>
      <c r="L19" s="28" t="s">
        <v>1</v>
      </c>
    </row>
    <row r="20" spans="1:12" x14ac:dyDescent="0.3">
      <c r="A20" s="27" t="s">
        <v>101</v>
      </c>
      <c r="B20" s="14" t="s">
        <v>76</v>
      </c>
      <c r="C20" s="16"/>
      <c r="D20" s="16"/>
      <c r="E20" s="16"/>
      <c r="F20" s="14" t="s">
        <v>73</v>
      </c>
      <c r="G20" s="15">
        <v>46029</v>
      </c>
      <c r="H20" s="15">
        <v>46036</v>
      </c>
      <c r="I20" s="14">
        <v>7</v>
      </c>
      <c r="J20" s="9">
        <v>10040.379999999999</v>
      </c>
      <c r="K20" s="15"/>
      <c r="L20" s="28"/>
    </row>
    <row r="21" spans="1:12" x14ac:dyDescent="0.3">
      <c r="A21" s="27" t="s">
        <v>101</v>
      </c>
      <c r="B21" s="14" t="s">
        <v>76</v>
      </c>
      <c r="C21" s="16">
        <v>19000</v>
      </c>
      <c r="D21" s="16">
        <v>11017.78</v>
      </c>
      <c r="E21" s="16">
        <v>7982.22</v>
      </c>
      <c r="F21" s="14" t="s">
        <v>72</v>
      </c>
      <c r="G21" s="15">
        <v>46029</v>
      </c>
      <c r="H21" s="15">
        <v>46045</v>
      </c>
      <c r="I21" s="14">
        <v>16</v>
      </c>
      <c r="J21" s="9">
        <v>0</v>
      </c>
      <c r="K21" s="15">
        <v>45743</v>
      </c>
      <c r="L21" s="28" t="s">
        <v>18</v>
      </c>
    </row>
    <row r="22" spans="1:12" x14ac:dyDescent="0.3">
      <c r="A22" s="27" t="s">
        <v>101</v>
      </c>
      <c r="B22" s="14" t="s">
        <v>76</v>
      </c>
      <c r="C22" s="9">
        <v>52368.800000000003</v>
      </c>
      <c r="D22" s="9"/>
      <c r="E22" s="9">
        <v>52368.800000000003</v>
      </c>
      <c r="F22" s="14" t="s">
        <v>75</v>
      </c>
      <c r="G22" s="15">
        <v>46030</v>
      </c>
      <c r="H22" s="15">
        <v>46037</v>
      </c>
      <c r="I22" s="14">
        <v>7</v>
      </c>
      <c r="J22" s="9">
        <v>37832.76</v>
      </c>
      <c r="K22" s="15">
        <v>45995</v>
      </c>
      <c r="L22" s="28" t="s">
        <v>19</v>
      </c>
    </row>
    <row r="23" spans="1:12" x14ac:dyDescent="0.3">
      <c r="A23" s="27" t="s">
        <v>101</v>
      </c>
      <c r="B23" s="14" t="s">
        <v>76</v>
      </c>
      <c r="C23" s="16"/>
      <c r="D23" s="16"/>
      <c r="E23" s="16"/>
      <c r="F23" s="14" t="s">
        <v>74</v>
      </c>
      <c r="G23" s="15">
        <v>46030</v>
      </c>
      <c r="H23" s="15">
        <v>46046</v>
      </c>
      <c r="I23" s="14">
        <v>16</v>
      </c>
      <c r="J23" s="9">
        <v>10622.68</v>
      </c>
      <c r="K23" s="15">
        <v>45932</v>
      </c>
      <c r="L23" s="28" t="s">
        <v>18</v>
      </c>
    </row>
    <row r="24" spans="1:12" x14ac:dyDescent="0.3">
      <c r="A24" s="27" t="s">
        <v>101</v>
      </c>
      <c r="B24" s="14" t="s">
        <v>76</v>
      </c>
      <c r="C24" s="16">
        <v>0</v>
      </c>
      <c r="D24" s="16">
        <v>0</v>
      </c>
      <c r="E24" s="16"/>
      <c r="F24" s="14" t="s">
        <v>73</v>
      </c>
      <c r="G24" s="15">
        <v>46031</v>
      </c>
      <c r="H24" s="15">
        <v>46038</v>
      </c>
      <c r="I24" s="14">
        <v>7</v>
      </c>
      <c r="J24" s="9">
        <v>0</v>
      </c>
      <c r="K24" s="15">
        <v>45674</v>
      </c>
      <c r="L24" s="28" t="s">
        <v>2</v>
      </c>
    </row>
    <row r="25" spans="1:12" x14ac:dyDescent="0.3">
      <c r="A25" s="27" t="s">
        <v>101</v>
      </c>
      <c r="B25" s="14" t="s">
        <v>76</v>
      </c>
      <c r="C25" s="9">
        <v>67954.740000000005</v>
      </c>
      <c r="D25" s="9">
        <v>67954.740000000005</v>
      </c>
      <c r="E25" s="16"/>
      <c r="F25" s="14" t="s">
        <v>70</v>
      </c>
      <c r="G25" s="15">
        <v>46031</v>
      </c>
      <c r="H25" s="15">
        <v>46039</v>
      </c>
      <c r="I25" s="14">
        <v>8</v>
      </c>
      <c r="J25" s="9">
        <v>49406.1</v>
      </c>
      <c r="K25" s="15">
        <v>45980</v>
      </c>
      <c r="L25" s="28" t="s">
        <v>20</v>
      </c>
    </row>
    <row r="26" spans="1:12" x14ac:dyDescent="0.3">
      <c r="A26" s="27" t="s">
        <v>101</v>
      </c>
      <c r="B26" s="14" t="s">
        <v>76</v>
      </c>
      <c r="C26" s="9">
        <v>157003.12</v>
      </c>
      <c r="D26" s="9">
        <v>157003.12</v>
      </c>
      <c r="E26" s="16"/>
      <c r="F26" s="14" t="s">
        <v>70</v>
      </c>
      <c r="G26" s="15">
        <v>46032</v>
      </c>
      <c r="H26" s="15">
        <v>46040</v>
      </c>
      <c r="I26" s="14">
        <v>8</v>
      </c>
      <c r="J26" s="9">
        <v>107244.08</v>
      </c>
      <c r="K26" s="15">
        <v>45792</v>
      </c>
      <c r="L26" s="28" t="s">
        <v>21</v>
      </c>
    </row>
    <row r="27" spans="1:12" x14ac:dyDescent="0.3">
      <c r="A27" s="27" t="s">
        <v>101</v>
      </c>
      <c r="B27" s="14" t="s">
        <v>77</v>
      </c>
      <c r="C27" s="9">
        <v>33897</v>
      </c>
      <c r="D27" s="9">
        <v>33897</v>
      </c>
      <c r="E27" s="16"/>
      <c r="F27" s="14" t="s">
        <v>70</v>
      </c>
      <c r="G27" s="15">
        <v>46034</v>
      </c>
      <c r="H27" s="15">
        <v>46040</v>
      </c>
      <c r="I27" s="14">
        <v>6</v>
      </c>
      <c r="J27" s="9">
        <v>20535.72</v>
      </c>
      <c r="K27" s="15">
        <v>45966</v>
      </c>
      <c r="L27" s="28" t="s">
        <v>1</v>
      </c>
    </row>
    <row r="28" spans="1:12" x14ac:dyDescent="0.3">
      <c r="A28" s="27" t="s">
        <v>101</v>
      </c>
      <c r="B28" s="14" t="s">
        <v>77</v>
      </c>
      <c r="C28" s="9">
        <v>41700</v>
      </c>
      <c r="D28" s="9">
        <v>41700</v>
      </c>
      <c r="E28" s="16"/>
      <c r="F28" s="14" t="s">
        <v>70</v>
      </c>
      <c r="G28" s="15">
        <v>46034</v>
      </c>
      <c r="H28" s="15">
        <v>46043</v>
      </c>
      <c r="I28" s="14">
        <v>9</v>
      </c>
      <c r="J28" s="9">
        <v>10003.08</v>
      </c>
      <c r="K28" s="15">
        <v>45911</v>
      </c>
      <c r="L28" s="28" t="s">
        <v>22</v>
      </c>
    </row>
    <row r="29" spans="1:12" x14ac:dyDescent="0.3">
      <c r="A29" s="27" t="s">
        <v>101</v>
      </c>
      <c r="B29" s="14" t="s">
        <v>77</v>
      </c>
      <c r="C29" s="9">
        <v>58243.22</v>
      </c>
      <c r="D29" s="9"/>
      <c r="E29" s="9">
        <v>58243.22</v>
      </c>
      <c r="F29" s="14" t="s">
        <v>75</v>
      </c>
      <c r="G29" s="15">
        <v>46034</v>
      </c>
      <c r="H29" s="15">
        <v>46048</v>
      </c>
      <c r="I29" s="14">
        <v>14</v>
      </c>
      <c r="J29" s="9">
        <v>34161.120000000003</v>
      </c>
      <c r="K29" s="15">
        <v>45777</v>
      </c>
      <c r="L29" s="28" t="s">
        <v>22</v>
      </c>
    </row>
    <row r="30" spans="1:12" x14ac:dyDescent="0.3">
      <c r="A30" s="27" t="s">
        <v>101</v>
      </c>
      <c r="B30" s="14" t="s">
        <v>77</v>
      </c>
      <c r="C30" s="9"/>
      <c r="D30" s="9"/>
      <c r="E30" s="9"/>
      <c r="F30" s="14" t="s">
        <v>74</v>
      </c>
      <c r="G30" s="15">
        <v>46034</v>
      </c>
      <c r="H30" s="15">
        <v>46038</v>
      </c>
      <c r="I30" s="14">
        <v>4</v>
      </c>
      <c r="J30" s="9"/>
      <c r="K30" s="15">
        <v>46002</v>
      </c>
      <c r="L30" s="28"/>
    </row>
    <row r="31" spans="1:12" x14ac:dyDescent="0.3">
      <c r="A31" s="27" t="s">
        <v>101</v>
      </c>
      <c r="B31" s="14" t="s">
        <v>77</v>
      </c>
      <c r="C31" s="11">
        <v>29085</v>
      </c>
      <c r="D31" s="11"/>
      <c r="E31" s="11">
        <v>29085</v>
      </c>
      <c r="F31" s="14" t="s">
        <v>75</v>
      </c>
      <c r="G31" s="15">
        <v>46035</v>
      </c>
      <c r="H31" s="15">
        <v>46040</v>
      </c>
      <c r="I31" s="14">
        <v>5</v>
      </c>
      <c r="J31" s="9">
        <v>19570.7</v>
      </c>
      <c r="K31" s="15">
        <v>45998</v>
      </c>
      <c r="L31" s="28" t="s">
        <v>18</v>
      </c>
    </row>
    <row r="32" spans="1:12" x14ac:dyDescent="0.3">
      <c r="A32" s="27" t="s">
        <v>101</v>
      </c>
      <c r="B32" s="14" t="s">
        <v>77</v>
      </c>
      <c r="C32" s="16">
        <v>43861.8</v>
      </c>
      <c r="D32" s="16">
        <v>18861.8</v>
      </c>
      <c r="E32" s="16">
        <v>25000</v>
      </c>
      <c r="F32" s="14" t="s">
        <v>72</v>
      </c>
      <c r="G32" s="15">
        <v>46035</v>
      </c>
      <c r="H32" s="15">
        <v>46041</v>
      </c>
      <c r="I32" s="14">
        <v>6</v>
      </c>
      <c r="J32" s="9">
        <v>32644.74</v>
      </c>
      <c r="K32" s="15">
        <v>45976</v>
      </c>
      <c r="L32" s="28" t="s">
        <v>1</v>
      </c>
    </row>
    <row r="33" spans="1:12" x14ac:dyDescent="0.3">
      <c r="A33" s="27" t="s">
        <v>101</v>
      </c>
      <c r="B33" s="14" t="s">
        <v>77</v>
      </c>
      <c r="C33" s="9">
        <v>127800.88</v>
      </c>
      <c r="D33" s="9">
        <v>50000</v>
      </c>
      <c r="E33" s="9">
        <v>77800.88</v>
      </c>
      <c r="F33" s="14" t="s">
        <v>72</v>
      </c>
      <c r="G33" s="15">
        <v>46035</v>
      </c>
      <c r="H33" s="15">
        <v>46049</v>
      </c>
      <c r="I33" s="14">
        <v>14</v>
      </c>
      <c r="J33" s="9">
        <v>88943.12</v>
      </c>
      <c r="K33" s="15">
        <v>45917</v>
      </c>
      <c r="L33" s="28" t="s">
        <v>1</v>
      </c>
    </row>
    <row r="34" spans="1:12" x14ac:dyDescent="0.3">
      <c r="A34" s="27" t="s">
        <v>101</v>
      </c>
      <c r="B34" s="14" t="s">
        <v>77</v>
      </c>
      <c r="C34" s="9">
        <v>103950</v>
      </c>
      <c r="D34" s="9">
        <v>103950</v>
      </c>
      <c r="E34" s="16"/>
      <c r="F34" s="14" t="s">
        <v>70</v>
      </c>
      <c r="G34" s="15">
        <v>46035</v>
      </c>
      <c r="H34" s="15">
        <v>46045</v>
      </c>
      <c r="I34" s="14">
        <v>10</v>
      </c>
      <c r="J34" s="9">
        <v>0</v>
      </c>
      <c r="K34" s="15">
        <v>45555</v>
      </c>
      <c r="L34" s="28" t="s">
        <v>15</v>
      </c>
    </row>
    <row r="35" spans="1:12" x14ac:dyDescent="0.3">
      <c r="A35" s="27" t="s">
        <v>101</v>
      </c>
      <c r="B35" s="14" t="s">
        <v>77</v>
      </c>
      <c r="C35" s="9">
        <v>91560</v>
      </c>
      <c r="D35" s="9"/>
      <c r="E35" s="9">
        <v>91560</v>
      </c>
      <c r="F35" s="14" t="s">
        <v>75</v>
      </c>
      <c r="G35" s="15">
        <v>46036</v>
      </c>
      <c r="H35" s="15">
        <v>46066</v>
      </c>
      <c r="I35" s="14">
        <v>30</v>
      </c>
      <c r="J35" s="9">
        <v>47179.5</v>
      </c>
      <c r="K35" s="15">
        <v>45776</v>
      </c>
      <c r="L35" s="28" t="s">
        <v>24</v>
      </c>
    </row>
    <row r="36" spans="1:12" x14ac:dyDescent="0.3">
      <c r="A36" s="27" t="s">
        <v>101</v>
      </c>
      <c r="B36" s="14" t="s">
        <v>77</v>
      </c>
      <c r="C36" s="9">
        <v>136400.34</v>
      </c>
      <c r="D36" s="9"/>
      <c r="E36" s="9">
        <v>136400.34</v>
      </c>
      <c r="F36" s="14" t="s">
        <v>75</v>
      </c>
      <c r="G36" s="15">
        <v>46036</v>
      </c>
      <c r="H36" s="15">
        <v>46054</v>
      </c>
      <c r="I36" s="14">
        <v>18</v>
      </c>
      <c r="J36" s="9">
        <v>87639.12</v>
      </c>
      <c r="K36" s="15">
        <v>45861</v>
      </c>
      <c r="L36" s="28" t="s">
        <v>20</v>
      </c>
    </row>
    <row r="37" spans="1:12" x14ac:dyDescent="0.3">
      <c r="A37" s="27" t="s">
        <v>101</v>
      </c>
      <c r="B37" s="14" t="s">
        <v>77</v>
      </c>
      <c r="C37" s="16"/>
      <c r="D37" s="16"/>
      <c r="E37" s="16"/>
      <c r="F37" s="14" t="s">
        <v>74</v>
      </c>
      <c r="G37" s="15">
        <v>46037</v>
      </c>
      <c r="H37" s="15">
        <v>46046</v>
      </c>
      <c r="I37" s="14">
        <v>9</v>
      </c>
      <c r="J37" s="9">
        <v>0</v>
      </c>
      <c r="K37" s="15">
        <v>45912</v>
      </c>
      <c r="L37" s="28" t="s">
        <v>1</v>
      </c>
    </row>
    <row r="38" spans="1:12" x14ac:dyDescent="0.3">
      <c r="A38" s="27" t="s">
        <v>101</v>
      </c>
      <c r="B38" s="14" t="s">
        <v>77</v>
      </c>
      <c r="C38" s="9">
        <v>33970</v>
      </c>
      <c r="D38" s="9">
        <v>33970</v>
      </c>
      <c r="E38" s="16"/>
      <c r="F38" s="14" t="s">
        <v>70</v>
      </c>
      <c r="G38" s="15">
        <v>46038</v>
      </c>
      <c r="H38" s="15">
        <v>46053</v>
      </c>
      <c r="I38" s="14">
        <v>15</v>
      </c>
      <c r="J38" s="9">
        <v>12213.9</v>
      </c>
      <c r="K38" s="15">
        <v>45341</v>
      </c>
      <c r="L38" s="28" t="s">
        <v>25</v>
      </c>
    </row>
    <row r="39" spans="1:12" x14ac:dyDescent="0.3">
      <c r="A39" s="27" t="s">
        <v>101</v>
      </c>
      <c r="B39" s="14" t="s">
        <v>77</v>
      </c>
      <c r="C39" s="9">
        <v>83115.100000000006</v>
      </c>
      <c r="D39" s="9"/>
      <c r="E39" s="9">
        <v>83115.100000000006</v>
      </c>
      <c r="F39" s="14" t="s">
        <v>75</v>
      </c>
      <c r="G39" s="15">
        <v>46038</v>
      </c>
      <c r="H39" s="15">
        <v>46044</v>
      </c>
      <c r="I39" s="14">
        <v>6</v>
      </c>
      <c r="J39" s="9">
        <v>52936.44</v>
      </c>
      <c r="K39" s="15">
        <v>45870</v>
      </c>
      <c r="L39" s="28" t="s">
        <v>15</v>
      </c>
    </row>
    <row r="40" spans="1:12" x14ac:dyDescent="0.3">
      <c r="A40" s="27" t="s">
        <v>101</v>
      </c>
      <c r="B40" s="14" t="s">
        <v>77</v>
      </c>
      <c r="C40" s="16">
        <v>22025</v>
      </c>
      <c r="D40" s="16"/>
      <c r="E40" s="16">
        <v>22025</v>
      </c>
      <c r="F40" s="14" t="s">
        <v>75</v>
      </c>
      <c r="G40" s="15">
        <v>46038</v>
      </c>
      <c r="H40" s="15">
        <v>46045</v>
      </c>
      <c r="I40" s="14">
        <v>7</v>
      </c>
      <c r="J40" s="9">
        <v>0</v>
      </c>
      <c r="K40" s="15">
        <v>45989</v>
      </c>
      <c r="L40" s="28" t="s">
        <v>24</v>
      </c>
    </row>
    <row r="41" spans="1:12" x14ac:dyDescent="0.3">
      <c r="A41" s="27" t="s">
        <v>101</v>
      </c>
      <c r="B41" s="14" t="s">
        <v>77</v>
      </c>
      <c r="C41" s="16">
        <v>7420</v>
      </c>
      <c r="D41" s="16"/>
      <c r="E41" s="16">
        <v>7420</v>
      </c>
      <c r="F41" s="14" t="s">
        <v>75</v>
      </c>
      <c r="G41" s="15">
        <v>46038</v>
      </c>
      <c r="H41" s="15">
        <v>46048</v>
      </c>
      <c r="I41" s="14">
        <v>10</v>
      </c>
      <c r="J41" s="9">
        <v>0</v>
      </c>
      <c r="K41" s="15">
        <v>45947</v>
      </c>
      <c r="L41" s="28" t="s">
        <v>22</v>
      </c>
    </row>
    <row r="42" spans="1:12" x14ac:dyDescent="0.3">
      <c r="A42" s="27" t="s">
        <v>101</v>
      </c>
      <c r="B42" s="14" t="s">
        <v>77</v>
      </c>
      <c r="C42" s="9">
        <v>54114.7</v>
      </c>
      <c r="D42" s="9"/>
      <c r="E42" s="9">
        <v>54114.7</v>
      </c>
      <c r="F42" s="14" t="s">
        <v>75</v>
      </c>
      <c r="G42" s="15">
        <v>46039</v>
      </c>
      <c r="H42" s="15">
        <v>46058</v>
      </c>
      <c r="I42" s="14">
        <v>19</v>
      </c>
      <c r="J42" s="9">
        <v>37079.26</v>
      </c>
      <c r="K42" s="15">
        <v>45921</v>
      </c>
      <c r="L42" s="28" t="s">
        <v>24</v>
      </c>
    </row>
    <row r="43" spans="1:12" x14ac:dyDescent="0.3">
      <c r="A43" s="27" t="s">
        <v>101</v>
      </c>
      <c r="B43" s="14" t="s">
        <v>77</v>
      </c>
      <c r="C43" s="9">
        <v>150000</v>
      </c>
      <c r="D43" s="9"/>
      <c r="E43" s="9">
        <v>150000</v>
      </c>
      <c r="F43" s="14" t="s">
        <v>75</v>
      </c>
      <c r="G43" s="15">
        <v>46039</v>
      </c>
      <c r="H43" s="15">
        <v>46046</v>
      </c>
      <c r="I43" s="14">
        <v>7</v>
      </c>
      <c r="J43" s="9">
        <v>54116.51</v>
      </c>
      <c r="K43" s="15">
        <v>45689</v>
      </c>
      <c r="L43" s="28" t="s">
        <v>24</v>
      </c>
    </row>
    <row r="44" spans="1:12" x14ac:dyDescent="0.3">
      <c r="A44" s="27" t="s">
        <v>101</v>
      </c>
      <c r="B44" s="14" t="s">
        <v>77</v>
      </c>
      <c r="C44" s="9">
        <v>66048.639999999999</v>
      </c>
      <c r="D44" s="9"/>
      <c r="E44" s="9">
        <v>66048.639999999999</v>
      </c>
      <c r="F44" s="14" t="s">
        <v>75</v>
      </c>
      <c r="G44" s="15">
        <v>46039</v>
      </c>
      <c r="H44" s="15">
        <v>46067</v>
      </c>
      <c r="I44" s="14">
        <v>28</v>
      </c>
      <c r="J44" s="9">
        <v>30719.919999999998</v>
      </c>
      <c r="K44" s="15">
        <v>45820</v>
      </c>
      <c r="L44" s="28" t="s">
        <v>24</v>
      </c>
    </row>
    <row r="45" spans="1:12" x14ac:dyDescent="0.3">
      <c r="A45" s="27" t="s">
        <v>101</v>
      </c>
      <c r="B45" s="14" t="s">
        <v>77</v>
      </c>
      <c r="C45" s="16">
        <v>26735.68</v>
      </c>
      <c r="D45" s="16"/>
      <c r="E45" s="16">
        <v>26735.68</v>
      </c>
      <c r="F45" s="14" t="s">
        <v>75</v>
      </c>
      <c r="G45" s="15">
        <v>46039</v>
      </c>
      <c r="H45" s="15">
        <v>46043</v>
      </c>
      <c r="I45" s="14">
        <v>4</v>
      </c>
      <c r="J45" s="9">
        <v>16648.099999999999</v>
      </c>
      <c r="K45" s="15">
        <v>45902</v>
      </c>
      <c r="L45" s="28" t="s">
        <v>8</v>
      </c>
    </row>
    <row r="46" spans="1:12" x14ac:dyDescent="0.3">
      <c r="A46" s="27" t="s">
        <v>101</v>
      </c>
      <c r="B46" s="14" t="s">
        <v>77</v>
      </c>
      <c r="C46" s="16">
        <v>912</v>
      </c>
      <c r="D46" s="16"/>
      <c r="E46" s="16">
        <v>912</v>
      </c>
      <c r="F46" s="14" t="s">
        <v>82</v>
      </c>
      <c r="G46" s="15">
        <v>46039</v>
      </c>
      <c r="H46" s="15">
        <v>46065</v>
      </c>
      <c r="I46" s="14">
        <v>26</v>
      </c>
      <c r="J46" s="9">
        <v>0</v>
      </c>
      <c r="K46" s="15">
        <v>45829</v>
      </c>
      <c r="L46" s="28" t="s">
        <v>2</v>
      </c>
    </row>
    <row r="47" spans="1:12" x14ac:dyDescent="0.3">
      <c r="A47" s="27" t="s">
        <v>101</v>
      </c>
      <c r="B47" s="14" t="s">
        <v>77</v>
      </c>
      <c r="C47" s="9">
        <v>49652</v>
      </c>
      <c r="D47" s="9"/>
      <c r="E47" s="9">
        <v>49652</v>
      </c>
      <c r="F47" s="14" t="s">
        <v>75</v>
      </c>
      <c r="G47" s="15">
        <v>46040</v>
      </c>
      <c r="H47" s="15">
        <v>46047</v>
      </c>
      <c r="I47" s="14">
        <v>7</v>
      </c>
      <c r="J47" s="9">
        <v>30213.68</v>
      </c>
      <c r="K47" s="15">
        <v>45996</v>
      </c>
      <c r="L47" s="28" t="s">
        <v>26</v>
      </c>
    </row>
    <row r="48" spans="1:12" x14ac:dyDescent="0.3">
      <c r="A48" s="27" t="s">
        <v>101</v>
      </c>
      <c r="B48" s="14" t="s">
        <v>77</v>
      </c>
      <c r="C48" s="9">
        <v>7284</v>
      </c>
      <c r="D48" s="9">
        <v>7284</v>
      </c>
      <c r="E48" s="16"/>
      <c r="F48" s="14" t="s">
        <v>70</v>
      </c>
      <c r="G48" s="15">
        <v>46040</v>
      </c>
      <c r="H48" s="15">
        <v>46047</v>
      </c>
      <c r="I48" s="14">
        <v>7</v>
      </c>
      <c r="J48" s="9">
        <v>1314.11</v>
      </c>
      <c r="K48" s="15">
        <v>45762</v>
      </c>
      <c r="L48" s="28" t="s">
        <v>27</v>
      </c>
    </row>
    <row r="49" spans="1:12" x14ac:dyDescent="0.3">
      <c r="A49" s="27" t="s">
        <v>101</v>
      </c>
      <c r="B49" s="14" t="s">
        <v>77</v>
      </c>
      <c r="C49" s="16">
        <v>15482</v>
      </c>
      <c r="D49" s="16"/>
      <c r="E49" s="16">
        <v>15482</v>
      </c>
      <c r="F49" s="14" t="s">
        <v>79</v>
      </c>
      <c r="G49" s="15">
        <v>46040</v>
      </c>
      <c r="H49" s="15">
        <v>46043</v>
      </c>
      <c r="I49" s="14">
        <v>3</v>
      </c>
      <c r="J49" s="9">
        <v>9020.9699999999993</v>
      </c>
      <c r="K49" s="15">
        <v>45987</v>
      </c>
      <c r="L49" s="28" t="s">
        <v>2</v>
      </c>
    </row>
    <row r="50" spans="1:12" x14ac:dyDescent="0.3">
      <c r="A50" s="27" t="s">
        <v>101</v>
      </c>
      <c r="B50" s="14" t="s">
        <v>77</v>
      </c>
      <c r="C50" s="16">
        <v>0</v>
      </c>
      <c r="D50" s="16"/>
      <c r="E50" s="16">
        <v>0</v>
      </c>
      <c r="F50" s="14" t="s">
        <v>73</v>
      </c>
      <c r="G50" s="15">
        <v>46040</v>
      </c>
      <c r="H50" s="15">
        <v>46054</v>
      </c>
      <c r="I50" s="14">
        <v>14</v>
      </c>
      <c r="J50" s="9">
        <v>0</v>
      </c>
      <c r="K50" s="15">
        <v>45957</v>
      </c>
      <c r="L50" s="28" t="s">
        <v>18</v>
      </c>
    </row>
    <row r="51" spans="1:12" x14ac:dyDescent="0.3">
      <c r="A51" s="27" t="s">
        <v>101</v>
      </c>
      <c r="B51" s="14" t="s">
        <v>77</v>
      </c>
      <c r="C51" s="16">
        <v>0</v>
      </c>
      <c r="D51" s="16"/>
      <c r="E51" s="16">
        <v>0</v>
      </c>
      <c r="F51" s="14" t="s">
        <v>73</v>
      </c>
      <c r="G51" s="15">
        <v>46041</v>
      </c>
      <c r="H51" s="15">
        <v>46048</v>
      </c>
      <c r="I51" s="14">
        <v>7</v>
      </c>
      <c r="J51" s="9">
        <v>0</v>
      </c>
      <c r="K51" s="15">
        <v>45695</v>
      </c>
      <c r="L51" s="28" t="s">
        <v>27</v>
      </c>
    </row>
    <row r="52" spans="1:12" x14ac:dyDescent="0.3">
      <c r="A52" s="27" t="s">
        <v>101</v>
      </c>
      <c r="B52" s="14" t="s">
        <v>77</v>
      </c>
      <c r="C52" s="9">
        <v>78926.5</v>
      </c>
      <c r="D52" s="9"/>
      <c r="E52" s="9">
        <v>78926.5</v>
      </c>
      <c r="F52" s="14" t="s">
        <v>75</v>
      </c>
      <c r="G52" s="15">
        <v>46041</v>
      </c>
      <c r="H52" s="15">
        <v>46048</v>
      </c>
      <c r="I52" s="14">
        <v>7</v>
      </c>
      <c r="J52" s="9">
        <v>54617.22</v>
      </c>
      <c r="K52" s="15">
        <v>45787</v>
      </c>
      <c r="L52" s="28" t="s">
        <v>2</v>
      </c>
    </row>
    <row r="53" spans="1:12" x14ac:dyDescent="0.3">
      <c r="A53" s="27" t="s">
        <v>101</v>
      </c>
      <c r="B53" s="14" t="s">
        <v>77</v>
      </c>
      <c r="C53" s="9">
        <v>70805</v>
      </c>
      <c r="D53" s="9">
        <v>22397.78</v>
      </c>
      <c r="E53" s="9">
        <v>48407.22</v>
      </c>
      <c r="F53" s="14" t="s">
        <v>72</v>
      </c>
      <c r="G53" s="15">
        <v>46042</v>
      </c>
      <c r="H53" s="15">
        <v>46052</v>
      </c>
      <c r="I53" s="14">
        <v>10</v>
      </c>
      <c r="J53" s="9">
        <v>38442.5</v>
      </c>
      <c r="K53" s="15">
        <v>45971</v>
      </c>
      <c r="L53" s="28" t="s">
        <v>28</v>
      </c>
    </row>
    <row r="54" spans="1:12" x14ac:dyDescent="0.3">
      <c r="A54" s="27" t="s">
        <v>101</v>
      </c>
      <c r="B54" s="14" t="s">
        <v>77</v>
      </c>
      <c r="C54" s="9">
        <v>25544</v>
      </c>
      <c r="D54" s="9"/>
      <c r="E54" s="9">
        <v>25544</v>
      </c>
      <c r="F54" s="14" t="s">
        <v>75</v>
      </c>
      <c r="G54" s="15">
        <v>46042</v>
      </c>
      <c r="H54" s="15">
        <v>46048</v>
      </c>
      <c r="I54" s="14">
        <v>6</v>
      </c>
      <c r="J54" s="9">
        <v>17109.54</v>
      </c>
      <c r="K54" s="15">
        <v>45971</v>
      </c>
      <c r="L54" s="28" t="s">
        <v>29</v>
      </c>
    </row>
    <row r="55" spans="1:12" x14ac:dyDescent="0.3">
      <c r="A55" s="27" t="s">
        <v>101</v>
      </c>
      <c r="B55" s="14" t="s">
        <v>77</v>
      </c>
      <c r="C55" s="9"/>
      <c r="D55" s="9"/>
      <c r="E55" s="9"/>
      <c r="F55" s="14" t="s">
        <v>73</v>
      </c>
      <c r="G55" s="15">
        <v>46043</v>
      </c>
      <c r="H55" s="15">
        <v>46047</v>
      </c>
      <c r="I55" s="14">
        <v>4</v>
      </c>
      <c r="J55" s="9"/>
      <c r="K55" s="15">
        <v>46002</v>
      </c>
      <c r="L55" s="28"/>
    </row>
    <row r="56" spans="1:12" x14ac:dyDescent="0.3">
      <c r="A56" s="27" t="s">
        <v>101</v>
      </c>
      <c r="B56" s="14" t="s">
        <v>77</v>
      </c>
      <c r="C56" s="9">
        <v>40086</v>
      </c>
      <c r="D56" s="9"/>
      <c r="E56" s="9">
        <v>40086</v>
      </c>
      <c r="F56" s="14" t="s">
        <v>75</v>
      </c>
      <c r="G56" s="15">
        <v>46043</v>
      </c>
      <c r="H56" s="15">
        <v>46050</v>
      </c>
      <c r="I56" s="14">
        <v>7</v>
      </c>
      <c r="J56" s="9">
        <v>19992.21</v>
      </c>
      <c r="K56" s="15">
        <v>45939</v>
      </c>
      <c r="L56" s="28" t="s">
        <v>13</v>
      </c>
    </row>
    <row r="57" spans="1:12" x14ac:dyDescent="0.3">
      <c r="A57" s="27" t="s">
        <v>101</v>
      </c>
      <c r="B57" s="14" t="s">
        <v>77</v>
      </c>
      <c r="C57" s="16">
        <v>0</v>
      </c>
      <c r="D57" s="16"/>
      <c r="E57" s="16">
        <v>0</v>
      </c>
      <c r="F57" s="14" t="s">
        <v>73</v>
      </c>
      <c r="G57" s="15">
        <v>46043</v>
      </c>
      <c r="H57" s="15">
        <v>46050</v>
      </c>
      <c r="I57" s="14">
        <v>7</v>
      </c>
      <c r="J57" s="9">
        <v>0</v>
      </c>
      <c r="K57" s="15">
        <v>45847</v>
      </c>
      <c r="L57" s="28" t="s">
        <v>24</v>
      </c>
    </row>
    <row r="58" spans="1:12" x14ac:dyDescent="0.3">
      <c r="A58" s="27" t="s">
        <v>101</v>
      </c>
      <c r="B58" s="14" t="s">
        <v>77</v>
      </c>
      <c r="C58" s="9">
        <v>17682</v>
      </c>
      <c r="D58" s="9"/>
      <c r="E58" s="9">
        <v>17682</v>
      </c>
      <c r="F58" s="14" t="s">
        <v>75</v>
      </c>
      <c r="G58" s="15">
        <v>46043</v>
      </c>
      <c r="H58" s="15">
        <v>46047</v>
      </c>
      <c r="I58" s="14">
        <v>4</v>
      </c>
      <c r="J58" s="9">
        <v>11468.52</v>
      </c>
      <c r="K58" s="15">
        <v>45896</v>
      </c>
      <c r="L58" s="28" t="s">
        <v>15</v>
      </c>
    </row>
    <row r="59" spans="1:12" x14ac:dyDescent="0.3">
      <c r="A59" s="27" t="s">
        <v>101</v>
      </c>
      <c r="B59" s="14" t="s">
        <v>77</v>
      </c>
      <c r="C59" s="16">
        <v>22521</v>
      </c>
      <c r="D59" s="16"/>
      <c r="E59" s="16">
        <v>22521</v>
      </c>
      <c r="F59" s="14" t="s">
        <v>75</v>
      </c>
      <c r="G59" s="15">
        <v>46043</v>
      </c>
      <c r="H59" s="15">
        <v>46049</v>
      </c>
      <c r="I59" s="14">
        <v>6</v>
      </c>
      <c r="J59" s="9">
        <v>13487.16</v>
      </c>
      <c r="K59" s="15">
        <v>46000</v>
      </c>
      <c r="L59" s="28" t="s">
        <v>1</v>
      </c>
    </row>
    <row r="60" spans="1:12" x14ac:dyDescent="0.3">
      <c r="A60" s="27" t="s">
        <v>101</v>
      </c>
      <c r="B60" s="14" t="s">
        <v>77</v>
      </c>
      <c r="C60" s="16">
        <v>34520</v>
      </c>
      <c r="D60" s="16"/>
      <c r="E60" s="16">
        <v>34520</v>
      </c>
      <c r="F60" s="14" t="s">
        <v>75</v>
      </c>
      <c r="G60" s="15">
        <v>46044</v>
      </c>
      <c r="H60" s="15">
        <v>46049</v>
      </c>
      <c r="I60" s="14">
        <v>5</v>
      </c>
      <c r="J60" s="9">
        <v>15066.05</v>
      </c>
      <c r="K60" s="15">
        <v>45687</v>
      </c>
      <c r="L60" s="28" t="s">
        <v>2</v>
      </c>
    </row>
    <row r="61" spans="1:12" x14ac:dyDescent="0.3">
      <c r="A61" s="27" t="s">
        <v>101</v>
      </c>
      <c r="B61" s="14" t="s">
        <v>77</v>
      </c>
      <c r="C61" s="9">
        <v>18872.48</v>
      </c>
      <c r="D61" s="9">
        <v>16272.48</v>
      </c>
      <c r="E61" s="9">
        <v>2600</v>
      </c>
      <c r="F61" s="14" t="s">
        <v>72</v>
      </c>
      <c r="G61" s="15">
        <v>46044</v>
      </c>
      <c r="H61" s="15">
        <v>46047</v>
      </c>
      <c r="I61" s="14">
        <v>3</v>
      </c>
      <c r="J61" s="9">
        <v>12065.37</v>
      </c>
      <c r="K61" s="15">
        <v>45955</v>
      </c>
      <c r="L61" s="28" t="s">
        <v>30</v>
      </c>
    </row>
    <row r="62" spans="1:12" x14ac:dyDescent="0.3">
      <c r="A62" s="27" t="s">
        <v>101</v>
      </c>
      <c r="B62" s="14" t="s">
        <v>77</v>
      </c>
      <c r="C62" s="9">
        <v>72686</v>
      </c>
      <c r="D62" s="9"/>
      <c r="E62" s="9">
        <v>72686</v>
      </c>
      <c r="F62" s="14" t="s">
        <v>75</v>
      </c>
      <c r="G62" s="15">
        <v>46045</v>
      </c>
      <c r="H62" s="15">
        <v>46052</v>
      </c>
      <c r="I62" s="14">
        <v>7</v>
      </c>
      <c r="J62" s="9">
        <v>40194.28</v>
      </c>
      <c r="K62" s="15">
        <v>45974</v>
      </c>
      <c r="L62" s="28" t="s">
        <v>25</v>
      </c>
    </row>
    <row r="63" spans="1:12" x14ac:dyDescent="0.3">
      <c r="A63" s="27" t="s">
        <v>101</v>
      </c>
      <c r="B63" s="14" t="s">
        <v>77</v>
      </c>
      <c r="C63" s="16">
        <v>12816</v>
      </c>
      <c r="D63" s="16"/>
      <c r="E63" s="16">
        <v>12816</v>
      </c>
      <c r="F63" s="14" t="s">
        <v>75</v>
      </c>
      <c r="G63" s="15">
        <v>46045</v>
      </c>
      <c r="H63" s="15">
        <v>46047</v>
      </c>
      <c r="I63" s="14">
        <v>2</v>
      </c>
      <c r="J63" s="9">
        <v>4479.41</v>
      </c>
      <c r="K63" s="15">
        <v>45989</v>
      </c>
      <c r="L63" s="28" t="s">
        <v>31</v>
      </c>
    </row>
    <row r="64" spans="1:12" x14ac:dyDescent="0.3">
      <c r="A64" s="27" t="s">
        <v>101</v>
      </c>
      <c r="B64" s="14" t="s">
        <v>77</v>
      </c>
      <c r="C64" s="9">
        <v>18947.98</v>
      </c>
      <c r="D64" s="9">
        <v>18947.98</v>
      </c>
      <c r="E64" s="16"/>
      <c r="F64" s="14" t="s">
        <v>70</v>
      </c>
      <c r="G64" s="15">
        <v>46046</v>
      </c>
      <c r="H64" s="15">
        <v>46050</v>
      </c>
      <c r="I64" s="14">
        <v>4</v>
      </c>
      <c r="J64" s="9">
        <v>11471.28</v>
      </c>
      <c r="K64" s="15">
        <v>45785</v>
      </c>
      <c r="L64" s="28" t="s">
        <v>12</v>
      </c>
    </row>
    <row r="65" spans="1:12" x14ac:dyDescent="0.3">
      <c r="A65" s="27" t="s">
        <v>101</v>
      </c>
      <c r="B65" s="14" t="s">
        <v>77</v>
      </c>
      <c r="C65" s="16"/>
      <c r="D65" s="16"/>
      <c r="E65" s="16"/>
      <c r="F65" s="14" t="s">
        <v>73</v>
      </c>
      <c r="G65" s="15">
        <v>46046</v>
      </c>
      <c r="H65" s="15">
        <v>46052</v>
      </c>
      <c r="I65" s="14">
        <v>6</v>
      </c>
      <c r="J65" s="9">
        <v>0</v>
      </c>
      <c r="K65" s="15">
        <v>45995</v>
      </c>
      <c r="L65" s="28" t="s">
        <v>8</v>
      </c>
    </row>
    <row r="66" spans="1:12" x14ac:dyDescent="0.3">
      <c r="A66" s="27" t="s">
        <v>101</v>
      </c>
      <c r="B66" s="14" t="s">
        <v>77</v>
      </c>
      <c r="C66" s="16">
        <v>19224</v>
      </c>
      <c r="D66" s="16"/>
      <c r="E66" s="16">
        <v>19224</v>
      </c>
      <c r="F66" s="14" t="s">
        <v>75</v>
      </c>
      <c r="G66" s="15">
        <v>46047</v>
      </c>
      <c r="H66" s="15">
        <v>46050</v>
      </c>
      <c r="I66" s="14">
        <v>3</v>
      </c>
      <c r="J66" s="9">
        <v>12546.63</v>
      </c>
      <c r="K66" s="15">
        <v>45989</v>
      </c>
      <c r="L66" s="28" t="s">
        <v>31</v>
      </c>
    </row>
    <row r="67" spans="1:12" x14ac:dyDescent="0.3">
      <c r="A67" s="27" t="s">
        <v>101</v>
      </c>
      <c r="B67" s="14" t="s">
        <v>77</v>
      </c>
      <c r="C67" s="16">
        <v>36837.980000000003</v>
      </c>
      <c r="D67" s="16">
        <v>18419.2</v>
      </c>
      <c r="E67" s="16">
        <v>18419.2</v>
      </c>
      <c r="F67" s="14" t="s">
        <v>72</v>
      </c>
      <c r="G67" s="15">
        <v>46048</v>
      </c>
      <c r="H67" s="15">
        <v>46055</v>
      </c>
      <c r="I67" s="14">
        <v>7</v>
      </c>
      <c r="J67" s="9">
        <v>22634.29</v>
      </c>
      <c r="K67" s="15">
        <v>45911</v>
      </c>
      <c r="L67" s="28" t="s">
        <v>2</v>
      </c>
    </row>
    <row r="68" spans="1:12" x14ac:dyDescent="0.3">
      <c r="A68" s="27" t="s">
        <v>101</v>
      </c>
      <c r="B68" s="14" t="s">
        <v>77</v>
      </c>
      <c r="C68" s="16">
        <v>380</v>
      </c>
      <c r="D68" s="16"/>
      <c r="E68" s="16">
        <v>380</v>
      </c>
      <c r="F68" s="14" t="s">
        <v>75</v>
      </c>
      <c r="G68" s="15">
        <v>46048</v>
      </c>
      <c r="H68" s="15">
        <v>46050</v>
      </c>
      <c r="I68" s="14">
        <v>2</v>
      </c>
      <c r="J68" s="9">
        <v>0</v>
      </c>
      <c r="K68" s="15">
        <v>45939</v>
      </c>
      <c r="L68" s="28" t="s">
        <v>13</v>
      </c>
    </row>
    <row r="69" spans="1:12" x14ac:dyDescent="0.3">
      <c r="A69" s="27" t="s">
        <v>101</v>
      </c>
      <c r="B69" s="14" t="s">
        <v>77</v>
      </c>
      <c r="C69" s="9">
        <v>73887.5</v>
      </c>
      <c r="D69" s="9">
        <v>73887.5</v>
      </c>
      <c r="E69" s="16"/>
      <c r="F69" s="14" t="s">
        <v>70</v>
      </c>
      <c r="G69" s="15">
        <v>46048</v>
      </c>
      <c r="H69" s="15">
        <v>46055</v>
      </c>
      <c r="I69" s="14">
        <v>7</v>
      </c>
      <c r="J69" s="9">
        <v>23605.54</v>
      </c>
      <c r="K69" s="15">
        <v>45879</v>
      </c>
      <c r="L69" s="28" t="s">
        <v>2</v>
      </c>
    </row>
    <row r="70" spans="1:12" x14ac:dyDescent="0.3">
      <c r="A70" s="27" t="s">
        <v>101</v>
      </c>
      <c r="B70" s="14" t="s">
        <v>77</v>
      </c>
      <c r="C70" s="16">
        <v>0</v>
      </c>
      <c r="D70" s="16"/>
      <c r="E70" s="16">
        <v>0</v>
      </c>
      <c r="F70" s="14" t="s">
        <v>73</v>
      </c>
      <c r="G70" s="15">
        <v>46048</v>
      </c>
      <c r="H70" s="15">
        <v>46059</v>
      </c>
      <c r="I70" s="14">
        <v>11</v>
      </c>
      <c r="J70" s="9">
        <v>0</v>
      </c>
      <c r="K70" s="15">
        <v>45937</v>
      </c>
      <c r="L70" s="28" t="s">
        <v>22</v>
      </c>
    </row>
    <row r="71" spans="1:12" x14ac:dyDescent="0.3">
      <c r="A71" s="27" t="s">
        <v>101</v>
      </c>
      <c r="B71" s="14" t="s">
        <v>77</v>
      </c>
      <c r="C71" s="16">
        <v>397</v>
      </c>
      <c r="D71" s="16"/>
      <c r="E71" s="16">
        <v>397</v>
      </c>
      <c r="F71" s="14" t="s">
        <v>75</v>
      </c>
      <c r="G71" s="15">
        <v>46048</v>
      </c>
      <c r="H71" s="15">
        <v>46051</v>
      </c>
      <c r="I71" s="14">
        <v>3</v>
      </c>
      <c r="J71" s="9">
        <v>0</v>
      </c>
      <c r="K71" s="15">
        <v>45981</v>
      </c>
      <c r="L71" s="28" t="s">
        <v>31</v>
      </c>
    </row>
    <row r="72" spans="1:12" x14ac:dyDescent="0.3">
      <c r="A72" s="27" t="s">
        <v>101</v>
      </c>
      <c r="B72" s="14" t="s">
        <v>77</v>
      </c>
      <c r="C72" s="16">
        <v>1200</v>
      </c>
      <c r="D72" s="16"/>
      <c r="E72" s="16">
        <v>1200</v>
      </c>
      <c r="F72" s="14" t="s">
        <v>75</v>
      </c>
      <c r="G72" s="15">
        <v>46048</v>
      </c>
      <c r="H72" s="15">
        <v>46051</v>
      </c>
      <c r="I72" s="14">
        <v>3</v>
      </c>
      <c r="J72" s="9">
        <v>386.91</v>
      </c>
      <c r="K72" s="15">
        <v>45915</v>
      </c>
      <c r="L72" s="28" t="s">
        <v>31</v>
      </c>
    </row>
    <row r="73" spans="1:12" x14ac:dyDescent="0.3">
      <c r="A73" s="27" t="s">
        <v>101</v>
      </c>
      <c r="B73" s="14" t="s">
        <v>77</v>
      </c>
      <c r="C73" s="16">
        <v>13797</v>
      </c>
      <c r="D73" s="16"/>
      <c r="E73" s="16">
        <v>13797</v>
      </c>
      <c r="F73" s="14" t="s">
        <v>75</v>
      </c>
      <c r="G73" s="15">
        <v>46049</v>
      </c>
      <c r="H73" s="15">
        <v>46051</v>
      </c>
      <c r="I73" s="14">
        <v>2</v>
      </c>
      <c r="J73" s="9">
        <v>0</v>
      </c>
      <c r="K73" s="15">
        <v>45689</v>
      </c>
      <c r="L73" s="28" t="s">
        <v>2</v>
      </c>
    </row>
    <row r="74" spans="1:12" x14ac:dyDescent="0.3">
      <c r="A74" s="27" t="s">
        <v>101</v>
      </c>
      <c r="B74" s="14" t="s">
        <v>77</v>
      </c>
      <c r="C74" s="16">
        <v>0</v>
      </c>
      <c r="D74" s="16"/>
      <c r="E74" s="16">
        <v>0</v>
      </c>
      <c r="F74" s="14" t="s">
        <v>73</v>
      </c>
      <c r="G74" s="15">
        <v>46049</v>
      </c>
      <c r="H74" s="15">
        <v>46073</v>
      </c>
      <c r="I74" s="14">
        <v>24</v>
      </c>
      <c r="J74" s="9">
        <v>0</v>
      </c>
      <c r="K74" s="15">
        <v>45918</v>
      </c>
      <c r="L74" s="28" t="s">
        <v>1</v>
      </c>
    </row>
    <row r="75" spans="1:12" x14ac:dyDescent="0.3">
      <c r="A75" s="27" t="s">
        <v>101</v>
      </c>
      <c r="B75" s="14" t="s">
        <v>77</v>
      </c>
      <c r="C75" s="9">
        <v>24252.37</v>
      </c>
      <c r="D75" s="16"/>
      <c r="E75" s="9">
        <v>24252.37</v>
      </c>
      <c r="F75" s="14" t="s">
        <v>75</v>
      </c>
      <c r="G75" s="15">
        <v>46049</v>
      </c>
      <c r="H75" s="15">
        <v>46052</v>
      </c>
      <c r="I75" s="14">
        <v>3</v>
      </c>
      <c r="J75" s="9">
        <v>0</v>
      </c>
      <c r="K75" s="15">
        <v>45966</v>
      </c>
      <c r="L75" s="28" t="s">
        <v>2</v>
      </c>
    </row>
    <row r="76" spans="1:12" x14ac:dyDescent="0.3">
      <c r="A76" s="27" t="s">
        <v>101</v>
      </c>
      <c r="B76" s="14" t="s">
        <v>77</v>
      </c>
      <c r="C76" s="9">
        <v>147338</v>
      </c>
      <c r="D76" s="9">
        <v>36834.5</v>
      </c>
      <c r="E76" s="9">
        <v>110503.5</v>
      </c>
      <c r="F76" s="14" t="s">
        <v>72</v>
      </c>
      <c r="G76" s="15">
        <v>46050</v>
      </c>
      <c r="H76" s="15">
        <v>46057</v>
      </c>
      <c r="I76" s="14">
        <v>7</v>
      </c>
      <c r="J76" s="9">
        <v>48317.29</v>
      </c>
      <c r="K76" s="15">
        <v>45967</v>
      </c>
      <c r="L76" s="28" t="s">
        <v>22</v>
      </c>
    </row>
    <row r="77" spans="1:12" x14ac:dyDescent="0.3">
      <c r="A77" s="27" t="s">
        <v>101</v>
      </c>
      <c r="B77" s="14" t="s">
        <v>77</v>
      </c>
      <c r="C77" s="16">
        <v>0</v>
      </c>
      <c r="D77" s="16"/>
      <c r="E77" s="16">
        <v>0</v>
      </c>
      <c r="F77" s="14" t="s">
        <v>73</v>
      </c>
      <c r="G77" s="15">
        <v>46050</v>
      </c>
      <c r="H77" s="15">
        <v>46057</v>
      </c>
      <c r="I77" s="14">
        <v>7</v>
      </c>
      <c r="J77" s="9">
        <v>0</v>
      </c>
      <c r="K77" s="15">
        <v>45935</v>
      </c>
      <c r="L77" s="28" t="s">
        <v>2</v>
      </c>
    </row>
    <row r="78" spans="1:12" x14ac:dyDescent="0.3">
      <c r="A78" s="27" t="s">
        <v>101</v>
      </c>
      <c r="B78" s="14" t="s">
        <v>77</v>
      </c>
      <c r="C78" s="16">
        <v>19395.96</v>
      </c>
      <c r="D78" s="16"/>
      <c r="E78" s="16">
        <v>19395.96</v>
      </c>
      <c r="F78" s="14" t="s">
        <v>75</v>
      </c>
      <c r="G78" s="15">
        <v>46051</v>
      </c>
      <c r="H78" s="15">
        <v>46057</v>
      </c>
      <c r="I78" s="14">
        <v>6</v>
      </c>
      <c r="J78" s="9">
        <v>12580.86</v>
      </c>
      <c r="K78" s="15">
        <v>46000</v>
      </c>
      <c r="L78" s="28" t="s">
        <v>2</v>
      </c>
    </row>
    <row r="79" spans="1:12" x14ac:dyDescent="0.3">
      <c r="A79" s="27" t="s">
        <v>101</v>
      </c>
      <c r="B79" s="14" t="s">
        <v>77</v>
      </c>
      <c r="C79" s="9">
        <v>27320</v>
      </c>
      <c r="D79" s="9"/>
      <c r="E79" s="9">
        <v>27320</v>
      </c>
      <c r="F79" s="14" t="s">
        <v>75</v>
      </c>
      <c r="G79" s="15">
        <v>46052</v>
      </c>
      <c r="H79" s="15">
        <v>46057</v>
      </c>
      <c r="I79" s="14">
        <v>5</v>
      </c>
      <c r="J79" s="9">
        <v>17361.099999999999</v>
      </c>
      <c r="K79" s="15">
        <v>45965</v>
      </c>
      <c r="L79" s="28" t="s">
        <v>13</v>
      </c>
    </row>
    <row r="80" spans="1:12" x14ac:dyDescent="0.3">
      <c r="A80" s="27" t="s">
        <v>101</v>
      </c>
      <c r="B80" s="14" t="s">
        <v>77</v>
      </c>
      <c r="C80" s="16">
        <v>325</v>
      </c>
      <c r="D80" s="16"/>
      <c r="E80" s="16">
        <v>325</v>
      </c>
      <c r="F80" s="14" t="s">
        <v>75</v>
      </c>
      <c r="G80" s="15">
        <v>46052</v>
      </c>
      <c r="H80" s="15">
        <v>46054</v>
      </c>
      <c r="I80" s="14">
        <v>2</v>
      </c>
      <c r="J80" s="9">
        <v>-1144.68</v>
      </c>
      <c r="K80" s="15">
        <v>45981</v>
      </c>
      <c r="L80" s="28" t="s">
        <v>2</v>
      </c>
    </row>
    <row r="81" spans="1:12" x14ac:dyDescent="0.3">
      <c r="A81" s="27" t="s">
        <v>101</v>
      </c>
      <c r="B81" s="14" t="s">
        <v>77</v>
      </c>
      <c r="C81" s="9">
        <v>8311.2000000000007</v>
      </c>
      <c r="D81" s="9"/>
      <c r="E81" s="9">
        <v>8311.2000000000007</v>
      </c>
      <c r="F81" s="14" t="s">
        <v>80</v>
      </c>
      <c r="G81" s="15">
        <v>46052</v>
      </c>
      <c r="H81" s="15">
        <v>46053</v>
      </c>
      <c r="I81" s="14">
        <v>1</v>
      </c>
      <c r="J81" s="9">
        <v>4197.7299999999996</v>
      </c>
      <c r="K81" s="15">
        <v>45986</v>
      </c>
      <c r="L81" s="28" t="s">
        <v>32</v>
      </c>
    </row>
    <row r="82" spans="1:12" x14ac:dyDescent="0.3">
      <c r="A82" s="27" t="s">
        <v>101</v>
      </c>
      <c r="B82" s="14" t="s">
        <v>77</v>
      </c>
      <c r="C82" s="16">
        <v>13600</v>
      </c>
      <c r="D82" s="16"/>
      <c r="E82" s="16">
        <v>13600</v>
      </c>
      <c r="F82" s="14" t="s">
        <v>75</v>
      </c>
      <c r="G82" s="15">
        <v>46053</v>
      </c>
      <c r="H82" s="15">
        <v>46067</v>
      </c>
      <c r="I82" s="14">
        <v>14</v>
      </c>
      <c r="J82" s="9">
        <v>0</v>
      </c>
      <c r="K82" s="15">
        <v>45748</v>
      </c>
      <c r="L82" s="28" t="s">
        <v>24</v>
      </c>
    </row>
    <row r="83" spans="1:12" x14ac:dyDescent="0.3">
      <c r="A83" s="27" t="s">
        <v>101</v>
      </c>
      <c r="B83" s="14" t="s">
        <v>77</v>
      </c>
      <c r="C83" s="9">
        <v>35074</v>
      </c>
      <c r="D83" s="9">
        <v>35074</v>
      </c>
      <c r="E83" s="16"/>
      <c r="F83" s="14" t="s">
        <v>70</v>
      </c>
      <c r="G83" s="15">
        <v>46053</v>
      </c>
      <c r="H83" s="15">
        <v>46062</v>
      </c>
      <c r="I83" s="14">
        <v>9</v>
      </c>
      <c r="J83" s="9">
        <v>19842.66</v>
      </c>
      <c r="K83" s="15">
        <v>45849</v>
      </c>
      <c r="L83" s="28" t="s">
        <v>1</v>
      </c>
    </row>
    <row r="84" spans="1:12" x14ac:dyDescent="0.3">
      <c r="A84" s="27" t="s">
        <v>101</v>
      </c>
      <c r="B84" s="14" t="s">
        <v>77</v>
      </c>
      <c r="C84" s="9">
        <v>60160</v>
      </c>
      <c r="D84" s="9"/>
      <c r="E84" s="9">
        <v>60160</v>
      </c>
      <c r="F84" s="14" t="s">
        <v>75</v>
      </c>
      <c r="G84" s="15">
        <v>46053</v>
      </c>
      <c r="H84" s="15">
        <v>46062</v>
      </c>
      <c r="I84" s="14">
        <v>9</v>
      </c>
      <c r="J84" s="9">
        <v>34232.67</v>
      </c>
      <c r="K84" s="15">
        <v>45776</v>
      </c>
      <c r="L84" s="28" t="s">
        <v>24</v>
      </c>
    </row>
    <row r="85" spans="1:12" x14ac:dyDescent="0.3">
      <c r="A85" s="27" t="s">
        <v>101</v>
      </c>
      <c r="B85" s="14" t="s">
        <v>77</v>
      </c>
      <c r="C85" s="9">
        <v>35340</v>
      </c>
      <c r="D85" s="9"/>
      <c r="E85" s="9">
        <v>35340</v>
      </c>
      <c r="F85" s="14" t="s">
        <v>75</v>
      </c>
      <c r="G85" s="15">
        <v>46053</v>
      </c>
      <c r="H85" s="15">
        <v>46062</v>
      </c>
      <c r="I85" s="14">
        <v>9</v>
      </c>
      <c r="J85" s="9">
        <v>16787.79</v>
      </c>
      <c r="K85" s="15">
        <v>45776</v>
      </c>
      <c r="L85" s="28" t="s">
        <v>24</v>
      </c>
    </row>
    <row r="86" spans="1:12" x14ac:dyDescent="0.3">
      <c r="A86" s="27" t="s">
        <v>101</v>
      </c>
      <c r="B86" s="14" t="s">
        <v>77</v>
      </c>
      <c r="C86" s="9">
        <v>35340</v>
      </c>
      <c r="D86" s="9"/>
      <c r="E86" s="9">
        <v>35340</v>
      </c>
      <c r="F86" s="14" t="s">
        <v>75</v>
      </c>
      <c r="G86" s="15">
        <v>46053</v>
      </c>
      <c r="H86" s="15">
        <v>46062</v>
      </c>
      <c r="I86" s="14">
        <v>9</v>
      </c>
      <c r="J86" s="9">
        <v>16787.79</v>
      </c>
      <c r="K86" s="15">
        <v>45776</v>
      </c>
      <c r="L86" s="28" t="s">
        <v>24</v>
      </c>
    </row>
    <row r="87" spans="1:12" x14ac:dyDescent="0.3">
      <c r="A87" s="27" t="s">
        <v>101</v>
      </c>
      <c r="B87" s="14" t="s">
        <v>77</v>
      </c>
      <c r="C87" s="9">
        <v>78903.44</v>
      </c>
      <c r="D87" s="9"/>
      <c r="E87" s="9">
        <v>78903.44</v>
      </c>
      <c r="F87" s="14" t="s">
        <v>75</v>
      </c>
      <c r="G87" s="15">
        <v>46053</v>
      </c>
      <c r="H87" s="15">
        <v>46067</v>
      </c>
      <c r="I87" s="14">
        <v>14</v>
      </c>
      <c r="J87" s="9">
        <v>54363.82</v>
      </c>
      <c r="K87" s="15">
        <v>45735</v>
      </c>
      <c r="L87" s="28" t="s">
        <v>24</v>
      </c>
    </row>
    <row r="88" spans="1:12" x14ac:dyDescent="0.3">
      <c r="A88" s="27" t="s">
        <v>101</v>
      </c>
      <c r="B88" s="14" t="s">
        <v>77</v>
      </c>
      <c r="C88" s="9">
        <v>33144</v>
      </c>
      <c r="D88" s="9">
        <v>17903.79</v>
      </c>
      <c r="E88" s="9">
        <v>15240.21</v>
      </c>
      <c r="F88" s="14" t="s">
        <v>72</v>
      </c>
      <c r="G88" s="15">
        <v>46053</v>
      </c>
      <c r="H88" s="15">
        <v>46059</v>
      </c>
      <c r="I88" s="14">
        <v>6</v>
      </c>
      <c r="J88" s="9">
        <v>19169.759999999998</v>
      </c>
      <c r="K88" s="15">
        <v>45723</v>
      </c>
      <c r="L88" s="28" t="s">
        <v>12</v>
      </c>
    </row>
    <row r="89" spans="1:12" x14ac:dyDescent="0.3">
      <c r="A89" s="27" t="s">
        <v>101</v>
      </c>
      <c r="B89" s="14" t="s">
        <v>77</v>
      </c>
      <c r="C89" s="16">
        <v>0</v>
      </c>
      <c r="D89" s="16"/>
      <c r="E89" s="16">
        <v>0</v>
      </c>
      <c r="F89" s="14" t="s">
        <v>73</v>
      </c>
      <c r="G89" s="15">
        <v>46054</v>
      </c>
      <c r="H89" s="15">
        <v>46061</v>
      </c>
      <c r="I89" s="14">
        <v>7</v>
      </c>
      <c r="J89" s="9">
        <v>0</v>
      </c>
      <c r="K89" s="15">
        <v>45821</v>
      </c>
      <c r="L89" s="28" t="s">
        <v>1</v>
      </c>
    </row>
    <row r="90" spans="1:12" x14ac:dyDescent="0.3">
      <c r="A90" s="27" t="s">
        <v>101</v>
      </c>
      <c r="B90" s="14" t="s">
        <v>77</v>
      </c>
      <c r="C90" s="9">
        <v>26072</v>
      </c>
      <c r="D90" s="9">
        <v>6518</v>
      </c>
      <c r="E90" s="9">
        <v>19554</v>
      </c>
      <c r="F90" s="14" t="s">
        <v>72</v>
      </c>
      <c r="G90" s="15">
        <v>46054</v>
      </c>
      <c r="H90" s="15">
        <v>46060</v>
      </c>
      <c r="I90" s="14">
        <v>6</v>
      </c>
      <c r="J90" s="9">
        <v>17206.98</v>
      </c>
      <c r="K90" s="15">
        <v>45984</v>
      </c>
      <c r="L90" s="28" t="s">
        <v>1</v>
      </c>
    </row>
    <row r="91" spans="1:12" x14ac:dyDescent="0.3">
      <c r="A91" s="27" t="s">
        <v>101</v>
      </c>
      <c r="B91" s="14" t="s">
        <v>77</v>
      </c>
      <c r="C91" s="9">
        <v>15118</v>
      </c>
      <c r="D91" s="9"/>
      <c r="E91" s="9">
        <v>15118</v>
      </c>
      <c r="F91" s="14" t="s">
        <v>75</v>
      </c>
      <c r="G91" s="15">
        <v>46054</v>
      </c>
      <c r="H91" s="15">
        <v>46061</v>
      </c>
      <c r="I91" s="14">
        <v>7</v>
      </c>
      <c r="J91" s="9">
        <v>8616.93</v>
      </c>
      <c r="K91" s="15">
        <v>45901</v>
      </c>
      <c r="L91" s="28" t="s">
        <v>2</v>
      </c>
    </row>
    <row r="92" spans="1:12" x14ac:dyDescent="0.3">
      <c r="A92" s="27" t="s">
        <v>101</v>
      </c>
      <c r="B92" s="14" t="s">
        <v>77</v>
      </c>
      <c r="C92" s="9">
        <v>38096</v>
      </c>
      <c r="D92" s="9"/>
      <c r="E92" s="9">
        <v>38096</v>
      </c>
      <c r="F92" s="14" t="s">
        <v>75</v>
      </c>
      <c r="G92" s="15">
        <v>46055</v>
      </c>
      <c r="H92" s="15">
        <v>46064</v>
      </c>
      <c r="I92" s="14">
        <v>9</v>
      </c>
      <c r="J92" s="9">
        <v>26503.47</v>
      </c>
      <c r="K92" s="15">
        <v>45926</v>
      </c>
      <c r="L92" s="28" t="s">
        <v>2</v>
      </c>
    </row>
    <row r="93" spans="1:12" x14ac:dyDescent="0.3">
      <c r="A93" s="27" t="s">
        <v>101</v>
      </c>
      <c r="B93" s="14" t="s">
        <v>77</v>
      </c>
      <c r="C93" s="9">
        <v>73887.5</v>
      </c>
      <c r="D93" s="9">
        <v>73887.5</v>
      </c>
      <c r="E93" s="16"/>
      <c r="F93" s="14" t="s">
        <v>70</v>
      </c>
      <c r="G93" s="15">
        <v>46055</v>
      </c>
      <c r="H93" s="15">
        <v>46058</v>
      </c>
      <c r="I93" s="14">
        <v>3</v>
      </c>
      <c r="J93" s="9">
        <v>0</v>
      </c>
      <c r="K93" s="15">
        <v>45879</v>
      </c>
      <c r="L93" s="28" t="s">
        <v>2</v>
      </c>
    </row>
    <row r="94" spans="1:12" x14ac:dyDescent="0.3">
      <c r="A94" s="27" t="s">
        <v>101</v>
      </c>
      <c r="B94" s="14" t="s">
        <v>77</v>
      </c>
      <c r="C94" s="9">
        <v>19688.2</v>
      </c>
      <c r="D94" s="9">
        <v>4922.05</v>
      </c>
      <c r="E94" s="9">
        <v>14766.15</v>
      </c>
      <c r="F94" s="14" t="s">
        <v>72</v>
      </c>
      <c r="G94" s="15">
        <v>46055</v>
      </c>
      <c r="H94" s="15">
        <v>46059</v>
      </c>
      <c r="I94" s="14">
        <v>4</v>
      </c>
      <c r="J94" s="9">
        <v>13599.04</v>
      </c>
      <c r="K94" s="15">
        <v>45955</v>
      </c>
      <c r="L94" s="28" t="s">
        <v>2</v>
      </c>
    </row>
    <row r="95" spans="1:12" x14ac:dyDescent="0.3">
      <c r="A95" s="27" t="s">
        <v>101</v>
      </c>
      <c r="B95" s="14" t="s">
        <v>77</v>
      </c>
      <c r="C95" s="16">
        <v>0</v>
      </c>
      <c r="D95" s="16"/>
      <c r="E95" s="16">
        <v>0</v>
      </c>
      <c r="F95" s="14" t="s">
        <v>73</v>
      </c>
      <c r="G95" s="15">
        <v>46055</v>
      </c>
      <c r="H95" s="15">
        <v>46062</v>
      </c>
      <c r="I95" s="14">
        <v>7</v>
      </c>
      <c r="J95" s="9">
        <v>0</v>
      </c>
      <c r="K95" s="15">
        <v>45987</v>
      </c>
      <c r="L95" s="28" t="s">
        <v>2</v>
      </c>
    </row>
    <row r="96" spans="1:12" x14ac:dyDescent="0.3">
      <c r="A96" s="27" t="s">
        <v>101</v>
      </c>
      <c r="B96" s="14" t="s">
        <v>77</v>
      </c>
      <c r="C96" s="9">
        <v>29644</v>
      </c>
      <c r="D96" s="9"/>
      <c r="E96" s="9">
        <v>29644</v>
      </c>
      <c r="F96" s="14" t="s">
        <v>75</v>
      </c>
      <c r="G96" s="15">
        <v>46056</v>
      </c>
      <c r="H96" s="15">
        <v>46062</v>
      </c>
      <c r="I96" s="14">
        <v>6</v>
      </c>
      <c r="J96" s="9">
        <v>18974.34</v>
      </c>
      <c r="K96" s="15">
        <v>45755</v>
      </c>
      <c r="L96" s="28" t="s">
        <v>2</v>
      </c>
    </row>
    <row r="97" spans="1:12" x14ac:dyDescent="0.3">
      <c r="A97" s="27" t="s">
        <v>101</v>
      </c>
      <c r="B97" s="14" t="s">
        <v>77</v>
      </c>
      <c r="C97" s="16">
        <v>900</v>
      </c>
      <c r="D97" s="16"/>
      <c r="E97" s="16">
        <v>900</v>
      </c>
      <c r="F97" s="14" t="s">
        <v>75</v>
      </c>
      <c r="G97" s="15">
        <v>46057</v>
      </c>
      <c r="H97" s="15">
        <v>46059</v>
      </c>
      <c r="I97" s="14">
        <v>2</v>
      </c>
      <c r="J97" s="9">
        <v>0</v>
      </c>
      <c r="K97" s="15">
        <v>45869</v>
      </c>
      <c r="L97" s="28" t="s">
        <v>1</v>
      </c>
    </row>
    <row r="98" spans="1:12" x14ac:dyDescent="0.3">
      <c r="A98" s="27" t="s">
        <v>101</v>
      </c>
      <c r="B98" s="14" t="s">
        <v>77</v>
      </c>
      <c r="C98" s="9">
        <v>85090</v>
      </c>
      <c r="D98" s="9">
        <v>85090</v>
      </c>
      <c r="E98" s="16"/>
      <c r="F98" s="14" t="s">
        <v>70</v>
      </c>
      <c r="G98" s="15">
        <v>46058</v>
      </c>
      <c r="H98" s="15">
        <v>46073</v>
      </c>
      <c r="I98" s="14">
        <v>15</v>
      </c>
      <c r="J98" s="9">
        <v>51024.45</v>
      </c>
      <c r="K98" s="15">
        <v>45742</v>
      </c>
      <c r="L98" s="28" t="s">
        <v>33</v>
      </c>
    </row>
    <row r="99" spans="1:12" x14ac:dyDescent="0.3">
      <c r="A99" s="27" t="s">
        <v>101</v>
      </c>
      <c r="B99" s="14" t="s">
        <v>77</v>
      </c>
      <c r="C99" s="9">
        <v>37015</v>
      </c>
      <c r="D99" s="9"/>
      <c r="E99" s="9">
        <v>37015</v>
      </c>
      <c r="F99" s="14" t="s">
        <v>75</v>
      </c>
      <c r="G99" s="15">
        <v>46058</v>
      </c>
      <c r="H99" s="15">
        <v>46068</v>
      </c>
      <c r="I99" s="14">
        <v>10</v>
      </c>
      <c r="J99" s="9">
        <v>13255.6</v>
      </c>
      <c r="K99" s="15">
        <v>45840</v>
      </c>
      <c r="L99" s="28" t="s">
        <v>24</v>
      </c>
    </row>
    <row r="100" spans="1:12" x14ac:dyDescent="0.3">
      <c r="A100" s="27" t="s">
        <v>101</v>
      </c>
      <c r="B100" s="14" t="s">
        <v>77</v>
      </c>
      <c r="C100" s="16">
        <v>1680</v>
      </c>
      <c r="D100" s="16"/>
      <c r="E100" s="16">
        <v>1680</v>
      </c>
      <c r="F100" s="14" t="s">
        <v>75</v>
      </c>
      <c r="G100" s="15">
        <v>46058</v>
      </c>
      <c r="H100" s="15">
        <v>46082</v>
      </c>
      <c r="I100" s="14">
        <v>24</v>
      </c>
      <c r="J100" s="9">
        <v>0</v>
      </c>
      <c r="K100" s="15">
        <v>45804</v>
      </c>
      <c r="L100" s="28" t="s">
        <v>13</v>
      </c>
    </row>
    <row r="101" spans="1:12" x14ac:dyDescent="0.3">
      <c r="A101" s="27" t="s">
        <v>101</v>
      </c>
      <c r="B101" s="14" t="s">
        <v>77</v>
      </c>
      <c r="C101" s="16">
        <v>15607.49</v>
      </c>
      <c r="D101" s="16"/>
      <c r="E101" s="16">
        <v>15607.49</v>
      </c>
      <c r="F101" s="14" t="s">
        <v>75</v>
      </c>
      <c r="G101" s="15">
        <v>46058</v>
      </c>
      <c r="H101" s="15">
        <v>46059</v>
      </c>
      <c r="I101" s="14">
        <v>1</v>
      </c>
      <c r="J101" s="9">
        <v>7217.64</v>
      </c>
      <c r="K101" s="15">
        <v>45946</v>
      </c>
      <c r="L101" s="28" t="s">
        <v>2</v>
      </c>
    </row>
    <row r="102" spans="1:12" x14ac:dyDescent="0.3">
      <c r="A102" s="27" t="s">
        <v>101</v>
      </c>
      <c r="B102" s="14" t="s">
        <v>77</v>
      </c>
      <c r="C102" s="9">
        <v>39663</v>
      </c>
      <c r="D102" s="9"/>
      <c r="E102" s="9">
        <v>39663</v>
      </c>
      <c r="F102" s="14" t="s">
        <v>75</v>
      </c>
      <c r="G102" s="15">
        <v>46058</v>
      </c>
      <c r="H102" s="15">
        <v>46071</v>
      </c>
      <c r="I102" s="14">
        <v>13</v>
      </c>
      <c r="J102" s="9">
        <v>16444.48</v>
      </c>
      <c r="K102" s="15">
        <v>45809</v>
      </c>
      <c r="L102" s="28" t="s">
        <v>24</v>
      </c>
    </row>
    <row r="103" spans="1:12" x14ac:dyDescent="0.3">
      <c r="A103" s="27" t="s">
        <v>101</v>
      </c>
      <c r="B103" s="14" t="s">
        <v>77</v>
      </c>
      <c r="C103" s="9">
        <v>41814</v>
      </c>
      <c r="D103" s="9"/>
      <c r="E103" s="9">
        <v>41814</v>
      </c>
      <c r="F103" s="14" t="s">
        <v>75</v>
      </c>
      <c r="G103" s="15">
        <v>46059</v>
      </c>
      <c r="H103" s="15">
        <v>46073</v>
      </c>
      <c r="I103" s="14">
        <v>14</v>
      </c>
      <c r="J103" s="9">
        <v>23355.08</v>
      </c>
      <c r="K103" s="15">
        <v>45940</v>
      </c>
      <c r="L103" s="28" t="s">
        <v>2</v>
      </c>
    </row>
    <row r="104" spans="1:12" x14ac:dyDescent="0.3">
      <c r="A104" s="27" t="s">
        <v>101</v>
      </c>
      <c r="B104" s="14" t="s">
        <v>77</v>
      </c>
      <c r="C104" s="16">
        <v>29272.47</v>
      </c>
      <c r="D104" s="16"/>
      <c r="E104" s="16">
        <v>29272.47</v>
      </c>
      <c r="F104" s="14" t="s">
        <v>75</v>
      </c>
      <c r="G104" s="15">
        <v>46059</v>
      </c>
      <c r="H104" s="15">
        <v>46062</v>
      </c>
      <c r="I104" s="14">
        <v>3</v>
      </c>
      <c r="J104" s="9">
        <v>21652.92</v>
      </c>
      <c r="K104" s="15">
        <v>45946</v>
      </c>
      <c r="L104" s="28" t="s">
        <v>2</v>
      </c>
    </row>
    <row r="105" spans="1:12" x14ac:dyDescent="0.3">
      <c r="A105" s="27" t="s">
        <v>101</v>
      </c>
      <c r="B105" s="14" t="s">
        <v>77</v>
      </c>
      <c r="C105" s="11">
        <v>39228</v>
      </c>
      <c r="D105" s="9"/>
      <c r="E105" s="11">
        <v>39228</v>
      </c>
      <c r="F105" s="14" t="s">
        <v>75</v>
      </c>
      <c r="G105" s="15">
        <v>46059</v>
      </c>
      <c r="H105" s="15">
        <v>46067</v>
      </c>
      <c r="I105" s="14">
        <v>8</v>
      </c>
      <c r="J105" s="9">
        <v>28080.799999999999</v>
      </c>
      <c r="K105" s="15">
        <v>45998</v>
      </c>
      <c r="L105" s="28" t="s">
        <v>34</v>
      </c>
    </row>
    <row r="106" spans="1:12" x14ac:dyDescent="0.3">
      <c r="A106" s="27" t="s">
        <v>101</v>
      </c>
      <c r="B106" s="14" t="s">
        <v>77</v>
      </c>
      <c r="C106" s="11">
        <v>40978</v>
      </c>
      <c r="D106" s="9"/>
      <c r="E106" s="11">
        <v>40978</v>
      </c>
      <c r="F106" s="14" t="s">
        <v>75</v>
      </c>
      <c r="G106" s="15">
        <v>46059</v>
      </c>
      <c r="H106" s="15">
        <v>46067</v>
      </c>
      <c r="I106" s="14">
        <v>8</v>
      </c>
      <c r="J106" s="9"/>
      <c r="K106" s="15"/>
      <c r="L106" s="28"/>
    </row>
    <row r="107" spans="1:12" x14ac:dyDescent="0.3">
      <c r="A107" s="27" t="s">
        <v>101</v>
      </c>
      <c r="B107" s="14" t="s">
        <v>77</v>
      </c>
      <c r="C107" s="9">
        <v>30290</v>
      </c>
      <c r="D107" s="9">
        <v>32150</v>
      </c>
      <c r="E107" s="16"/>
      <c r="F107" s="14" t="s">
        <v>70</v>
      </c>
      <c r="G107" s="15">
        <v>46060</v>
      </c>
      <c r="H107" s="15">
        <v>46067</v>
      </c>
      <c r="I107" s="14">
        <v>7</v>
      </c>
      <c r="J107" s="9">
        <v>12681.83</v>
      </c>
      <c r="K107" s="15">
        <v>45587</v>
      </c>
      <c r="L107" s="28" t="s">
        <v>24</v>
      </c>
    </row>
    <row r="108" spans="1:12" x14ac:dyDescent="0.3">
      <c r="A108" s="27" t="s">
        <v>101</v>
      </c>
      <c r="B108" s="14" t="s">
        <v>77</v>
      </c>
      <c r="C108" s="16">
        <v>6025</v>
      </c>
      <c r="D108" s="16"/>
      <c r="E108" s="16">
        <v>6025</v>
      </c>
      <c r="F108" s="14" t="s">
        <v>75</v>
      </c>
      <c r="G108" s="15">
        <v>46060</v>
      </c>
      <c r="H108" s="15">
        <v>46067</v>
      </c>
      <c r="I108" s="14">
        <v>7</v>
      </c>
      <c r="J108" s="9">
        <v>-574.25</v>
      </c>
      <c r="K108" s="15">
        <v>45847</v>
      </c>
      <c r="L108" s="28" t="s">
        <v>2</v>
      </c>
    </row>
    <row r="109" spans="1:12" x14ac:dyDescent="0.3">
      <c r="A109" s="27" t="s">
        <v>101</v>
      </c>
      <c r="B109" s="14" t="s">
        <v>77</v>
      </c>
      <c r="C109" s="16">
        <v>18627.5</v>
      </c>
      <c r="D109" s="16">
        <v>7851.25</v>
      </c>
      <c r="E109" s="16">
        <v>10776.25</v>
      </c>
      <c r="F109" s="14" t="s">
        <v>72</v>
      </c>
      <c r="G109" s="15">
        <v>46060</v>
      </c>
      <c r="H109" s="15">
        <v>46062</v>
      </c>
      <c r="I109" s="14">
        <v>2</v>
      </c>
      <c r="J109" s="9">
        <v>7826.34</v>
      </c>
      <c r="K109" s="15">
        <v>45943</v>
      </c>
      <c r="L109" s="28" t="s">
        <v>31</v>
      </c>
    </row>
    <row r="110" spans="1:12" x14ac:dyDescent="0.3">
      <c r="A110" s="27" t="s">
        <v>101</v>
      </c>
      <c r="B110" s="14" t="s">
        <v>77</v>
      </c>
      <c r="C110" s="9">
        <v>14768</v>
      </c>
      <c r="D110" s="9"/>
      <c r="E110" s="9">
        <v>14768</v>
      </c>
      <c r="F110" s="14" t="s">
        <v>75</v>
      </c>
      <c r="G110" s="15">
        <v>46060</v>
      </c>
      <c r="H110" s="15">
        <v>46067</v>
      </c>
      <c r="I110" s="14">
        <v>7</v>
      </c>
      <c r="J110" s="9">
        <v>5897.43</v>
      </c>
      <c r="K110" s="15">
        <v>45870</v>
      </c>
      <c r="L110" s="28" t="s">
        <v>2</v>
      </c>
    </row>
    <row r="111" spans="1:12" x14ac:dyDescent="0.3">
      <c r="A111" s="27" t="s">
        <v>101</v>
      </c>
      <c r="B111" s="14" t="s">
        <v>77</v>
      </c>
      <c r="C111" s="16">
        <v>23674.65</v>
      </c>
      <c r="D111" s="16"/>
      <c r="E111" s="16">
        <v>23674.65</v>
      </c>
      <c r="F111" s="14" t="s">
        <v>75</v>
      </c>
      <c r="G111" s="15">
        <v>46060</v>
      </c>
      <c r="H111" s="15">
        <v>46067</v>
      </c>
      <c r="I111" s="14">
        <v>7</v>
      </c>
      <c r="J111" s="9">
        <v>4657.1000000000004</v>
      </c>
      <c r="K111" s="15">
        <v>45820</v>
      </c>
      <c r="L111" s="28" t="s">
        <v>24</v>
      </c>
    </row>
    <row r="112" spans="1:12" x14ac:dyDescent="0.3">
      <c r="A112" s="27" t="s">
        <v>101</v>
      </c>
      <c r="B112" s="14" t="s">
        <v>77</v>
      </c>
      <c r="C112" s="16">
        <v>11899.65</v>
      </c>
      <c r="D112" s="16"/>
      <c r="E112" s="16">
        <v>11899.65</v>
      </c>
      <c r="F112" s="14" t="s">
        <v>75</v>
      </c>
      <c r="G112" s="15">
        <v>46060</v>
      </c>
      <c r="H112" s="15">
        <v>46067</v>
      </c>
      <c r="I112" s="14">
        <v>7</v>
      </c>
      <c r="J112" s="9">
        <v>6979.54</v>
      </c>
      <c r="K112" s="15">
        <v>45820</v>
      </c>
      <c r="L112" s="28" t="s">
        <v>24</v>
      </c>
    </row>
    <row r="113" spans="1:12" x14ac:dyDescent="0.3">
      <c r="A113" s="27" t="s">
        <v>101</v>
      </c>
      <c r="B113" s="14" t="s">
        <v>77</v>
      </c>
      <c r="C113" s="9">
        <v>25650</v>
      </c>
      <c r="D113" s="9"/>
      <c r="E113" s="9">
        <v>25650</v>
      </c>
      <c r="F113" s="14" t="s">
        <v>75</v>
      </c>
      <c r="G113" s="15">
        <v>46061</v>
      </c>
      <c r="H113" s="15">
        <v>46068</v>
      </c>
      <c r="I113" s="14">
        <v>7</v>
      </c>
      <c r="J113" s="9">
        <v>13195.77</v>
      </c>
      <c r="K113" s="15">
        <v>45675</v>
      </c>
      <c r="L113" s="28" t="s">
        <v>12</v>
      </c>
    </row>
    <row r="114" spans="1:12" x14ac:dyDescent="0.3">
      <c r="A114" s="27" t="s">
        <v>101</v>
      </c>
      <c r="B114" s="14" t="s">
        <v>77</v>
      </c>
      <c r="C114" s="16">
        <v>1410</v>
      </c>
      <c r="D114" s="16">
        <v>1410</v>
      </c>
      <c r="E114" s="16"/>
      <c r="F114" s="14" t="s">
        <v>70</v>
      </c>
      <c r="G114" s="15">
        <v>46061</v>
      </c>
      <c r="H114" s="15">
        <v>46068</v>
      </c>
      <c r="I114" s="14">
        <v>7</v>
      </c>
      <c r="J114" s="9">
        <v>0</v>
      </c>
      <c r="K114" s="15">
        <v>45834</v>
      </c>
      <c r="L114" s="28" t="s">
        <v>2</v>
      </c>
    </row>
    <row r="115" spans="1:12" x14ac:dyDescent="0.3">
      <c r="A115" s="27" t="s">
        <v>101</v>
      </c>
      <c r="B115" s="14" t="s">
        <v>77</v>
      </c>
      <c r="C115" s="9">
        <v>71114.759999999995</v>
      </c>
      <c r="D115" s="9"/>
      <c r="E115" s="9">
        <v>71114.759999999995</v>
      </c>
      <c r="F115" s="14" t="s">
        <v>75</v>
      </c>
      <c r="G115" s="15">
        <v>46061</v>
      </c>
      <c r="H115" s="15">
        <v>46068</v>
      </c>
      <c r="I115" s="14">
        <v>7</v>
      </c>
      <c r="J115" s="9">
        <v>39175.64</v>
      </c>
      <c r="K115" s="15">
        <v>45761</v>
      </c>
      <c r="L115" s="28" t="s">
        <v>18</v>
      </c>
    </row>
    <row r="116" spans="1:12" x14ac:dyDescent="0.3">
      <c r="A116" s="27" t="s">
        <v>101</v>
      </c>
      <c r="B116" s="14" t="s">
        <v>77</v>
      </c>
      <c r="C116" s="16"/>
      <c r="D116" s="16"/>
      <c r="E116" s="16"/>
      <c r="F116" s="14" t="s">
        <v>73</v>
      </c>
      <c r="G116" s="15">
        <v>46061</v>
      </c>
      <c r="H116" s="15">
        <v>46064</v>
      </c>
      <c r="I116" s="14">
        <v>3</v>
      </c>
      <c r="J116" s="9">
        <v>0</v>
      </c>
      <c r="K116" s="15">
        <v>45766</v>
      </c>
      <c r="L116" s="28" t="s">
        <v>26</v>
      </c>
    </row>
    <row r="117" spans="1:12" x14ac:dyDescent="0.3">
      <c r="A117" s="27" t="s">
        <v>101</v>
      </c>
      <c r="B117" s="14" t="s">
        <v>77</v>
      </c>
      <c r="C117" s="16">
        <v>37002</v>
      </c>
      <c r="D117" s="16"/>
      <c r="E117" s="16">
        <v>37002</v>
      </c>
      <c r="F117" s="14" t="s">
        <v>75</v>
      </c>
      <c r="G117" s="15">
        <v>46061</v>
      </c>
      <c r="H117" s="15">
        <v>46068</v>
      </c>
      <c r="I117" s="14">
        <v>7</v>
      </c>
      <c r="J117" s="9">
        <v>16169.01</v>
      </c>
      <c r="K117" s="15">
        <v>45916</v>
      </c>
      <c r="L117" s="28" t="s">
        <v>24</v>
      </c>
    </row>
    <row r="118" spans="1:12" x14ac:dyDescent="0.3">
      <c r="A118" s="27" t="s">
        <v>101</v>
      </c>
      <c r="B118" s="14" t="s">
        <v>77</v>
      </c>
      <c r="C118" s="9">
        <v>23522</v>
      </c>
      <c r="D118" s="9">
        <v>5880.5</v>
      </c>
      <c r="E118" s="9">
        <v>17641.5</v>
      </c>
      <c r="F118" s="14" t="s">
        <v>72</v>
      </c>
      <c r="G118" s="15">
        <v>46061</v>
      </c>
      <c r="H118" s="15">
        <v>46065</v>
      </c>
      <c r="I118" s="14">
        <v>4</v>
      </c>
      <c r="J118" s="9">
        <v>14320.11</v>
      </c>
      <c r="K118" s="15">
        <v>45967</v>
      </c>
      <c r="L118" s="28" t="s">
        <v>31</v>
      </c>
    </row>
    <row r="119" spans="1:12" x14ac:dyDescent="0.3">
      <c r="A119" s="27" t="s">
        <v>101</v>
      </c>
      <c r="B119" s="14" t="s">
        <v>77</v>
      </c>
      <c r="C119" s="16">
        <v>12777.5</v>
      </c>
      <c r="D119" s="16"/>
      <c r="E119" s="16">
        <v>12777.5</v>
      </c>
      <c r="F119" s="14" t="s">
        <v>75</v>
      </c>
      <c r="G119" s="15">
        <v>46062</v>
      </c>
      <c r="H119" s="15">
        <v>46064</v>
      </c>
      <c r="I119" s="14">
        <v>2</v>
      </c>
      <c r="J119" s="9">
        <v>7826.34</v>
      </c>
      <c r="K119" s="15">
        <v>45943</v>
      </c>
      <c r="L119" s="28" t="s">
        <v>31</v>
      </c>
    </row>
    <row r="120" spans="1:12" x14ac:dyDescent="0.3">
      <c r="A120" s="27" t="s">
        <v>101</v>
      </c>
      <c r="B120" s="14" t="s">
        <v>77</v>
      </c>
      <c r="C120" s="9">
        <v>25200</v>
      </c>
      <c r="D120" s="9"/>
      <c r="E120" s="9">
        <v>25200</v>
      </c>
      <c r="F120" s="14" t="s">
        <v>75</v>
      </c>
      <c r="G120" s="15">
        <v>46062</v>
      </c>
      <c r="H120" s="15">
        <v>46072</v>
      </c>
      <c r="I120" s="14">
        <v>10</v>
      </c>
      <c r="J120" s="9">
        <v>10536.1</v>
      </c>
      <c r="K120" s="15">
        <v>45975</v>
      </c>
      <c r="L120" s="28" t="s">
        <v>24</v>
      </c>
    </row>
    <row r="121" spans="1:12" x14ac:dyDescent="0.3">
      <c r="A121" s="27" t="s">
        <v>101</v>
      </c>
      <c r="B121" s="14" t="s">
        <v>77</v>
      </c>
      <c r="C121" s="9">
        <v>37000</v>
      </c>
      <c r="D121" s="9"/>
      <c r="E121" s="9">
        <v>37000</v>
      </c>
      <c r="F121" s="14" t="s">
        <v>75</v>
      </c>
      <c r="G121" s="15">
        <v>46062</v>
      </c>
      <c r="H121" s="15">
        <v>46069</v>
      </c>
      <c r="I121" s="14">
        <v>7</v>
      </c>
      <c r="J121" s="9">
        <v>17342.62</v>
      </c>
      <c r="K121" s="15">
        <v>45765</v>
      </c>
      <c r="L121" s="28" t="s">
        <v>24</v>
      </c>
    </row>
    <row r="122" spans="1:12" x14ac:dyDescent="0.3">
      <c r="A122" s="27" t="s">
        <v>101</v>
      </c>
      <c r="B122" s="14" t="s">
        <v>77</v>
      </c>
      <c r="C122" s="9">
        <v>103328.1</v>
      </c>
      <c r="D122" s="9"/>
      <c r="E122" s="9">
        <v>103328.1</v>
      </c>
      <c r="F122" s="14" t="s">
        <v>75</v>
      </c>
      <c r="G122" s="15">
        <v>46063</v>
      </c>
      <c r="H122" s="15">
        <v>46071</v>
      </c>
      <c r="I122" s="14">
        <v>8</v>
      </c>
      <c r="J122" s="9">
        <v>0</v>
      </c>
      <c r="K122" s="15">
        <v>45773</v>
      </c>
      <c r="L122" s="28" t="s">
        <v>16</v>
      </c>
    </row>
    <row r="123" spans="1:12" x14ac:dyDescent="0.3">
      <c r="A123" s="27" t="s">
        <v>101</v>
      </c>
      <c r="B123" s="14" t="s">
        <v>77</v>
      </c>
      <c r="C123" s="9">
        <v>24392.63</v>
      </c>
      <c r="D123" s="9">
        <v>17154</v>
      </c>
      <c r="E123" s="9">
        <v>7238.63</v>
      </c>
      <c r="F123" s="14" t="s">
        <v>72</v>
      </c>
      <c r="G123" s="15">
        <v>46064</v>
      </c>
      <c r="H123" s="15">
        <v>46068</v>
      </c>
      <c r="I123" s="14">
        <v>4</v>
      </c>
      <c r="J123" s="9">
        <v>15690.32</v>
      </c>
      <c r="K123" s="15">
        <v>45954</v>
      </c>
      <c r="L123" s="28" t="s">
        <v>13</v>
      </c>
    </row>
    <row r="124" spans="1:12" x14ac:dyDescent="0.3">
      <c r="A124" s="27" t="s">
        <v>101</v>
      </c>
      <c r="B124" s="14" t="s">
        <v>77</v>
      </c>
      <c r="C124" s="16">
        <v>623</v>
      </c>
      <c r="D124" s="16">
        <v>623</v>
      </c>
      <c r="E124" s="16"/>
      <c r="F124" s="14" t="s">
        <v>70</v>
      </c>
      <c r="G124" s="15">
        <v>46064</v>
      </c>
      <c r="H124" s="15">
        <v>46066</v>
      </c>
      <c r="I124" s="14">
        <v>2</v>
      </c>
      <c r="J124" s="9">
        <v>0</v>
      </c>
      <c r="K124" s="15">
        <v>45925</v>
      </c>
      <c r="L124" s="28" t="s">
        <v>2</v>
      </c>
    </row>
    <row r="125" spans="1:12" x14ac:dyDescent="0.3">
      <c r="A125" s="27" t="s">
        <v>101</v>
      </c>
      <c r="B125" s="14" t="s">
        <v>77</v>
      </c>
      <c r="C125" s="9">
        <v>19530</v>
      </c>
      <c r="D125" s="9">
        <v>19530</v>
      </c>
      <c r="E125" s="16"/>
      <c r="F125" s="14" t="s">
        <v>70</v>
      </c>
      <c r="G125" s="15">
        <v>46064</v>
      </c>
      <c r="H125" s="15">
        <v>46072</v>
      </c>
      <c r="I125" s="14">
        <v>8</v>
      </c>
      <c r="J125" s="9">
        <v>2428.9</v>
      </c>
      <c r="K125" s="15">
        <v>45926</v>
      </c>
      <c r="L125" s="28" t="s">
        <v>24</v>
      </c>
    </row>
    <row r="126" spans="1:12" x14ac:dyDescent="0.3">
      <c r="A126" s="27" t="s">
        <v>101</v>
      </c>
      <c r="B126" s="14" t="s">
        <v>77</v>
      </c>
      <c r="C126" s="9">
        <v>5050</v>
      </c>
      <c r="D126" s="9">
        <v>5050</v>
      </c>
      <c r="E126" s="16"/>
      <c r="F126" s="14" t="s">
        <v>70</v>
      </c>
      <c r="G126" s="15">
        <v>46064</v>
      </c>
      <c r="H126" s="15">
        <v>46065</v>
      </c>
      <c r="I126" s="14">
        <v>1</v>
      </c>
      <c r="J126" s="9">
        <v>0</v>
      </c>
      <c r="K126" s="15">
        <v>45982</v>
      </c>
      <c r="L126" s="28" t="s">
        <v>2</v>
      </c>
    </row>
    <row r="127" spans="1:12" x14ac:dyDescent="0.3">
      <c r="A127" s="27" t="s">
        <v>101</v>
      </c>
      <c r="B127" s="14" t="s">
        <v>77</v>
      </c>
      <c r="C127" s="16">
        <v>308673.68</v>
      </c>
      <c r="D127" s="16">
        <v>308673.68</v>
      </c>
      <c r="E127" s="16"/>
      <c r="F127" s="14" t="s">
        <v>70</v>
      </c>
      <c r="G127" s="15">
        <v>46065</v>
      </c>
      <c r="H127" s="15">
        <v>46075</v>
      </c>
      <c r="I127" s="14">
        <v>10</v>
      </c>
      <c r="J127" s="9">
        <v>186316.11</v>
      </c>
      <c r="K127" s="15">
        <v>45936</v>
      </c>
      <c r="L127" s="28" t="s">
        <v>2</v>
      </c>
    </row>
    <row r="128" spans="1:12" x14ac:dyDescent="0.3">
      <c r="A128" s="27" t="s">
        <v>101</v>
      </c>
      <c r="B128" s="14" t="s">
        <v>77</v>
      </c>
      <c r="C128" s="16">
        <v>36044.480000000003</v>
      </c>
      <c r="D128" s="16">
        <v>36044.480000000003</v>
      </c>
      <c r="E128" s="16"/>
      <c r="F128" s="14" t="s">
        <v>70</v>
      </c>
      <c r="G128" s="15">
        <v>46065</v>
      </c>
      <c r="H128" s="15">
        <v>46073</v>
      </c>
      <c r="I128" s="14">
        <v>8</v>
      </c>
      <c r="J128" s="9">
        <v>20995.46</v>
      </c>
      <c r="K128" s="15">
        <v>45936</v>
      </c>
      <c r="L128" s="28" t="s">
        <v>35</v>
      </c>
    </row>
    <row r="129" spans="1:12" x14ac:dyDescent="0.3">
      <c r="A129" s="27" t="s">
        <v>101</v>
      </c>
      <c r="B129" s="14" t="s">
        <v>77</v>
      </c>
      <c r="C129" s="9">
        <v>31985</v>
      </c>
      <c r="D129" s="9">
        <v>31985</v>
      </c>
      <c r="E129" s="16"/>
      <c r="F129" s="14" t="s">
        <v>70</v>
      </c>
      <c r="G129" s="15">
        <v>46066</v>
      </c>
      <c r="H129" s="15">
        <v>46071</v>
      </c>
      <c r="I129" s="14">
        <v>5</v>
      </c>
      <c r="J129" s="9">
        <v>15888.3</v>
      </c>
      <c r="K129" s="15">
        <v>45837</v>
      </c>
      <c r="L129" s="28" t="s">
        <v>13</v>
      </c>
    </row>
    <row r="130" spans="1:12" x14ac:dyDescent="0.3">
      <c r="A130" s="27" t="s">
        <v>101</v>
      </c>
      <c r="B130" s="14" t="s">
        <v>77</v>
      </c>
      <c r="C130" s="9">
        <v>26300</v>
      </c>
      <c r="D130" s="9"/>
      <c r="E130" s="9">
        <v>26300</v>
      </c>
      <c r="F130" s="14" t="s">
        <v>75</v>
      </c>
      <c r="G130" s="15">
        <v>46066</v>
      </c>
      <c r="H130" s="15">
        <v>46076</v>
      </c>
      <c r="I130" s="14">
        <v>10</v>
      </c>
      <c r="J130" s="9">
        <v>11724.9</v>
      </c>
      <c r="K130" s="15">
        <v>45815</v>
      </c>
      <c r="L130" s="28" t="s">
        <v>2</v>
      </c>
    </row>
    <row r="131" spans="1:12" x14ac:dyDescent="0.3">
      <c r="A131" s="27" t="s">
        <v>101</v>
      </c>
      <c r="B131" s="14" t="s">
        <v>77</v>
      </c>
      <c r="C131" s="9">
        <v>20244</v>
      </c>
      <c r="D131" s="9"/>
      <c r="E131" s="9">
        <v>20244</v>
      </c>
      <c r="F131" s="14" t="s">
        <v>75</v>
      </c>
      <c r="G131" s="15">
        <v>46066</v>
      </c>
      <c r="H131" s="15">
        <v>46070</v>
      </c>
      <c r="I131" s="14">
        <v>4</v>
      </c>
      <c r="J131" s="9">
        <v>10512.84</v>
      </c>
      <c r="K131" s="15">
        <v>45815</v>
      </c>
      <c r="L131" s="28" t="s">
        <v>2</v>
      </c>
    </row>
    <row r="132" spans="1:12" x14ac:dyDescent="0.3">
      <c r="A132" s="27" t="s">
        <v>101</v>
      </c>
      <c r="B132" s="14" t="s">
        <v>77</v>
      </c>
      <c r="C132" s="9">
        <v>51236</v>
      </c>
      <c r="D132" s="9">
        <v>51236</v>
      </c>
      <c r="E132" s="16"/>
      <c r="F132" s="14" t="s">
        <v>70</v>
      </c>
      <c r="G132" s="15">
        <v>46066</v>
      </c>
      <c r="H132" s="15">
        <v>46073</v>
      </c>
      <c r="I132" s="14">
        <v>7</v>
      </c>
      <c r="J132" s="9">
        <v>35458.43</v>
      </c>
      <c r="K132" s="15">
        <v>45891</v>
      </c>
      <c r="L132" s="28" t="s">
        <v>36</v>
      </c>
    </row>
    <row r="133" spans="1:12" x14ac:dyDescent="0.3">
      <c r="A133" s="27" t="s">
        <v>101</v>
      </c>
      <c r="B133" s="14" t="s">
        <v>77</v>
      </c>
      <c r="C133" s="16">
        <v>0</v>
      </c>
      <c r="D133" s="16"/>
      <c r="E133" s="16">
        <v>0</v>
      </c>
      <c r="F133" s="14" t="s">
        <v>73</v>
      </c>
      <c r="G133" s="15">
        <v>46067</v>
      </c>
      <c r="H133" s="15">
        <v>46074</v>
      </c>
      <c r="I133" s="14">
        <v>7</v>
      </c>
      <c r="J133" s="9">
        <v>0</v>
      </c>
      <c r="K133" s="15">
        <v>45916</v>
      </c>
      <c r="L133" s="28" t="s">
        <v>2</v>
      </c>
    </row>
    <row r="134" spans="1:12" x14ac:dyDescent="0.3">
      <c r="A134" s="27" t="s">
        <v>101</v>
      </c>
      <c r="B134" s="14" t="s">
        <v>77</v>
      </c>
      <c r="C134" s="16">
        <v>18800</v>
      </c>
      <c r="D134" s="16"/>
      <c r="E134" s="16">
        <v>18800</v>
      </c>
      <c r="F134" s="14" t="s">
        <v>75</v>
      </c>
      <c r="G134" s="15">
        <v>46067</v>
      </c>
      <c r="H134" s="15">
        <v>46074</v>
      </c>
      <c r="I134" s="14">
        <v>7</v>
      </c>
      <c r="J134" s="9">
        <v>0</v>
      </c>
      <c r="K134" s="15">
        <v>45820</v>
      </c>
      <c r="L134" s="28" t="s">
        <v>2</v>
      </c>
    </row>
    <row r="135" spans="1:12" x14ac:dyDescent="0.3">
      <c r="A135" s="27" t="s">
        <v>101</v>
      </c>
      <c r="B135" s="14" t="s">
        <v>77</v>
      </c>
      <c r="C135" s="9">
        <v>74999.990000000005</v>
      </c>
      <c r="D135" s="9">
        <v>12389.83</v>
      </c>
      <c r="E135" s="9">
        <v>62610.16</v>
      </c>
      <c r="F135" s="14" t="s">
        <v>72</v>
      </c>
      <c r="G135" s="15">
        <v>46067</v>
      </c>
      <c r="H135" s="15">
        <v>46074</v>
      </c>
      <c r="I135" s="14">
        <v>7</v>
      </c>
      <c r="J135" s="9">
        <v>50823.01</v>
      </c>
      <c r="K135" s="15">
        <v>45953</v>
      </c>
      <c r="L135" s="28" t="s">
        <v>9</v>
      </c>
    </row>
    <row r="136" spans="1:12" x14ac:dyDescent="0.3">
      <c r="A136" s="27" t="s">
        <v>101</v>
      </c>
      <c r="B136" s="14" t="s">
        <v>77</v>
      </c>
      <c r="C136" s="16">
        <v>46800</v>
      </c>
      <c r="D136" s="16"/>
      <c r="E136" s="16">
        <v>46800</v>
      </c>
      <c r="F136" s="14" t="s">
        <v>79</v>
      </c>
      <c r="G136" s="15">
        <v>46067</v>
      </c>
      <c r="H136" s="15">
        <v>46076</v>
      </c>
      <c r="I136" s="14">
        <v>9</v>
      </c>
      <c r="J136" s="9">
        <v>26783.19</v>
      </c>
      <c r="K136" s="15">
        <v>45761</v>
      </c>
      <c r="L136" s="28" t="s">
        <v>2</v>
      </c>
    </row>
    <row r="137" spans="1:12" x14ac:dyDescent="0.3">
      <c r="A137" s="27" t="s">
        <v>101</v>
      </c>
      <c r="B137" s="14" t="s">
        <v>77</v>
      </c>
      <c r="C137" s="9">
        <v>22105.8</v>
      </c>
      <c r="D137" s="9">
        <v>22105.8</v>
      </c>
      <c r="E137" s="16"/>
      <c r="F137" s="14" t="s">
        <v>70</v>
      </c>
      <c r="G137" s="15">
        <v>46067</v>
      </c>
      <c r="H137" s="15">
        <v>46073</v>
      </c>
      <c r="I137" s="14">
        <v>6</v>
      </c>
      <c r="J137" s="9">
        <v>15524.88</v>
      </c>
      <c r="K137" s="15">
        <v>45978</v>
      </c>
      <c r="L137" s="28" t="s">
        <v>33</v>
      </c>
    </row>
    <row r="138" spans="1:12" x14ac:dyDescent="0.3">
      <c r="A138" s="27" t="s">
        <v>101</v>
      </c>
      <c r="B138" s="14" t="s">
        <v>77</v>
      </c>
      <c r="C138" s="16">
        <v>137800</v>
      </c>
      <c r="D138" s="16"/>
      <c r="E138" s="16">
        <v>137800</v>
      </c>
      <c r="F138" s="14" t="s">
        <v>79</v>
      </c>
      <c r="G138" s="15">
        <v>46067</v>
      </c>
      <c r="H138" s="15">
        <v>46076</v>
      </c>
      <c r="I138" s="14">
        <v>9</v>
      </c>
      <c r="J138" s="9">
        <v>72076.95</v>
      </c>
      <c r="K138" s="15">
        <v>45761</v>
      </c>
      <c r="L138" s="28" t="s">
        <v>2</v>
      </c>
    </row>
    <row r="139" spans="1:12" x14ac:dyDescent="0.3">
      <c r="A139" s="27" t="s">
        <v>101</v>
      </c>
      <c r="B139" s="14" t="s">
        <v>77</v>
      </c>
      <c r="C139" s="16">
        <v>31160</v>
      </c>
      <c r="D139" s="16">
        <v>31160</v>
      </c>
      <c r="E139" s="16"/>
      <c r="F139" s="14" t="s">
        <v>70</v>
      </c>
      <c r="G139" s="15">
        <v>46067</v>
      </c>
      <c r="H139" s="15">
        <v>46073</v>
      </c>
      <c r="I139" s="14">
        <v>6</v>
      </c>
      <c r="J139" s="9">
        <v>17202.78</v>
      </c>
      <c r="K139" s="15">
        <v>45876</v>
      </c>
      <c r="L139" s="28" t="s">
        <v>2</v>
      </c>
    </row>
    <row r="140" spans="1:12" x14ac:dyDescent="0.3">
      <c r="A140" s="27" t="s">
        <v>101</v>
      </c>
      <c r="B140" s="14" t="s">
        <v>77</v>
      </c>
      <c r="C140" s="9">
        <v>30565</v>
      </c>
      <c r="D140" s="16"/>
      <c r="E140" s="9">
        <v>30565</v>
      </c>
      <c r="F140" s="14" t="s">
        <v>75</v>
      </c>
      <c r="G140" s="15">
        <v>46067</v>
      </c>
      <c r="H140" s="15">
        <v>46075</v>
      </c>
      <c r="I140" s="14">
        <v>8</v>
      </c>
      <c r="J140" s="9">
        <v>0</v>
      </c>
      <c r="K140" s="15">
        <v>45984</v>
      </c>
      <c r="L140" s="28" t="s">
        <v>13</v>
      </c>
    </row>
    <row r="141" spans="1:12" x14ac:dyDescent="0.3">
      <c r="A141" s="27" t="s">
        <v>101</v>
      </c>
      <c r="B141" s="14" t="s">
        <v>76</v>
      </c>
      <c r="C141" s="9">
        <v>2000</v>
      </c>
      <c r="D141" s="9"/>
      <c r="E141" s="9">
        <v>2000</v>
      </c>
      <c r="F141" s="14" t="s">
        <v>75</v>
      </c>
      <c r="G141" s="15">
        <v>46067</v>
      </c>
      <c r="H141" s="15">
        <v>46072</v>
      </c>
      <c r="I141" s="14">
        <v>5</v>
      </c>
      <c r="J141" s="9">
        <v>1232.45</v>
      </c>
      <c r="K141" s="15">
        <v>45908</v>
      </c>
      <c r="L141" s="28" t="s">
        <v>2</v>
      </c>
    </row>
    <row r="142" spans="1:12" x14ac:dyDescent="0.3">
      <c r="A142" s="27" t="s">
        <v>101</v>
      </c>
      <c r="B142" s="14" t="s">
        <v>76</v>
      </c>
      <c r="C142" s="9">
        <v>46613.36</v>
      </c>
      <c r="D142" s="9"/>
      <c r="E142" s="9">
        <v>46613.36</v>
      </c>
      <c r="F142" s="14" t="s">
        <v>80</v>
      </c>
      <c r="G142" s="15">
        <v>46068</v>
      </c>
      <c r="H142" s="15">
        <v>46076</v>
      </c>
      <c r="I142" s="14">
        <v>8</v>
      </c>
      <c r="J142" s="9">
        <v>31164.080000000002</v>
      </c>
      <c r="K142" s="15">
        <v>45990</v>
      </c>
      <c r="L142" s="28" t="s">
        <v>2</v>
      </c>
    </row>
    <row r="143" spans="1:12" x14ac:dyDescent="0.3">
      <c r="A143" s="27" t="s">
        <v>101</v>
      </c>
      <c r="B143" s="14" t="s">
        <v>76</v>
      </c>
      <c r="C143" s="16"/>
      <c r="D143" s="16"/>
      <c r="E143" s="16"/>
      <c r="F143" s="14" t="s">
        <v>73</v>
      </c>
      <c r="G143" s="15">
        <v>46068</v>
      </c>
      <c r="H143" s="15">
        <v>46070</v>
      </c>
      <c r="I143" s="14">
        <v>2</v>
      </c>
      <c r="J143" s="9">
        <v>0</v>
      </c>
      <c r="K143" s="15">
        <v>45841</v>
      </c>
      <c r="L143" s="28" t="s">
        <v>15</v>
      </c>
    </row>
    <row r="144" spans="1:12" x14ac:dyDescent="0.3">
      <c r="A144" s="27" t="s">
        <v>101</v>
      </c>
      <c r="B144" s="14" t="s">
        <v>76</v>
      </c>
      <c r="C144" s="9">
        <v>20576.5</v>
      </c>
      <c r="D144" s="9"/>
      <c r="E144" s="9">
        <v>20576.5</v>
      </c>
      <c r="F144" s="14" t="s">
        <v>75</v>
      </c>
      <c r="G144" s="15">
        <v>46068</v>
      </c>
      <c r="H144" s="15">
        <v>46078</v>
      </c>
      <c r="I144" s="14">
        <v>10</v>
      </c>
      <c r="J144" s="9">
        <v>3645.1</v>
      </c>
      <c r="K144" s="15">
        <v>45736</v>
      </c>
      <c r="L144" s="28" t="s">
        <v>2</v>
      </c>
    </row>
    <row r="145" spans="1:12" x14ac:dyDescent="0.3">
      <c r="A145" s="27" t="s">
        <v>101</v>
      </c>
      <c r="B145" s="14" t="s">
        <v>76</v>
      </c>
      <c r="C145" s="16">
        <v>29844</v>
      </c>
      <c r="D145" s="16"/>
      <c r="E145" s="16">
        <v>29844</v>
      </c>
      <c r="F145" s="14" t="s">
        <v>75</v>
      </c>
      <c r="G145" s="15">
        <v>46068</v>
      </c>
      <c r="H145" s="15">
        <v>46072</v>
      </c>
      <c r="I145" s="14">
        <v>4</v>
      </c>
      <c r="J145" s="9">
        <v>0</v>
      </c>
      <c r="K145" s="15">
        <v>45996</v>
      </c>
      <c r="L145" s="28" t="s">
        <v>31</v>
      </c>
    </row>
    <row r="146" spans="1:12" x14ac:dyDescent="0.3">
      <c r="A146" s="27" t="s">
        <v>101</v>
      </c>
      <c r="B146" s="14" t="s">
        <v>76</v>
      </c>
      <c r="C146" s="9">
        <v>18739</v>
      </c>
      <c r="D146" s="9">
        <v>18739</v>
      </c>
      <c r="E146" s="16"/>
      <c r="F146" s="14" t="s">
        <v>70</v>
      </c>
      <c r="G146" s="15">
        <v>46068</v>
      </c>
      <c r="H146" s="15">
        <v>46075</v>
      </c>
      <c r="I146" s="14">
        <v>7</v>
      </c>
      <c r="J146" s="9">
        <v>6088.99</v>
      </c>
      <c r="K146" s="15">
        <v>45737</v>
      </c>
      <c r="L146" s="28" t="s">
        <v>13</v>
      </c>
    </row>
    <row r="147" spans="1:12" x14ac:dyDescent="0.3">
      <c r="A147" s="27" t="s">
        <v>101</v>
      </c>
      <c r="B147" s="14" t="s">
        <v>76</v>
      </c>
      <c r="C147" s="9">
        <v>68298.600000000006</v>
      </c>
      <c r="D147" s="9">
        <v>68298.600000000006</v>
      </c>
      <c r="E147" s="16"/>
      <c r="F147" s="14" t="s">
        <v>70</v>
      </c>
      <c r="G147" s="15">
        <v>46068</v>
      </c>
      <c r="H147" s="15">
        <v>46075</v>
      </c>
      <c r="I147" s="14">
        <v>7</v>
      </c>
      <c r="J147" s="9">
        <v>29069.46</v>
      </c>
      <c r="K147" s="15">
        <v>45885</v>
      </c>
      <c r="L147" s="28" t="s">
        <v>17</v>
      </c>
    </row>
    <row r="148" spans="1:12" x14ac:dyDescent="0.3">
      <c r="A148" s="27" t="s">
        <v>101</v>
      </c>
      <c r="B148" s="14" t="s">
        <v>76</v>
      </c>
      <c r="C148" s="16">
        <v>37590</v>
      </c>
      <c r="D148" s="16">
        <v>37590</v>
      </c>
      <c r="E148" s="16"/>
      <c r="F148" s="14" t="s">
        <v>70</v>
      </c>
      <c r="G148" s="15">
        <v>46068</v>
      </c>
      <c r="H148" s="15">
        <v>46070</v>
      </c>
      <c r="I148" s="14">
        <v>2</v>
      </c>
      <c r="J148" s="9">
        <v>0</v>
      </c>
      <c r="K148" s="15">
        <v>45916</v>
      </c>
      <c r="L148" s="28" t="s">
        <v>24</v>
      </c>
    </row>
    <row r="149" spans="1:12" x14ac:dyDescent="0.3">
      <c r="A149" s="27" t="s">
        <v>101</v>
      </c>
      <c r="B149" s="14" t="s">
        <v>76</v>
      </c>
      <c r="C149" s="9"/>
      <c r="D149" s="9"/>
      <c r="E149" s="9"/>
      <c r="F149" s="14" t="s">
        <v>73</v>
      </c>
      <c r="G149" s="15">
        <v>46069</v>
      </c>
      <c r="H149" s="15">
        <v>46102</v>
      </c>
      <c r="I149" s="14">
        <v>33</v>
      </c>
      <c r="J149" s="9">
        <v>0</v>
      </c>
      <c r="K149" s="15">
        <v>45847</v>
      </c>
      <c r="L149" s="28" t="s">
        <v>24</v>
      </c>
    </row>
    <row r="150" spans="1:12" x14ac:dyDescent="0.3">
      <c r="A150" s="27" t="s">
        <v>101</v>
      </c>
      <c r="B150" s="14" t="s">
        <v>76</v>
      </c>
      <c r="C150" s="9">
        <v>46570</v>
      </c>
      <c r="D150" s="9"/>
      <c r="E150" s="9">
        <v>46570</v>
      </c>
      <c r="F150" s="14" t="s">
        <v>75</v>
      </c>
      <c r="G150" s="15">
        <v>46069</v>
      </c>
      <c r="H150" s="15">
        <v>46076</v>
      </c>
      <c r="I150" s="14">
        <v>7</v>
      </c>
      <c r="J150" s="9">
        <v>0</v>
      </c>
      <c r="K150" s="15">
        <v>45999</v>
      </c>
      <c r="L150" s="28" t="s">
        <v>1</v>
      </c>
    </row>
    <row r="151" spans="1:12" x14ac:dyDescent="0.3">
      <c r="A151" s="27" t="s">
        <v>101</v>
      </c>
      <c r="B151" s="14" t="s">
        <v>76</v>
      </c>
      <c r="C151" s="9">
        <v>335455.34999999998</v>
      </c>
      <c r="D151" s="9">
        <v>335455.34999999998</v>
      </c>
      <c r="E151" s="16"/>
      <c r="F151" s="14" t="s">
        <v>70</v>
      </c>
      <c r="G151" s="15">
        <v>46069</v>
      </c>
      <c r="H151" s="15">
        <v>46077</v>
      </c>
      <c r="I151" s="14">
        <v>8</v>
      </c>
      <c r="J151" s="9">
        <v>125490.99</v>
      </c>
      <c r="K151" s="15">
        <v>45952</v>
      </c>
      <c r="L151" s="28" t="s">
        <v>2</v>
      </c>
    </row>
    <row r="152" spans="1:12" x14ac:dyDescent="0.3">
      <c r="A152" s="27" t="s">
        <v>101</v>
      </c>
      <c r="B152" s="14" t="s">
        <v>76</v>
      </c>
      <c r="C152" s="9">
        <v>82732</v>
      </c>
      <c r="D152" s="9">
        <v>20683</v>
      </c>
      <c r="E152" s="9">
        <v>62049</v>
      </c>
      <c r="F152" s="14" t="s">
        <v>72</v>
      </c>
      <c r="G152" s="15">
        <v>46070</v>
      </c>
      <c r="H152" s="15">
        <v>46082</v>
      </c>
      <c r="I152" s="14">
        <v>12</v>
      </c>
      <c r="J152" s="9">
        <v>49184.92</v>
      </c>
      <c r="K152" s="15">
        <v>45981</v>
      </c>
      <c r="L152" s="28" t="s">
        <v>13</v>
      </c>
    </row>
    <row r="153" spans="1:12" x14ac:dyDescent="0.3">
      <c r="A153" s="27" t="s">
        <v>101</v>
      </c>
      <c r="B153" s="14" t="s">
        <v>76</v>
      </c>
      <c r="C153" s="9">
        <v>18894</v>
      </c>
      <c r="D153" s="9">
        <v>18894</v>
      </c>
      <c r="E153" s="16"/>
      <c r="F153" s="14" t="s">
        <v>70</v>
      </c>
      <c r="G153" s="15">
        <v>46070</v>
      </c>
      <c r="H153" s="15">
        <v>46074</v>
      </c>
      <c r="I153" s="14">
        <v>4</v>
      </c>
      <c r="J153" s="9">
        <v>11395</v>
      </c>
      <c r="K153" s="15">
        <v>45989</v>
      </c>
      <c r="L153" s="28" t="s">
        <v>2</v>
      </c>
    </row>
    <row r="154" spans="1:12" x14ac:dyDescent="0.3">
      <c r="A154" s="27" t="s">
        <v>101</v>
      </c>
      <c r="B154" s="14" t="s">
        <v>76</v>
      </c>
      <c r="C154" s="9">
        <v>20135</v>
      </c>
      <c r="D154" s="9">
        <v>25817.05</v>
      </c>
      <c r="E154" s="16"/>
      <c r="F154" s="14" t="s">
        <v>70</v>
      </c>
      <c r="G154" s="15">
        <v>46070</v>
      </c>
      <c r="H154" s="15">
        <v>46074</v>
      </c>
      <c r="I154" s="14">
        <v>4</v>
      </c>
      <c r="J154" s="9">
        <v>12751.84</v>
      </c>
      <c r="K154" s="15">
        <v>45446</v>
      </c>
      <c r="L154" s="28" t="s">
        <v>2</v>
      </c>
    </row>
    <row r="155" spans="1:12" x14ac:dyDescent="0.3">
      <c r="A155" s="27" t="s">
        <v>101</v>
      </c>
      <c r="B155" s="14" t="s">
        <v>76</v>
      </c>
      <c r="C155" s="9">
        <v>55754.75</v>
      </c>
      <c r="D155" s="9">
        <v>55754.75</v>
      </c>
      <c r="E155" s="16"/>
      <c r="F155" s="14" t="s">
        <v>70</v>
      </c>
      <c r="G155" s="15">
        <v>46071</v>
      </c>
      <c r="H155" s="15">
        <v>46086</v>
      </c>
      <c r="I155" s="14">
        <v>15</v>
      </c>
      <c r="J155" s="9">
        <v>33535.35</v>
      </c>
      <c r="K155" s="15">
        <v>45737</v>
      </c>
      <c r="L155" s="28" t="s">
        <v>2</v>
      </c>
    </row>
    <row r="156" spans="1:12" x14ac:dyDescent="0.3">
      <c r="A156" s="27" t="s">
        <v>101</v>
      </c>
      <c r="B156" s="14" t="s">
        <v>76</v>
      </c>
      <c r="C156" s="9">
        <v>24943.439999999999</v>
      </c>
      <c r="D156" s="9"/>
      <c r="E156" s="9">
        <v>24943.439999999999</v>
      </c>
      <c r="F156" s="14" t="s">
        <v>80</v>
      </c>
      <c r="G156" s="15">
        <v>46071</v>
      </c>
      <c r="H156" s="15">
        <v>46075</v>
      </c>
      <c r="I156" s="14">
        <v>4</v>
      </c>
      <c r="J156" s="9">
        <v>15784.08</v>
      </c>
      <c r="K156" s="15">
        <v>45949</v>
      </c>
      <c r="L156" s="28" t="s">
        <v>9</v>
      </c>
    </row>
    <row r="157" spans="1:12" x14ac:dyDescent="0.3">
      <c r="A157" s="27" t="s">
        <v>101</v>
      </c>
      <c r="B157" s="14" t="s">
        <v>76</v>
      </c>
      <c r="C157" s="16">
        <v>106924.08</v>
      </c>
      <c r="D157" s="16">
        <v>106924.08</v>
      </c>
      <c r="E157" s="16"/>
      <c r="F157" s="14" t="s">
        <v>70</v>
      </c>
      <c r="G157" s="15">
        <v>46071</v>
      </c>
      <c r="H157" s="15">
        <v>46075</v>
      </c>
      <c r="I157" s="14">
        <v>4</v>
      </c>
      <c r="J157" s="9">
        <v>80656.36</v>
      </c>
      <c r="K157" s="15">
        <v>45939</v>
      </c>
      <c r="L157" s="28" t="s">
        <v>31</v>
      </c>
    </row>
    <row r="158" spans="1:12" x14ac:dyDescent="0.3">
      <c r="A158" s="27" t="s">
        <v>101</v>
      </c>
      <c r="B158" s="14" t="s">
        <v>76</v>
      </c>
      <c r="C158" s="16">
        <v>720</v>
      </c>
      <c r="D158" s="16"/>
      <c r="E158" s="16">
        <v>720</v>
      </c>
      <c r="F158" s="14" t="s">
        <v>82</v>
      </c>
      <c r="G158" s="15">
        <v>46071</v>
      </c>
      <c r="H158" s="15">
        <v>46101</v>
      </c>
      <c r="I158" s="14">
        <v>30</v>
      </c>
      <c r="J158" s="9">
        <v>0</v>
      </c>
      <c r="K158" s="15">
        <v>45999</v>
      </c>
      <c r="L158" s="28" t="s">
        <v>2</v>
      </c>
    </row>
    <row r="159" spans="1:12" x14ac:dyDescent="0.3">
      <c r="A159" s="27" t="s">
        <v>101</v>
      </c>
      <c r="B159" s="14" t="s">
        <v>76</v>
      </c>
      <c r="C159" s="11">
        <v>38336</v>
      </c>
      <c r="D159" s="11">
        <v>38336</v>
      </c>
      <c r="E159" s="16"/>
      <c r="F159" s="14" t="s">
        <v>70</v>
      </c>
      <c r="G159" s="15">
        <v>46071</v>
      </c>
      <c r="H159" s="15">
        <v>46074</v>
      </c>
      <c r="I159" s="14">
        <v>3</v>
      </c>
      <c r="J159" s="9">
        <v>27048.959999999999</v>
      </c>
      <c r="K159" s="15">
        <v>45976</v>
      </c>
      <c r="L159" s="28" t="s">
        <v>31</v>
      </c>
    </row>
    <row r="160" spans="1:12" x14ac:dyDescent="0.3">
      <c r="A160" s="27" t="s">
        <v>101</v>
      </c>
      <c r="B160" s="14" t="s">
        <v>76</v>
      </c>
      <c r="C160" s="16">
        <v>63877.440000000002</v>
      </c>
      <c r="D160" s="16">
        <v>63877.440000000002</v>
      </c>
      <c r="E160" s="16"/>
      <c r="F160" s="14" t="s">
        <v>70</v>
      </c>
      <c r="G160" s="15">
        <v>46071</v>
      </c>
      <c r="H160" s="15">
        <v>46075</v>
      </c>
      <c r="I160" s="14">
        <v>4</v>
      </c>
      <c r="J160" s="9">
        <v>48103.96</v>
      </c>
      <c r="K160" s="15">
        <v>45939</v>
      </c>
      <c r="L160" s="28" t="s">
        <v>31</v>
      </c>
    </row>
    <row r="161" spans="1:12" x14ac:dyDescent="0.3">
      <c r="A161" s="27" t="s">
        <v>101</v>
      </c>
      <c r="B161" s="14" t="s">
        <v>76</v>
      </c>
      <c r="C161" s="9">
        <v>114960</v>
      </c>
      <c r="D161" s="9">
        <v>114960</v>
      </c>
      <c r="E161" s="16"/>
      <c r="F161" s="14" t="s">
        <v>70</v>
      </c>
      <c r="G161" s="15">
        <v>46072</v>
      </c>
      <c r="H161" s="15">
        <v>46082</v>
      </c>
      <c r="I161" s="14">
        <v>10</v>
      </c>
      <c r="J161" s="9">
        <v>72637.899999999994</v>
      </c>
      <c r="K161" s="15">
        <v>45777</v>
      </c>
      <c r="L161" s="28" t="s">
        <v>22</v>
      </c>
    </row>
    <row r="162" spans="1:12" x14ac:dyDescent="0.3">
      <c r="A162" s="27" t="s">
        <v>101</v>
      </c>
      <c r="B162" s="14" t="s">
        <v>76</v>
      </c>
      <c r="C162" s="9">
        <v>50967.9</v>
      </c>
      <c r="D162" s="9"/>
      <c r="E162" s="9">
        <v>50967.9</v>
      </c>
      <c r="F162" s="14" t="s">
        <v>75</v>
      </c>
      <c r="G162" s="15">
        <v>46072</v>
      </c>
      <c r="H162" s="15">
        <v>46086</v>
      </c>
      <c r="I162" s="14">
        <v>14</v>
      </c>
      <c r="J162" s="9">
        <v>30467.64</v>
      </c>
      <c r="K162" s="15">
        <v>45757</v>
      </c>
      <c r="L162" s="28" t="s">
        <v>18</v>
      </c>
    </row>
    <row r="163" spans="1:12" x14ac:dyDescent="0.3">
      <c r="A163" s="27" t="s">
        <v>101</v>
      </c>
      <c r="B163" s="14" t="s">
        <v>76</v>
      </c>
      <c r="C163" s="9"/>
      <c r="D163" s="9"/>
      <c r="E163" s="9"/>
      <c r="F163" s="14" t="s">
        <v>73</v>
      </c>
      <c r="G163" s="15">
        <v>46100</v>
      </c>
      <c r="H163" s="15">
        <v>46102</v>
      </c>
      <c r="I163" s="14">
        <v>2</v>
      </c>
      <c r="J163" s="9"/>
      <c r="K163" s="15"/>
      <c r="L163" s="28"/>
    </row>
    <row r="164" spans="1:12" x14ac:dyDescent="0.3">
      <c r="A164" s="27" t="s">
        <v>101</v>
      </c>
      <c r="B164" s="14" t="s">
        <v>76</v>
      </c>
      <c r="C164" s="16">
        <v>18392</v>
      </c>
      <c r="D164" s="16">
        <v>18392</v>
      </c>
      <c r="E164" s="16"/>
      <c r="F164" s="14" t="s">
        <v>70</v>
      </c>
      <c r="G164" s="15">
        <v>46073</v>
      </c>
      <c r="H164" s="15">
        <v>46083</v>
      </c>
      <c r="I164" s="14">
        <v>10</v>
      </c>
      <c r="J164" s="9">
        <v>11073.8</v>
      </c>
      <c r="K164" s="15">
        <v>45828</v>
      </c>
      <c r="L164" s="28" t="s">
        <v>2</v>
      </c>
    </row>
    <row r="165" spans="1:12" x14ac:dyDescent="0.3">
      <c r="A165" s="27" t="s">
        <v>101</v>
      </c>
      <c r="B165" s="14" t="s">
        <v>76</v>
      </c>
      <c r="C165" s="16">
        <v>18392</v>
      </c>
      <c r="D165" s="16">
        <v>18392</v>
      </c>
      <c r="E165" s="16"/>
      <c r="F165" s="14" t="s">
        <v>70</v>
      </c>
      <c r="G165" s="15">
        <v>46073</v>
      </c>
      <c r="H165" s="15">
        <v>46083</v>
      </c>
      <c r="I165" s="14">
        <v>10</v>
      </c>
      <c r="J165" s="9">
        <v>11073.8</v>
      </c>
      <c r="K165" s="15">
        <v>45828</v>
      </c>
      <c r="L165" s="28" t="s">
        <v>2</v>
      </c>
    </row>
    <row r="166" spans="1:12" x14ac:dyDescent="0.3">
      <c r="A166" s="27" t="s">
        <v>101</v>
      </c>
      <c r="B166" s="14" t="s">
        <v>76</v>
      </c>
      <c r="C166" s="9">
        <v>70863.92</v>
      </c>
      <c r="D166" s="9">
        <v>17121.98</v>
      </c>
      <c r="E166" s="9">
        <v>53741.94</v>
      </c>
      <c r="F166" s="14" t="s">
        <v>72</v>
      </c>
      <c r="G166" s="15">
        <v>46073</v>
      </c>
      <c r="H166" s="15">
        <v>46081</v>
      </c>
      <c r="I166" s="14">
        <v>8</v>
      </c>
      <c r="J166" s="9">
        <v>45798.16</v>
      </c>
      <c r="K166" s="15">
        <v>45731</v>
      </c>
      <c r="L166" s="28" t="s">
        <v>2</v>
      </c>
    </row>
    <row r="167" spans="1:12" x14ac:dyDescent="0.3">
      <c r="A167" s="27" t="s">
        <v>101</v>
      </c>
      <c r="B167" s="14" t="s">
        <v>76</v>
      </c>
      <c r="C167" s="16">
        <v>9011.1200000000008</v>
      </c>
      <c r="D167" s="16">
        <v>9011.1200000000008</v>
      </c>
      <c r="E167" s="16"/>
      <c r="F167" s="14" t="s">
        <v>70</v>
      </c>
      <c r="G167" s="15">
        <v>46073</v>
      </c>
      <c r="H167" s="15">
        <v>46075</v>
      </c>
      <c r="I167" s="14">
        <v>2</v>
      </c>
      <c r="J167" s="9">
        <v>4504.82</v>
      </c>
      <c r="K167" s="15">
        <v>45936</v>
      </c>
      <c r="L167" s="28" t="s">
        <v>35</v>
      </c>
    </row>
    <row r="168" spans="1:12" x14ac:dyDescent="0.3">
      <c r="A168" s="27" t="s">
        <v>101</v>
      </c>
      <c r="B168" s="14" t="s">
        <v>76</v>
      </c>
      <c r="C168" s="16">
        <v>35224</v>
      </c>
      <c r="D168" s="16"/>
      <c r="E168" s="16">
        <v>35224</v>
      </c>
      <c r="F168" s="14" t="s">
        <v>75</v>
      </c>
      <c r="G168" s="15">
        <v>46073</v>
      </c>
      <c r="H168" s="15">
        <v>46081</v>
      </c>
      <c r="I168" s="14">
        <v>8</v>
      </c>
      <c r="J168" s="9">
        <v>19294.48</v>
      </c>
      <c r="K168" s="15">
        <v>45793</v>
      </c>
      <c r="L168" s="28" t="s">
        <v>38</v>
      </c>
    </row>
    <row r="169" spans="1:12" x14ac:dyDescent="0.3">
      <c r="A169" s="27" t="s">
        <v>101</v>
      </c>
      <c r="B169" s="14" t="s">
        <v>76</v>
      </c>
      <c r="C169" s="16">
        <v>7360</v>
      </c>
      <c r="D169" s="16"/>
      <c r="E169" s="16">
        <v>7360</v>
      </c>
      <c r="F169" s="14" t="s">
        <v>75</v>
      </c>
      <c r="G169" s="15">
        <v>46073</v>
      </c>
      <c r="H169" s="15">
        <v>46074</v>
      </c>
      <c r="I169" s="14">
        <v>1</v>
      </c>
      <c r="J169" s="9">
        <v>2867.13</v>
      </c>
      <c r="K169" s="15">
        <v>45877</v>
      </c>
      <c r="L169" s="28" t="s">
        <v>2</v>
      </c>
    </row>
    <row r="170" spans="1:12" x14ac:dyDescent="0.3">
      <c r="A170" s="27" t="s">
        <v>101</v>
      </c>
      <c r="B170" s="14" t="s">
        <v>76</v>
      </c>
      <c r="C170" s="16">
        <v>59272</v>
      </c>
      <c r="D170" s="16">
        <v>29424</v>
      </c>
      <c r="E170" s="16">
        <v>29848</v>
      </c>
      <c r="F170" s="14" t="s">
        <v>72</v>
      </c>
      <c r="G170" s="15">
        <v>46073</v>
      </c>
      <c r="H170" s="15">
        <v>46087</v>
      </c>
      <c r="I170" s="14">
        <v>14</v>
      </c>
      <c r="J170" s="9">
        <v>33765.339999999997</v>
      </c>
      <c r="K170" s="15">
        <v>45793</v>
      </c>
      <c r="L170" s="28" t="s">
        <v>2</v>
      </c>
    </row>
    <row r="171" spans="1:12" x14ac:dyDescent="0.3">
      <c r="A171" s="27" t="s">
        <v>101</v>
      </c>
      <c r="B171" s="14" t="s">
        <v>76</v>
      </c>
      <c r="C171" s="9">
        <v>21101</v>
      </c>
      <c r="D171" s="9">
        <v>21101</v>
      </c>
      <c r="E171" s="16"/>
      <c r="F171" s="14" t="s">
        <v>70</v>
      </c>
      <c r="G171" s="15">
        <v>46074</v>
      </c>
      <c r="H171" s="15">
        <v>46082</v>
      </c>
      <c r="I171" s="14">
        <v>8</v>
      </c>
      <c r="J171" s="9">
        <v>9730.34</v>
      </c>
      <c r="K171" s="15">
        <v>45764</v>
      </c>
      <c r="L171" s="28" t="s">
        <v>22</v>
      </c>
    </row>
    <row r="172" spans="1:12" x14ac:dyDescent="0.3">
      <c r="A172" s="27" t="s">
        <v>101</v>
      </c>
      <c r="B172" s="14" t="s">
        <v>76</v>
      </c>
      <c r="C172" s="16">
        <v>81730.45</v>
      </c>
      <c r="D172" s="16">
        <v>72974.62</v>
      </c>
      <c r="E172" s="16">
        <v>8755.83</v>
      </c>
      <c r="F172" s="14" t="s">
        <v>72</v>
      </c>
      <c r="G172" s="15">
        <v>46074</v>
      </c>
      <c r="H172" s="15">
        <v>46081</v>
      </c>
      <c r="I172" s="14">
        <v>7</v>
      </c>
      <c r="J172" s="9">
        <v>54619.95</v>
      </c>
      <c r="K172" s="15">
        <v>45876</v>
      </c>
      <c r="L172" s="28" t="s">
        <v>18</v>
      </c>
    </row>
    <row r="173" spans="1:12" x14ac:dyDescent="0.3">
      <c r="A173" s="27" t="s">
        <v>101</v>
      </c>
      <c r="B173" s="14" t="s">
        <v>76</v>
      </c>
      <c r="C173" s="9">
        <v>25101</v>
      </c>
      <c r="D173" s="9">
        <v>25101</v>
      </c>
      <c r="E173" s="16"/>
      <c r="F173" s="14" t="s">
        <v>70</v>
      </c>
      <c r="G173" s="15">
        <v>46074</v>
      </c>
      <c r="H173" s="15">
        <v>46082</v>
      </c>
      <c r="I173" s="14">
        <v>8</v>
      </c>
      <c r="J173" s="9">
        <v>12838.34</v>
      </c>
      <c r="K173" s="15">
        <v>45764</v>
      </c>
      <c r="L173" s="28" t="s">
        <v>22</v>
      </c>
    </row>
    <row r="174" spans="1:12" x14ac:dyDescent="0.3">
      <c r="A174" s="27" t="s">
        <v>101</v>
      </c>
      <c r="B174" s="14" t="s">
        <v>76</v>
      </c>
      <c r="C174" s="16"/>
      <c r="D174" s="16"/>
      <c r="E174" s="16"/>
      <c r="F174" s="14" t="s">
        <v>73</v>
      </c>
      <c r="G174" s="15">
        <v>46074</v>
      </c>
      <c r="H174" s="15">
        <v>46077</v>
      </c>
      <c r="I174" s="14">
        <v>3</v>
      </c>
      <c r="J174" s="9">
        <v>0</v>
      </c>
      <c r="K174" s="15">
        <v>45943</v>
      </c>
      <c r="L174" s="28" t="s">
        <v>14</v>
      </c>
    </row>
    <row r="175" spans="1:12" x14ac:dyDescent="0.3">
      <c r="A175" s="27" t="s">
        <v>101</v>
      </c>
      <c r="B175" s="14" t="s">
        <v>76</v>
      </c>
      <c r="C175" s="9">
        <v>34844</v>
      </c>
      <c r="D175" s="9"/>
      <c r="E175" s="9">
        <v>34844</v>
      </c>
      <c r="F175" s="14" t="s">
        <v>75</v>
      </c>
      <c r="G175" s="15">
        <v>46074</v>
      </c>
      <c r="H175" s="15">
        <v>46082</v>
      </c>
      <c r="I175" s="14">
        <v>8</v>
      </c>
      <c r="J175" s="9">
        <v>18882.8</v>
      </c>
      <c r="K175" s="15">
        <v>45988</v>
      </c>
      <c r="L175" s="28" t="s">
        <v>22</v>
      </c>
    </row>
    <row r="176" spans="1:12" x14ac:dyDescent="0.3">
      <c r="A176" s="27" t="s">
        <v>101</v>
      </c>
      <c r="B176" s="14" t="s">
        <v>76</v>
      </c>
      <c r="C176" s="16">
        <v>6085.49</v>
      </c>
      <c r="D176" s="16"/>
      <c r="E176" s="16">
        <v>6085.49</v>
      </c>
      <c r="F176" s="14" t="s">
        <v>79</v>
      </c>
      <c r="G176" s="15">
        <v>46075</v>
      </c>
      <c r="H176" s="15">
        <v>46076</v>
      </c>
      <c r="I176" s="14">
        <v>1</v>
      </c>
      <c r="J176" s="9">
        <v>1562.93</v>
      </c>
      <c r="K176" s="15">
        <v>45763</v>
      </c>
      <c r="L176" s="28" t="s">
        <v>2</v>
      </c>
    </row>
    <row r="177" spans="1:12" x14ac:dyDescent="0.3">
      <c r="A177" s="27" t="s">
        <v>101</v>
      </c>
      <c r="B177" s="14" t="s">
        <v>76</v>
      </c>
      <c r="C177" s="11">
        <v>33896</v>
      </c>
      <c r="D177" s="11">
        <v>33896</v>
      </c>
      <c r="E177" s="16"/>
      <c r="F177" s="14" t="s">
        <v>70</v>
      </c>
      <c r="G177" s="15">
        <v>46075</v>
      </c>
      <c r="H177" s="15">
        <v>46083</v>
      </c>
      <c r="I177" s="14">
        <v>8</v>
      </c>
      <c r="J177" s="9">
        <v>22942.639999999999</v>
      </c>
      <c r="K177" s="15">
        <v>45982</v>
      </c>
      <c r="L177" s="28" t="s">
        <v>18</v>
      </c>
    </row>
    <row r="178" spans="1:12" x14ac:dyDescent="0.3">
      <c r="A178" s="27" t="s">
        <v>101</v>
      </c>
      <c r="B178" s="14" t="s">
        <v>76</v>
      </c>
      <c r="C178" s="9">
        <v>46518.58</v>
      </c>
      <c r="D178" s="9">
        <v>46518.58</v>
      </c>
      <c r="E178" s="16"/>
      <c r="F178" s="14" t="s">
        <v>70</v>
      </c>
      <c r="G178" s="15">
        <v>46075</v>
      </c>
      <c r="H178" s="15">
        <v>46080</v>
      </c>
      <c r="I178" s="14">
        <v>5</v>
      </c>
      <c r="J178" s="9">
        <v>23634.85</v>
      </c>
      <c r="K178" s="15">
        <v>45989</v>
      </c>
      <c r="L178" s="28" t="s">
        <v>39</v>
      </c>
    </row>
    <row r="179" spans="1:12" x14ac:dyDescent="0.3">
      <c r="A179" s="27" t="s">
        <v>101</v>
      </c>
      <c r="B179" s="14" t="s">
        <v>76</v>
      </c>
      <c r="C179" s="16">
        <v>41191.370000000003</v>
      </c>
      <c r="D179" s="16"/>
      <c r="E179" s="16">
        <v>41191.370000000003</v>
      </c>
      <c r="F179" s="14" t="s">
        <v>79</v>
      </c>
      <c r="G179" s="15">
        <v>46076</v>
      </c>
      <c r="H179" s="15">
        <v>46089</v>
      </c>
      <c r="I179" s="14">
        <v>13</v>
      </c>
      <c r="J179" s="9">
        <v>20318.09</v>
      </c>
      <c r="K179" s="15">
        <v>45761</v>
      </c>
      <c r="L179" s="28" t="s">
        <v>2</v>
      </c>
    </row>
    <row r="180" spans="1:12" x14ac:dyDescent="0.3">
      <c r="A180" s="27" t="s">
        <v>101</v>
      </c>
      <c r="B180" s="14" t="s">
        <v>76</v>
      </c>
      <c r="C180" s="16"/>
      <c r="D180" s="16"/>
      <c r="E180" s="16"/>
      <c r="F180" s="14" t="s">
        <v>73</v>
      </c>
      <c r="G180" s="15">
        <v>46076</v>
      </c>
      <c r="H180" s="15">
        <v>46096</v>
      </c>
      <c r="I180" s="14">
        <v>20</v>
      </c>
      <c r="J180" s="9">
        <v>0</v>
      </c>
      <c r="K180" s="15">
        <v>45961</v>
      </c>
      <c r="L180" s="28" t="s">
        <v>1</v>
      </c>
    </row>
    <row r="181" spans="1:12" x14ac:dyDescent="0.3">
      <c r="A181" s="27" t="s">
        <v>101</v>
      </c>
      <c r="B181" s="14" t="s">
        <v>76</v>
      </c>
      <c r="C181" s="16">
        <v>2100</v>
      </c>
      <c r="D181" s="16"/>
      <c r="E181" s="16">
        <v>2100</v>
      </c>
      <c r="F181" s="14" t="s">
        <v>75</v>
      </c>
      <c r="G181" s="15">
        <v>46077</v>
      </c>
      <c r="H181" s="15">
        <v>46112</v>
      </c>
      <c r="I181" s="14">
        <v>35</v>
      </c>
      <c r="J181" s="9">
        <v>0</v>
      </c>
      <c r="K181" s="15">
        <v>45985</v>
      </c>
      <c r="L181" s="28" t="s">
        <v>33</v>
      </c>
    </row>
    <row r="182" spans="1:12" x14ac:dyDescent="0.3">
      <c r="A182" s="27" t="s">
        <v>101</v>
      </c>
      <c r="B182" s="14" t="s">
        <v>76</v>
      </c>
      <c r="C182" s="9">
        <v>28162</v>
      </c>
      <c r="D182" s="9">
        <v>28162</v>
      </c>
      <c r="E182" s="16"/>
      <c r="F182" s="14" t="s">
        <v>70</v>
      </c>
      <c r="G182" s="15">
        <v>46078</v>
      </c>
      <c r="H182" s="15">
        <v>46085</v>
      </c>
      <c r="I182" s="14">
        <v>7</v>
      </c>
      <c r="J182" s="9">
        <v>17950.59</v>
      </c>
      <c r="K182" s="15">
        <v>45971</v>
      </c>
      <c r="L182" s="28" t="s">
        <v>1</v>
      </c>
    </row>
    <row r="183" spans="1:12" x14ac:dyDescent="0.3">
      <c r="A183" s="27" t="s">
        <v>101</v>
      </c>
      <c r="B183" s="14" t="s">
        <v>76</v>
      </c>
      <c r="C183" s="16">
        <v>23200</v>
      </c>
      <c r="D183" s="16"/>
      <c r="E183" s="16">
        <v>23200</v>
      </c>
      <c r="F183" s="14" t="s">
        <v>75</v>
      </c>
      <c r="G183" s="15">
        <v>46078</v>
      </c>
      <c r="H183" s="15">
        <v>46083</v>
      </c>
      <c r="I183" s="14">
        <v>5</v>
      </c>
      <c r="J183" s="9">
        <v>12059.05</v>
      </c>
      <c r="K183" s="15">
        <v>45806</v>
      </c>
      <c r="L183" s="28" t="s">
        <v>2</v>
      </c>
    </row>
    <row r="184" spans="1:12" x14ac:dyDescent="0.3">
      <c r="A184" s="27" t="s">
        <v>101</v>
      </c>
      <c r="B184" s="14" t="s">
        <v>76</v>
      </c>
      <c r="C184" s="9">
        <v>34000</v>
      </c>
      <c r="D184" s="9"/>
      <c r="E184" s="9">
        <v>34000</v>
      </c>
      <c r="F184" s="14" t="s">
        <v>75</v>
      </c>
      <c r="G184" s="15">
        <v>46080</v>
      </c>
      <c r="H184" s="15">
        <v>46085</v>
      </c>
      <c r="I184" s="14">
        <v>5</v>
      </c>
      <c r="J184" s="9">
        <v>14388.75</v>
      </c>
      <c r="K184" s="15">
        <v>45669</v>
      </c>
      <c r="L184" s="28" t="s">
        <v>2</v>
      </c>
    </row>
    <row r="185" spans="1:12" x14ac:dyDescent="0.3">
      <c r="A185" s="27" t="s">
        <v>101</v>
      </c>
      <c r="B185" s="14" t="s">
        <v>76</v>
      </c>
      <c r="C185" s="16"/>
      <c r="D185" s="16"/>
      <c r="E185" s="16"/>
      <c r="F185" s="16"/>
      <c r="G185" s="15">
        <v>46081</v>
      </c>
      <c r="H185" s="15">
        <v>46084</v>
      </c>
      <c r="I185" s="14">
        <v>3</v>
      </c>
      <c r="J185" s="9">
        <v>0</v>
      </c>
      <c r="K185" s="15">
        <v>45897</v>
      </c>
      <c r="L185" s="28" t="s">
        <v>1</v>
      </c>
    </row>
    <row r="186" spans="1:12" x14ac:dyDescent="0.3">
      <c r="A186" s="27" t="s">
        <v>101</v>
      </c>
      <c r="B186" s="14" t="s">
        <v>76</v>
      </c>
      <c r="C186" s="9">
        <v>19511.64</v>
      </c>
      <c r="D186" s="9"/>
      <c r="E186" s="9">
        <v>19511.64</v>
      </c>
      <c r="F186" s="14" t="s">
        <v>75</v>
      </c>
      <c r="G186" s="15">
        <v>46081</v>
      </c>
      <c r="H186" s="15">
        <v>46087</v>
      </c>
      <c r="I186" s="14">
        <v>6</v>
      </c>
      <c r="J186" s="9">
        <v>10091.4</v>
      </c>
      <c r="K186" s="15">
        <v>45814</v>
      </c>
      <c r="L186" s="28" t="s">
        <v>2</v>
      </c>
    </row>
    <row r="187" spans="1:12" x14ac:dyDescent="0.3">
      <c r="A187" s="27" t="s">
        <v>101</v>
      </c>
      <c r="B187" s="14" t="s">
        <v>76</v>
      </c>
      <c r="C187" s="16">
        <v>99292.18</v>
      </c>
      <c r="D187" s="16">
        <v>24823.05</v>
      </c>
      <c r="E187" s="16">
        <v>74469.13</v>
      </c>
      <c r="F187" s="14" t="s">
        <v>72</v>
      </c>
      <c r="G187" s="15">
        <v>46082</v>
      </c>
      <c r="H187" s="15">
        <v>46095</v>
      </c>
      <c r="I187" s="14">
        <v>13</v>
      </c>
      <c r="J187" s="9">
        <v>70707.91</v>
      </c>
      <c r="K187" s="15">
        <v>45994</v>
      </c>
      <c r="L187" s="28" t="s">
        <v>40</v>
      </c>
    </row>
    <row r="188" spans="1:12" x14ac:dyDescent="0.3">
      <c r="A188" s="27" t="s">
        <v>101</v>
      </c>
      <c r="B188" s="14" t="s">
        <v>76</v>
      </c>
      <c r="C188" s="9">
        <v>96807.9</v>
      </c>
      <c r="D188" s="9">
        <v>96807.9</v>
      </c>
      <c r="E188" s="16"/>
      <c r="F188" s="14" t="s">
        <v>70</v>
      </c>
      <c r="G188" s="15">
        <v>46082</v>
      </c>
      <c r="H188" s="15">
        <v>46097</v>
      </c>
      <c r="I188" s="14">
        <v>15</v>
      </c>
      <c r="J188" s="9">
        <v>49181.85</v>
      </c>
      <c r="K188" s="15">
        <v>45936</v>
      </c>
      <c r="L188" s="28" t="s">
        <v>18</v>
      </c>
    </row>
    <row r="189" spans="1:12" x14ac:dyDescent="0.3">
      <c r="A189" s="27" t="s">
        <v>101</v>
      </c>
      <c r="B189" s="14" t="s">
        <v>76</v>
      </c>
      <c r="C189" s="16">
        <v>11908.34</v>
      </c>
      <c r="D189" s="16"/>
      <c r="E189" s="16">
        <v>11908.34</v>
      </c>
      <c r="F189" s="14" t="s">
        <v>75</v>
      </c>
      <c r="G189" s="15">
        <v>46082</v>
      </c>
      <c r="H189" s="15">
        <v>46084</v>
      </c>
      <c r="I189" s="14">
        <v>2</v>
      </c>
      <c r="J189" s="9">
        <v>7402.58</v>
      </c>
      <c r="K189" s="15">
        <v>45986</v>
      </c>
      <c r="L189" s="28" t="s">
        <v>15</v>
      </c>
    </row>
    <row r="190" spans="1:12" x14ac:dyDescent="0.3">
      <c r="A190" s="27" t="s">
        <v>101</v>
      </c>
      <c r="B190" s="14" t="s">
        <v>76</v>
      </c>
      <c r="C190" s="9">
        <v>57428</v>
      </c>
      <c r="D190" s="9"/>
      <c r="E190" s="9">
        <v>57428</v>
      </c>
      <c r="F190" s="14" t="s">
        <v>75</v>
      </c>
      <c r="G190" s="15">
        <v>46082</v>
      </c>
      <c r="H190" s="15">
        <v>46090</v>
      </c>
      <c r="I190" s="14">
        <v>8</v>
      </c>
      <c r="J190" s="9">
        <v>28266.16</v>
      </c>
      <c r="K190" s="15">
        <v>45884</v>
      </c>
      <c r="L190" s="28" t="s">
        <v>1</v>
      </c>
    </row>
    <row r="191" spans="1:12" x14ac:dyDescent="0.3">
      <c r="A191" s="27" t="s">
        <v>101</v>
      </c>
      <c r="B191" s="14" t="s">
        <v>76</v>
      </c>
      <c r="C191" s="9">
        <v>3900</v>
      </c>
      <c r="D191" s="9"/>
      <c r="E191" s="9">
        <v>3900</v>
      </c>
      <c r="F191" s="14" t="s">
        <v>75</v>
      </c>
      <c r="G191" s="15">
        <v>46082</v>
      </c>
      <c r="H191" s="15">
        <v>46089</v>
      </c>
      <c r="I191" s="14">
        <v>7</v>
      </c>
      <c r="J191" s="9">
        <v>0</v>
      </c>
      <c r="K191" s="15">
        <v>45743</v>
      </c>
      <c r="L191" s="28" t="s">
        <v>8</v>
      </c>
    </row>
    <row r="192" spans="1:12" x14ac:dyDescent="0.3">
      <c r="A192" s="27" t="s">
        <v>101</v>
      </c>
      <c r="B192" s="14" t="s">
        <v>77</v>
      </c>
      <c r="C192" s="16"/>
      <c r="D192" s="16"/>
      <c r="E192" s="16"/>
      <c r="F192" s="14" t="s">
        <v>73</v>
      </c>
      <c r="G192" s="15">
        <v>46083</v>
      </c>
      <c r="H192" s="15">
        <v>46090</v>
      </c>
      <c r="I192" s="14">
        <v>7</v>
      </c>
      <c r="J192" s="9">
        <v>0</v>
      </c>
      <c r="K192" s="15">
        <v>45952</v>
      </c>
      <c r="L192" s="28" t="s">
        <v>12</v>
      </c>
    </row>
    <row r="193" spans="1:12" x14ac:dyDescent="0.3">
      <c r="A193" s="27" t="s">
        <v>101</v>
      </c>
      <c r="B193" s="14" t="s">
        <v>77</v>
      </c>
      <c r="C193" s="16"/>
      <c r="D193" s="16"/>
      <c r="E193" s="16"/>
      <c r="F193" s="14" t="s">
        <v>73</v>
      </c>
      <c r="G193" s="15">
        <v>46083</v>
      </c>
      <c r="H193" s="15">
        <v>46085</v>
      </c>
      <c r="I193" s="14">
        <v>2</v>
      </c>
      <c r="J193" s="9">
        <v>0</v>
      </c>
      <c r="K193" s="15">
        <v>45961</v>
      </c>
      <c r="L193" s="28" t="s">
        <v>31</v>
      </c>
    </row>
    <row r="194" spans="1:12" x14ac:dyDescent="0.3">
      <c r="A194" s="27" t="s">
        <v>101</v>
      </c>
      <c r="B194" s="14" t="s">
        <v>77</v>
      </c>
      <c r="C194" s="16"/>
      <c r="D194" s="16"/>
      <c r="E194" s="16"/>
      <c r="F194" s="16" t="s">
        <v>74</v>
      </c>
      <c r="G194" s="15">
        <v>46083</v>
      </c>
      <c r="H194" s="15">
        <v>46103</v>
      </c>
      <c r="I194" s="14">
        <v>20</v>
      </c>
      <c r="J194" s="9">
        <v>12751.8</v>
      </c>
      <c r="K194" s="15">
        <v>45998</v>
      </c>
      <c r="L194" s="28" t="s">
        <v>42</v>
      </c>
    </row>
    <row r="195" spans="1:12" x14ac:dyDescent="0.3">
      <c r="A195" s="27" t="s">
        <v>101</v>
      </c>
      <c r="B195" s="14" t="s">
        <v>77</v>
      </c>
      <c r="C195" s="16">
        <v>25968</v>
      </c>
      <c r="D195" s="16"/>
      <c r="E195" s="16">
        <v>25968</v>
      </c>
      <c r="F195" s="14" t="s">
        <v>75</v>
      </c>
      <c r="G195" s="15">
        <v>46084</v>
      </c>
      <c r="H195" s="15">
        <v>46086</v>
      </c>
      <c r="I195" s="14">
        <v>2</v>
      </c>
      <c r="J195" s="9">
        <v>10011.66</v>
      </c>
      <c r="K195" s="15">
        <v>45999</v>
      </c>
      <c r="L195" s="28" t="s">
        <v>9</v>
      </c>
    </row>
    <row r="196" spans="1:12" x14ac:dyDescent="0.3">
      <c r="A196" s="27" t="s">
        <v>101</v>
      </c>
      <c r="B196" s="14" t="s">
        <v>77</v>
      </c>
      <c r="C196" s="16">
        <v>18792.36</v>
      </c>
      <c r="D196" s="16"/>
      <c r="E196" s="16">
        <v>18792.36</v>
      </c>
      <c r="F196" s="14" t="s">
        <v>75</v>
      </c>
      <c r="G196" s="15">
        <v>46084</v>
      </c>
      <c r="H196" s="15">
        <v>46087</v>
      </c>
      <c r="I196" s="14">
        <v>3</v>
      </c>
      <c r="J196" s="9">
        <v>13988.37</v>
      </c>
      <c r="K196" s="15">
        <v>45986</v>
      </c>
      <c r="L196" s="28" t="s">
        <v>15</v>
      </c>
    </row>
    <row r="197" spans="1:12" x14ac:dyDescent="0.3">
      <c r="A197" s="27" t="s">
        <v>101</v>
      </c>
      <c r="B197" s="14" t="s">
        <v>77</v>
      </c>
      <c r="C197" s="16"/>
      <c r="D197" s="16"/>
      <c r="E197" s="16"/>
      <c r="F197" s="14" t="s">
        <v>73</v>
      </c>
      <c r="G197" s="15">
        <v>46085</v>
      </c>
      <c r="H197" s="15">
        <v>46107</v>
      </c>
      <c r="I197" s="14">
        <v>22</v>
      </c>
      <c r="J197" s="9">
        <v>0</v>
      </c>
      <c r="K197" s="15">
        <v>45922</v>
      </c>
      <c r="L197" s="28" t="s">
        <v>18</v>
      </c>
    </row>
    <row r="198" spans="1:12" x14ac:dyDescent="0.3">
      <c r="A198" s="27" t="s">
        <v>101</v>
      </c>
      <c r="B198" s="14" t="s">
        <v>77</v>
      </c>
      <c r="C198" s="16"/>
      <c r="D198" s="16"/>
      <c r="E198" s="16"/>
      <c r="F198" s="14" t="s">
        <v>73</v>
      </c>
      <c r="G198" s="15">
        <v>46085</v>
      </c>
      <c r="H198" s="15">
        <v>46090</v>
      </c>
      <c r="I198" s="14">
        <v>5</v>
      </c>
      <c r="J198" s="9">
        <v>0</v>
      </c>
      <c r="K198" s="15">
        <v>45968</v>
      </c>
      <c r="L198" s="28" t="s">
        <v>24</v>
      </c>
    </row>
    <row r="199" spans="1:12" x14ac:dyDescent="0.3">
      <c r="A199" s="27" t="s">
        <v>101</v>
      </c>
      <c r="B199" s="14" t="s">
        <v>77</v>
      </c>
      <c r="C199" s="9">
        <v>22568</v>
      </c>
      <c r="D199" s="9"/>
      <c r="E199" s="9">
        <v>22568</v>
      </c>
      <c r="F199" s="14" t="s">
        <v>75</v>
      </c>
      <c r="G199" s="15">
        <v>46087</v>
      </c>
      <c r="H199" s="15">
        <v>46092</v>
      </c>
      <c r="I199" s="14">
        <v>5</v>
      </c>
      <c r="J199" s="9">
        <v>13984.45</v>
      </c>
      <c r="K199" s="15">
        <v>45717</v>
      </c>
      <c r="L199" s="28" t="s">
        <v>2</v>
      </c>
    </row>
    <row r="200" spans="1:12" x14ac:dyDescent="0.3">
      <c r="A200" s="27" t="s">
        <v>101</v>
      </c>
      <c r="B200" s="14" t="s">
        <v>77</v>
      </c>
      <c r="C200" s="9">
        <v>36124</v>
      </c>
      <c r="D200" s="9"/>
      <c r="E200" s="9">
        <v>36124</v>
      </c>
      <c r="F200" s="14" t="s">
        <v>75</v>
      </c>
      <c r="G200" s="15">
        <v>46088</v>
      </c>
      <c r="H200" s="15">
        <v>46090</v>
      </c>
      <c r="I200" s="14">
        <v>2</v>
      </c>
      <c r="J200" s="9">
        <v>0</v>
      </c>
      <c r="K200" s="15">
        <v>45993</v>
      </c>
      <c r="L200" s="28" t="s">
        <v>15</v>
      </c>
    </row>
    <row r="201" spans="1:12" x14ac:dyDescent="0.3">
      <c r="A201" s="27" t="s">
        <v>101</v>
      </c>
      <c r="B201" s="14" t="s">
        <v>77</v>
      </c>
      <c r="C201" s="16"/>
      <c r="D201" s="16"/>
      <c r="E201" s="16"/>
      <c r="F201" s="14" t="s">
        <v>73</v>
      </c>
      <c r="G201" s="15">
        <v>46089</v>
      </c>
      <c r="H201" s="15">
        <v>46096</v>
      </c>
      <c r="I201" s="14">
        <v>7</v>
      </c>
      <c r="J201" s="9">
        <v>0</v>
      </c>
      <c r="K201" s="15">
        <v>45979</v>
      </c>
      <c r="L201" s="28" t="s">
        <v>9</v>
      </c>
    </row>
    <row r="202" spans="1:12" x14ac:dyDescent="0.3">
      <c r="A202" s="27" t="s">
        <v>101</v>
      </c>
      <c r="B202" s="14" t="s">
        <v>77</v>
      </c>
      <c r="C202" s="16"/>
      <c r="D202" s="16"/>
      <c r="E202" s="16"/>
      <c r="F202" s="14" t="s">
        <v>73</v>
      </c>
      <c r="G202" s="15">
        <v>46091</v>
      </c>
      <c r="H202" s="15">
        <v>46093</v>
      </c>
      <c r="I202" s="14">
        <v>2</v>
      </c>
      <c r="J202" s="9">
        <v>0</v>
      </c>
      <c r="K202" s="15">
        <v>46001</v>
      </c>
      <c r="L202" s="28" t="s">
        <v>1</v>
      </c>
    </row>
    <row r="203" spans="1:12" x14ac:dyDescent="0.3">
      <c r="A203" s="27" t="s">
        <v>101</v>
      </c>
      <c r="B203" s="14" t="s">
        <v>77</v>
      </c>
      <c r="C203" s="9">
        <v>36124</v>
      </c>
      <c r="D203" s="9"/>
      <c r="E203" s="9">
        <v>36124</v>
      </c>
      <c r="F203" s="14" t="s">
        <v>75</v>
      </c>
      <c r="G203" s="15">
        <v>46092</v>
      </c>
      <c r="H203" s="15">
        <v>46103</v>
      </c>
      <c r="I203" s="14">
        <v>11</v>
      </c>
      <c r="J203" s="9">
        <v>21468.48</v>
      </c>
      <c r="K203" s="15">
        <v>45877</v>
      </c>
      <c r="L203" s="28" t="s">
        <v>13</v>
      </c>
    </row>
    <row r="204" spans="1:12" x14ac:dyDescent="0.3">
      <c r="A204" s="27" t="s">
        <v>101</v>
      </c>
      <c r="B204" s="14" t="s">
        <v>77</v>
      </c>
      <c r="C204" s="9">
        <v>24690</v>
      </c>
      <c r="D204" s="9"/>
      <c r="E204" s="9">
        <v>24690</v>
      </c>
      <c r="F204" s="14" t="s">
        <v>75</v>
      </c>
      <c r="G204" s="15">
        <v>46093</v>
      </c>
      <c r="H204" s="15">
        <v>46103</v>
      </c>
      <c r="I204" s="14">
        <v>10</v>
      </c>
      <c r="J204" s="9">
        <v>12649.6</v>
      </c>
      <c r="K204" s="15">
        <v>45986</v>
      </c>
      <c r="L204" s="28" t="s">
        <v>18</v>
      </c>
    </row>
    <row r="205" spans="1:12" x14ac:dyDescent="0.3">
      <c r="A205" s="27" t="s">
        <v>101</v>
      </c>
      <c r="B205" s="14" t="s">
        <v>77</v>
      </c>
      <c r="C205" s="9">
        <v>20476</v>
      </c>
      <c r="D205" s="9">
        <v>5119</v>
      </c>
      <c r="E205" s="9">
        <v>15357</v>
      </c>
      <c r="F205" s="14" t="s">
        <v>72</v>
      </c>
      <c r="G205" s="15">
        <v>46093</v>
      </c>
      <c r="H205" s="15">
        <v>46099</v>
      </c>
      <c r="I205" s="14">
        <v>6</v>
      </c>
      <c r="J205" s="9">
        <v>12236.7</v>
      </c>
      <c r="K205" s="15">
        <v>45967</v>
      </c>
      <c r="L205" s="28" t="s">
        <v>1</v>
      </c>
    </row>
    <row r="206" spans="1:12" x14ac:dyDescent="0.3">
      <c r="A206" s="27" t="s">
        <v>101</v>
      </c>
      <c r="B206" s="14" t="s">
        <v>77</v>
      </c>
      <c r="C206" s="16"/>
      <c r="D206" s="16"/>
      <c r="E206" s="16"/>
      <c r="F206" s="14" t="s">
        <v>73</v>
      </c>
      <c r="G206" s="15">
        <v>46094</v>
      </c>
      <c r="H206" s="15">
        <v>46096</v>
      </c>
      <c r="I206" s="14">
        <v>2</v>
      </c>
      <c r="J206" s="9">
        <v>0</v>
      </c>
      <c r="K206" s="15">
        <v>45799</v>
      </c>
      <c r="L206" s="28" t="s">
        <v>15</v>
      </c>
    </row>
    <row r="207" spans="1:12" x14ac:dyDescent="0.3">
      <c r="A207" s="27" t="s">
        <v>101</v>
      </c>
      <c r="B207" s="14" t="s">
        <v>77</v>
      </c>
      <c r="C207" s="9">
        <v>72623.899999999994</v>
      </c>
      <c r="D207" s="9">
        <v>18155.98</v>
      </c>
      <c r="E207" s="9">
        <v>54467.92</v>
      </c>
      <c r="F207" s="14" t="s">
        <v>72</v>
      </c>
      <c r="G207" s="15">
        <v>46094</v>
      </c>
      <c r="H207" s="15">
        <v>46104</v>
      </c>
      <c r="I207" s="14">
        <v>10</v>
      </c>
      <c r="J207" s="9">
        <v>39311.599999999999</v>
      </c>
      <c r="K207" s="15">
        <v>45975</v>
      </c>
      <c r="L207" s="28" t="s">
        <v>15</v>
      </c>
    </row>
    <row r="208" spans="1:12" x14ac:dyDescent="0.3">
      <c r="A208" s="27" t="s">
        <v>101</v>
      </c>
      <c r="B208" s="14" t="s">
        <v>77</v>
      </c>
      <c r="C208" s="9">
        <v>77900.639999999999</v>
      </c>
      <c r="D208" s="9"/>
      <c r="E208" s="9">
        <v>77900.639999999999</v>
      </c>
      <c r="F208" s="14" t="s">
        <v>75</v>
      </c>
      <c r="G208" s="15">
        <v>46095</v>
      </c>
      <c r="H208" s="15">
        <v>46103</v>
      </c>
      <c r="I208" s="14">
        <v>8</v>
      </c>
      <c r="J208" s="9">
        <v>50130.239999999998</v>
      </c>
      <c r="K208" s="15">
        <v>45934</v>
      </c>
      <c r="L208" s="28" t="s">
        <v>1</v>
      </c>
    </row>
    <row r="209" spans="1:12" x14ac:dyDescent="0.3">
      <c r="A209" s="27" t="s">
        <v>101</v>
      </c>
      <c r="B209" s="14" t="s">
        <v>77</v>
      </c>
      <c r="C209" s="9">
        <v>10825</v>
      </c>
      <c r="D209" s="9"/>
      <c r="E209" s="9">
        <v>10825</v>
      </c>
      <c r="F209" s="14" t="s">
        <v>75</v>
      </c>
      <c r="G209" s="15">
        <v>46095</v>
      </c>
      <c r="H209" s="15">
        <v>46102</v>
      </c>
      <c r="I209" s="14">
        <v>7</v>
      </c>
      <c r="J209" s="9">
        <v>3851.47</v>
      </c>
      <c r="K209" s="15">
        <v>45971</v>
      </c>
      <c r="L209" s="28" t="s">
        <v>15</v>
      </c>
    </row>
    <row r="210" spans="1:12" x14ac:dyDescent="0.3">
      <c r="A210" s="27" t="s">
        <v>101</v>
      </c>
      <c r="B210" s="14" t="s">
        <v>77</v>
      </c>
      <c r="C210" s="16"/>
      <c r="D210" s="16"/>
      <c r="E210" s="16"/>
      <c r="F210" s="14" t="s">
        <v>73</v>
      </c>
      <c r="G210" s="15">
        <v>46096</v>
      </c>
      <c r="H210" s="15">
        <v>46157</v>
      </c>
      <c r="I210" s="14">
        <v>61</v>
      </c>
      <c r="J210" s="9">
        <v>0</v>
      </c>
      <c r="K210" s="15">
        <v>45918</v>
      </c>
      <c r="L210" s="28" t="s">
        <v>1</v>
      </c>
    </row>
    <row r="211" spans="1:12" x14ac:dyDescent="0.3">
      <c r="A211" s="27" t="s">
        <v>101</v>
      </c>
      <c r="B211" s="14" t="s">
        <v>77</v>
      </c>
      <c r="C211" s="9">
        <v>13625</v>
      </c>
      <c r="D211" s="9"/>
      <c r="E211" s="9">
        <v>13625</v>
      </c>
      <c r="F211" s="14" t="s">
        <v>75</v>
      </c>
      <c r="G211" s="15">
        <v>46096</v>
      </c>
      <c r="H211" s="15">
        <v>46099</v>
      </c>
      <c r="I211" s="14">
        <v>3</v>
      </c>
      <c r="J211" s="9">
        <v>7335.93</v>
      </c>
      <c r="K211" s="15">
        <v>45991</v>
      </c>
      <c r="L211" s="28" t="s">
        <v>2</v>
      </c>
    </row>
    <row r="212" spans="1:12" x14ac:dyDescent="0.3">
      <c r="A212" s="27" t="s">
        <v>101</v>
      </c>
      <c r="B212" s="14" t="s">
        <v>77</v>
      </c>
      <c r="C212" s="9">
        <v>15076</v>
      </c>
      <c r="D212" s="9">
        <v>1507.6</v>
      </c>
      <c r="E212" s="9">
        <v>13568.4</v>
      </c>
      <c r="F212" s="14" t="s">
        <v>72</v>
      </c>
      <c r="G212" s="15">
        <v>46096</v>
      </c>
      <c r="H212" s="15">
        <v>46100</v>
      </c>
      <c r="I212" s="14">
        <v>4</v>
      </c>
      <c r="J212" s="9">
        <v>8516.48</v>
      </c>
      <c r="K212" s="15">
        <v>45979</v>
      </c>
      <c r="L212" s="28" t="s">
        <v>38</v>
      </c>
    </row>
    <row r="213" spans="1:12" x14ac:dyDescent="0.3">
      <c r="A213" s="27" t="s">
        <v>101</v>
      </c>
      <c r="B213" s="14" t="s">
        <v>77</v>
      </c>
      <c r="C213" s="9">
        <v>7669</v>
      </c>
      <c r="D213" s="9"/>
      <c r="E213" s="9">
        <v>7669</v>
      </c>
      <c r="F213" s="14" t="s">
        <v>75</v>
      </c>
      <c r="G213" s="15">
        <v>46097</v>
      </c>
      <c r="H213" s="15">
        <v>46103</v>
      </c>
      <c r="I213" s="14">
        <v>6</v>
      </c>
      <c r="J213" s="9">
        <v>4899.24</v>
      </c>
      <c r="K213" s="15">
        <v>45877</v>
      </c>
      <c r="L213" s="28" t="s">
        <v>15</v>
      </c>
    </row>
    <row r="214" spans="1:12" x14ac:dyDescent="0.3">
      <c r="A214" s="27" t="s">
        <v>101</v>
      </c>
      <c r="B214" s="14" t="s">
        <v>77</v>
      </c>
      <c r="C214" s="9">
        <v>38890</v>
      </c>
      <c r="D214" s="9">
        <v>9722.5</v>
      </c>
      <c r="E214" s="9">
        <v>29167.5</v>
      </c>
      <c r="F214" s="14" t="s">
        <v>72</v>
      </c>
      <c r="G214" s="15">
        <v>46097</v>
      </c>
      <c r="H214" s="15">
        <v>46102</v>
      </c>
      <c r="I214" s="14">
        <v>5</v>
      </c>
      <c r="J214" s="9">
        <v>18479.099999999999</v>
      </c>
      <c r="K214" s="15">
        <v>45976</v>
      </c>
      <c r="L214" s="28" t="s">
        <v>15</v>
      </c>
    </row>
    <row r="215" spans="1:12" x14ac:dyDescent="0.3">
      <c r="A215" s="27" t="s">
        <v>101</v>
      </c>
      <c r="B215" s="14" t="s">
        <v>77</v>
      </c>
      <c r="C215" s="9">
        <v>15822</v>
      </c>
      <c r="D215" s="9"/>
      <c r="E215" s="9">
        <v>15822</v>
      </c>
      <c r="F215" s="14" t="s">
        <v>75</v>
      </c>
      <c r="G215" s="15">
        <v>46098</v>
      </c>
      <c r="H215" s="15">
        <v>46102</v>
      </c>
      <c r="I215" s="14">
        <v>4</v>
      </c>
      <c r="J215" s="9">
        <v>9943.52</v>
      </c>
      <c r="K215" s="15">
        <v>45924</v>
      </c>
      <c r="L215" s="28" t="s">
        <v>9</v>
      </c>
    </row>
    <row r="216" spans="1:12" x14ac:dyDescent="0.3">
      <c r="A216" s="27" t="s">
        <v>101</v>
      </c>
      <c r="B216" s="14" t="s">
        <v>77</v>
      </c>
      <c r="C216" s="9">
        <v>12726</v>
      </c>
      <c r="D216" s="9"/>
      <c r="E216" s="9">
        <v>12726</v>
      </c>
      <c r="F216" s="14" t="s">
        <v>75</v>
      </c>
      <c r="G216" s="15">
        <v>46098</v>
      </c>
      <c r="H216" s="15">
        <v>46102</v>
      </c>
      <c r="I216" s="14">
        <v>4</v>
      </c>
      <c r="J216" s="9">
        <v>8122.76</v>
      </c>
      <c r="K216" s="15">
        <v>45773</v>
      </c>
      <c r="L216" s="28" t="s">
        <v>16</v>
      </c>
    </row>
    <row r="217" spans="1:12" x14ac:dyDescent="0.3">
      <c r="A217" s="27" t="s">
        <v>101</v>
      </c>
      <c r="B217" s="14" t="s">
        <v>77</v>
      </c>
      <c r="C217" s="9">
        <v>19008</v>
      </c>
      <c r="D217" s="9"/>
      <c r="E217" s="9">
        <v>19008</v>
      </c>
      <c r="F217" s="14" t="s">
        <v>75</v>
      </c>
      <c r="G217" s="15">
        <v>46099</v>
      </c>
      <c r="H217" s="15">
        <v>46106</v>
      </c>
      <c r="I217" s="14">
        <v>7</v>
      </c>
      <c r="J217" s="9">
        <v>11698.75</v>
      </c>
      <c r="K217" s="15">
        <v>45706</v>
      </c>
      <c r="L217" s="28" t="s">
        <v>2</v>
      </c>
    </row>
    <row r="218" spans="1:12" x14ac:dyDescent="0.3">
      <c r="A218" s="27" t="s">
        <v>101</v>
      </c>
      <c r="B218" s="14" t="s">
        <v>77</v>
      </c>
      <c r="C218" s="9">
        <v>59031.6</v>
      </c>
      <c r="D218" s="9"/>
      <c r="E218" s="9">
        <v>59031.6</v>
      </c>
      <c r="F218" s="14" t="s">
        <v>75</v>
      </c>
      <c r="G218" s="15">
        <v>46099</v>
      </c>
      <c r="H218" s="15">
        <v>46109</v>
      </c>
      <c r="I218" s="14">
        <v>10</v>
      </c>
      <c r="J218" s="9">
        <v>35352.9</v>
      </c>
      <c r="K218" s="15">
        <v>45983</v>
      </c>
      <c r="L218" s="28" t="s">
        <v>34</v>
      </c>
    </row>
    <row r="219" spans="1:12" x14ac:dyDescent="0.3">
      <c r="A219" s="27" t="s">
        <v>101</v>
      </c>
      <c r="B219" s="14" t="s">
        <v>77</v>
      </c>
      <c r="C219" s="16"/>
      <c r="D219" s="16"/>
      <c r="E219" s="16"/>
      <c r="F219" s="14" t="s">
        <v>73</v>
      </c>
      <c r="G219" s="15">
        <v>46100</v>
      </c>
      <c r="H219" s="15">
        <v>46104</v>
      </c>
      <c r="I219" s="14">
        <v>4</v>
      </c>
      <c r="J219" s="9">
        <v>0</v>
      </c>
      <c r="K219" s="15">
        <v>45981</v>
      </c>
      <c r="L219" s="28" t="s">
        <v>33</v>
      </c>
    </row>
    <row r="220" spans="1:12" x14ac:dyDescent="0.3">
      <c r="A220" s="27" t="s">
        <v>101</v>
      </c>
      <c r="B220" s="14" t="s">
        <v>77</v>
      </c>
      <c r="C220" s="9">
        <v>27408</v>
      </c>
      <c r="D220" s="9"/>
      <c r="E220" s="9">
        <v>27408</v>
      </c>
      <c r="F220" s="14" t="s">
        <v>75</v>
      </c>
      <c r="G220" s="15">
        <v>46101</v>
      </c>
      <c r="H220" s="15">
        <v>46108</v>
      </c>
      <c r="I220" s="14">
        <v>7</v>
      </c>
      <c r="J220" s="9">
        <v>7465.29</v>
      </c>
      <c r="K220" s="15">
        <v>45986</v>
      </c>
      <c r="L220" s="28" t="s">
        <v>24</v>
      </c>
    </row>
    <row r="221" spans="1:12" x14ac:dyDescent="0.3">
      <c r="A221" s="27" t="s">
        <v>101</v>
      </c>
      <c r="B221" s="14" t="s">
        <v>77</v>
      </c>
      <c r="C221" s="16">
        <v>37190</v>
      </c>
      <c r="D221" s="16">
        <v>9297.5</v>
      </c>
      <c r="E221" s="16">
        <v>27892.5</v>
      </c>
      <c r="F221" s="14" t="s">
        <v>72</v>
      </c>
      <c r="G221" s="15">
        <v>46103</v>
      </c>
      <c r="H221" s="15">
        <v>46108</v>
      </c>
      <c r="I221" s="14">
        <v>5</v>
      </c>
      <c r="J221" s="9">
        <v>23389.8</v>
      </c>
      <c r="K221" s="15">
        <v>45986</v>
      </c>
      <c r="L221" s="28" t="s">
        <v>15</v>
      </c>
    </row>
    <row r="222" spans="1:12" x14ac:dyDescent="0.3">
      <c r="A222" s="27" t="s">
        <v>101</v>
      </c>
      <c r="B222" s="14" t="s">
        <v>77</v>
      </c>
      <c r="C222" s="16">
        <v>24670</v>
      </c>
      <c r="D222" s="16">
        <v>6167.5</v>
      </c>
      <c r="E222" s="16">
        <v>18502.5</v>
      </c>
      <c r="F222" s="14" t="s">
        <v>72</v>
      </c>
      <c r="G222" s="15">
        <v>46103</v>
      </c>
      <c r="H222" s="15">
        <v>46108</v>
      </c>
      <c r="I222" s="14">
        <v>5</v>
      </c>
      <c r="J222" s="9">
        <v>16330.9</v>
      </c>
      <c r="K222" s="15">
        <v>45986</v>
      </c>
      <c r="L222" s="28" t="s">
        <v>15</v>
      </c>
    </row>
    <row r="223" spans="1:12" x14ac:dyDescent="0.3">
      <c r="A223" s="27" t="s">
        <v>101</v>
      </c>
      <c r="B223" s="14" t="s">
        <v>77</v>
      </c>
      <c r="C223" s="16">
        <v>34490</v>
      </c>
      <c r="D223" s="16">
        <v>8622.5</v>
      </c>
      <c r="E223" s="16">
        <v>25867.5</v>
      </c>
      <c r="F223" s="14" t="s">
        <v>72</v>
      </c>
      <c r="G223" s="15">
        <v>46103</v>
      </c>
      <c r="H223" s="15">
        <v>46108</v>
      </c>
      <c r="I223" s="14">
        <v>5</v>
      </c>
      <c r="J223" s="9">
        <v>21329.35</v>
      </c>
      <c r="K223" s="15">
        <v>45986</v>
      </c>
      <c r="L223" s="28" t="s">
        <v>15</v>
      </c>
    </row>
    <row r="224" spans="1:12" x14ac:dyDescent="0.3">
      <c r="A224" s="27" t="s">
        <v>101</v>
      </c>
      <c r="B224" s="14" t="s">
        <v>77</v>
      </c>
      <c r="C224" s="9">
        <v>37494</v>
      </c>
      <c r="D224" s="9"/>
      <c r="E224" s="9">
        <v>37494</v>
      </c>
      <c r="F224" s="14" t="s">
        <v>75</v>
      </c>
      <c r="G224" s="15">
        <v>46103</v>
      </c>
      <c r="H224" s="15">
        <v>46106</v>
      </c>
      <c r="I224" s="14">
        <v>3</v>
      </c>
      <c r="J224" s="9">
        <v>26568.21</v>
      </c>
      <c r="K224" s="15">
        <v>45910</v>
      </c>
      <c r="L224" s="28" t="s">
        <v>15</v>
      </c>
    </row>
    <row r="225" spans="1:12" x14ac:dyDescent="0.3">
      <c r="A225" s="27" t="s">
        <v>101</v>
      </c>
      <c r="B225" s="14" t="s">
        <v>77</v>
      </c>
      <c r="C225" s="9">
        <v>53817</v>
      </c>
      <c r="D225" s="9">
        <v>13454.25</v>
      </c>
      <c r="E225" s="9">
        <v>40362.75</v>
      </c>
      <c r="F225" s="14" t="s">
        <v>72</v>
      </c>
      <c r="G225" s="15">
        <v>46103</v>
      </c>
      <c r="H225" s="15">
        <v>46109</v>
      </c>
      <c r="I225" s="14">
        <v>6</v>
      </c>
      <c r="J225" s="9">
        <v>0</v>
      </c>
      <c r="K225" s="15">
        <v>45987</v>
      </c>
      <c r="L225" s="28" t="s">
        <v>1</v>
      </c>
    </row>
    <row r="226" spans="1:12" x14ac:dyDescent="0.3">
      <c r="A226" s="27" t="s">
        <v>101</v>
      </c>
      <c r="B226" s="14" t="s">
        <v>77</v>
      </c>
      <c r="C226" s="9">
        <v>25030</v>
      </c>
      <c r="D226" s="9">
        <v>5445</v>
      </c>
      <c r="E226" s="9">
        <v>19585</v>
      </c>
      <c r="F226" s="14" t="s">
        <v>72</v>
      </c>
      <c r="G226" s="15">
        <v>46105</v>
      </c>
      <c r="H226" s="15">
        <v>46110</v>
      </c>
      <c r="I226" s="14">
        <v>5</v>
      </c>
      <c r="J226" s="9">
        <v>16056.15</v>
      </c>
      <c r="K226" s="15">
        <v>45950</v>
      </c>
      <c r="L226" s="28" t="s">
        <v>18</v>
      </c>
    </row>
    <row r="227" spans="1:12" x14ac:dyDescent="0.3">
      <c r="A227" s="27" t="s">
        <v>101</v>
      </c>
      <c r="B227" s="14" t="s">
        <v>77</v>
      </c>
      <c r="C227" s="9">
        <v>168692.4</v>
      </c>
      <c r="D227" s="9"/>
      <c r="E227" s="9">
        <v>168692.4</v>
      </c>
      <c r="F227" s="14" t="s">
        <v>79</v>
      </c>
      <c r="G227" s="15">
        <v>46106</v>
      </c>
      <c r="H227" s="15">
        <v>46118</v>
      </c>
      <c r="I227" s="14">
        <v>12</v>
      </c>
      <c r="J227" s="9">
        <v>0</v>
      </c>
      <c r="K227" s="15">
        <v>45791</v>
      </c>
      <c r="L227" s="28" t="s">
        <v>2</v>
      </c>
    </row>
    <row r="228" spans="1:12" x14ac:dyDescent="0.3">
      <c r="A228" s="27" t="s">
        <v>101</v>
      </c>
      <c r="B228" s="14" t="s">
        <v>77</v>
      </c>
      <c r="C228" s="16"/>
      <c r="D228" s="16"/>
      <c r="E228" s="16"/>
      <c r="F228" s="14" t="s">
        <v>73</v>
      </c>
      <c r="G228" s="15">
        <v>46106</v>
      </c>
      <c r="H228" s="15">
        <v>46127</v>
      </c>
      <c r="I228" s="14">
        <v>21</v>
      </c>
      <c r="J228" s="9">
        <v>0</v>
      </c>
      <c r="K228" s="15">
        <v>45744</v>
      </c>
      <c r="L228" s="28" t="s">
        <v>16</v>
      </c>
    </row>
    <row r="229" spans="1:12" x14ac:dyDescent="0.3">
      <c r="A229" s="27" t="s">
        <v>101</v>
      </c>
      <c r="B229" s="14" t="s">
        <v>77</v>
      </c>
      <c r="C229" s="9">
        <v>33311</v>
      </c>
      <c r="D229" s="9"/>
      <c r="E229" s="9">
        <v>33311</v>
      </c>
      <c r="F229" s="14" t="s">
        <v>75</v>
      </c>
      <c r="G229" s="15">
        <v>46108</v>
      </c>
      <c r="H229" s="15">
        <v>46117</v>
      </c>
      <c r="I229" s="14">
        <v>9</v>
      </c>
      <c r="J229" s="9">
        <v>0</v>
      </c>
      <c r="K229" s="15">
        <v>45838</v>
      </c>
      <c r="L229" s="28" t="s">
        <v>24</v>
      </c>
    </row>
    <row r="230" spans="1:12" x14ac:dyDescent="0.3">
      <c r="A230" s="27" t="s">
        <v>101</v>
      </c>
      <c r="B230" s="14" t="s">
        <v>77</v>
      </c>
      <c r="C230" s="16">
        <v>20213</v>
      </c>
      <c r="D230" s="16"/>
      <c r="E230" s="16">
        <v>20213</v>
      </c>
      <c r="F230" s="14" t="s">
        <v>75</v>
      </c>
      <c r="G230" s="15">
        <v>46108</v>
      </c>
      <c r="H230" s="15">
        <v>46110</v>
      </c>
      <c r="I230" s="14">
        <v>2</v>
      </c>
      <c r="J230" s="9">
        <v>12280.5</v>
      </c>
      <c r="K230" s="15">
        <v>45792</v>
      </c>
      <c r="L230" s="28" t="s">
        <v>2</v>
      </c>
    </row>
    <row r="231" spans="1:12" x14ac:dyDescent="0.3">
      <c r="A231" s="27" t="s">
        <v>101</v>
      </c>
      <c r="B231" s="14" t="s">
        <v>77</v>
      </c>
      <c r="C231" s="9">
        <v>51327.32</v>
      </c>
      <c r="D231" s="9"/>
      <c r="E231" s="9">
        <v>51327.32</v>
      </c>
      <c r="F231" s="14" t="s">
        <v>75</v>
      </c>
      <c r="G231" s="15">
        <v>46108</v>
      </c>
      <c r="H231" s="15">
        <v>46115</v>
      </c>
      <c r="I231" s="14">
        <v>7</v>
      </c>
      <c r="J231" s="9">
        <v>20498.59</v>
      </c>
      <c r="K231" s="15">
        <v>45958</v>
      </c>
      <c r="L231" s="28" t="s">
        <v>2</v>
      </c>
    </row>
    <row r="232" spans="1:12" x14ac:dyDescent="0.3">
      <c r="A232" s="27" t="s">
        <v>101</v>
      </c>
      <c r="B232" s="14" t="s">
        <v>77</v>
      </c>
      <c r="C232" s="9">
        <v>110000</v>
      </c>
      <c r="D232" s="9">
        <v>27500</v>
      </c>
      <c r="E232" s="9">
        <v>82500</v>
      </c>
      <c r="F232" s="14" t="s">
        <v>72</v>
      </c>
      <c r="G232" s="15">
        <v>46109</v>
      </c>
      <c r="H232" s="15">
        <v>46121</v>
      </c>
      <c r="I232" s="14">
        <v>12</v>
      </c>
      <c r="J232" s="9">
        <v>65174.879999999997</v>
      </c>
      <c r="K232" s="15">
        <v>45879</v>
      </c>
      <c r="L232" s="28" t="s">
        <v>13</v>
      </c>
    </row>
    <row r="233" spans="1:12" x14ac:dyDescent="0.3">
      <c r="A233" s="27" t="s">
        <v>101</v>
      </c>
      <c r="B233" s="14" t="s">
        <v>77</v>
      </c>
      <c r="C233" s="9">
        <v>60000</v>
      </c>
      <c r="D233" s="9"/>
      <c r="E233" s="9">
        <v>60000</v>
      </c>
      <c r="F233" s="14" t="s">
        <v>79</v>
      </c>
      <c r="G233" s="15">
        <v>46109</v>
      </c>
      <c r="H233" s="15">
        <v>46118</v>
      </c>
      <c r="I233" s="14">
        <v>9</v>
      </c>
      <c r="J233" s="9">
        <v>35097.03</v>
      </c>
      <c r="K233" s="15">
        <v>45898</v>
      </c>
      <c r="L233" s="28" t="s">
        <v>13</v>
      </c>
    </row>
    <row r="234" spans="1:12" x14ac:dyDescent="0.3">
      <c r="A234" s="27" t="s">
        <v>101</v>
      </c>
      <c r="B234" s="14" t="s">
        <v>77</v>
      </c>
      <c r="C234" s="9">
        <v>128216</v>
      </c>
      <c r="D234" s="9"/>
      <c r="E234" s="9">
        <v>128216</v>
      </c>
      <c r="F234" s="14" t="s">
        <v>75</v>
      </c>
      <c r="G234" s="15">
        <v>46109</v>
      </c>
      <c r="H234" s="15">
        <v>46122</v>
      </c>
      <c r="I234" s="14">
        <v>13</v>
      </c>
      <c r="J234" s="9">
        <v>80136.42</v>
      </c>
      <c r="K234" s="15">
        <v>45520</v>
      </c>
      <c r="L234" s="28" t="s">
        <v>13</v>
      </c>
    </row>
    <row r="235" spans="1:12" x14ac:dyDescent="0.3">
      <c r="A235" s="27" t="s">
        <v>101</v>
      </c>
      <c r="B235" s="14" t="s">
        <v>76</v>
      </c>
      <c r="C235" s="9">
        <v>39132</v>
      </c>
      <c r="D235" s="9">
        <v>9783</v>
      </c>
      <c r="E235" s="9">
        <v>29349</v>
      </c>
      <c r="F235" s="14" t="s">
        <v>72</v>
      </c>
      <c r="G235" s="15">
        <v>46110</v>
      </c>
      <c r="H235" s="15">
        <v>46122</v>
      </c>
      <c r="I235" s="14">
        <v>12</v>
      </c>
      <c r="J235" s="9">
        <v>17062.919999999998</v>
      </c>
      <c r="K235" s="15">
        <v>45870</v>
      </c>
      <c r="L235" s="28" t="s">
        <v>13</v>
      </c>
    </row>
    <row r="236" spans="1:12" x14ac:dyDescent="0.3">
      <c r="A236" s="27" t="s">
        <v>101</v>
      </c>
      <c r="B236" s="14" t="s">
        <v>76</v>
      </c>
      <c r="C236" s="9">
        <v>61062.2</v>
      </c>
      <c r="D236" s="9"/>
      <c r="E236" s="9">
        <v>61062.2</v>
      </c>
      <c r="F236" s="14" t="s">
        <v>75</v>
      </c>
      <c r="G236" s="15">
        <v>46110</v>
      </c>
      <c r="H236" s="15">
        <v>46117</v>
      </c>
      <c r="I236" s="14">
        <v>7</v>
      </c>
      <c r="J236" s="9">
        <v>39581.22</v>
      </c>
      <c r="K236" s="15">
        <v>45886</v>
      </c>
      <c r="L236" s="28" t="s">
        <v>5</v>
      </c>
    </row>
    <row r="237" spans="1:12" x14ac:dyDescent="0.3">
      <c r="A237" s="27" t="s">
        <v>101</v>
      </c>
      <c r="B237" s="14" t="s">
        <v>76</v>
      </c>
      <c r="C237" s="16">
        <v>168644.08</v>
      </c>
      <c r="D237" s="16">
        <v>63930.5</v>
      </c>
      <c r="E237" s="16">
        <v>104713.58</v>
      </c>
      <c r="F237" s="14" t="s">
        <v>72</v>
      </c>
      <c r="G237" s="15">
        <v>46110</v>
      </c>
      <c r="H237" s="15">
        <v>46119</v>
      </c>
      <c r="I237" s="14">
        <v>9</v>
      </c>
      <c r="J237" s="9">
        <v>87221.16</v>
      </c>
      <c r="K237" s="15">
        <v>45792</v>
      </c>
      <c r="L237" s="28" t="s">
        <v>2</v>
      </c>
    </row>
    <row r="238" spans="1:12" x14ac:dyDescent="0.3">
      <c r="A238" s="27" t="s">
        <v>101</v>
      </c>
      <c r="B238" s="14" t="s">
        <v>76</v>
      </c>
      <c r="C238" s="9">
        <v>259536</v>
      </c>
      <c r="D238" s="9">
        <v>64884</v>
      </c>
      <c r="E238" s="9">
        <v>194652</v>
      </c>
      <c r="F238" s="14" t="s">
        <v>72</v>
      </c>
      <c r="G238" s="15">
        <v>46110</v>
      </c>
      <c r="H238" s="15">
        <v>46123</v>
      </c>
      <c r="I238" s="14">
        <v>13</v>
      </c>
      <c r="J238" s="9">
        <v>178230.26</v>
      </c>
      <c r="K238" s="15">
        <v>45871</v>
      </c>
      <c r="L238" s="28" t="s">
        <v>13</v>
      </c>
    </row>
    <row r="239" spans="1:12" x14ac:dyDescent="0.3">
      <c r="A239" s="27" t="s">
        <v>101</v>
      </c>
      <c r="B239" s="14" t="s">
        <v>76</v>
      </c>
      <c r="C239" s="9">
        <v>124950.39999999999</v>
      </c>
      <c r="D239" s="9"/>
      <c r="E239" s="9">
        <v>124950.39999999999</v>
      </c>
      <c r="F239" s="14" t="s">
        <v>75</v>
      </c>
      <c r="G239" s="15">
        <v>46110</v>
      </c>
      <c r="H239" s="15">
        <v>46124</v>
      </c>
      <c r="I239" s="14">
        <v>14</v>
      </c>
      <c r="J239" s="9">
        <v>73710.42</v>
      </c>
      <c r="K239" s="15">
        <v>45721</v>
      </c>
      <c r="L239" s="28" t="s">
        <v>2</v>
      </c>
    </row>
    <row r="240" spans="1:12" x14ac:dyDescent="0.3">
      <c r="A240" s="27" t="s">
        <v>101</v>
      </c>
      <c r="B240" s="14" t="s">
        <v>76</v>
      </c>
      <c r="C240" s="16"/>
      <c r="D240" s="16"/>
      <c r="E240" s="16"/>
      <c r="F240" s="14" t="s">
        <v>73</v>
      </c>
      <c r="G240" s="15">
        <v>46110</v>
      </c>
      <c r="H240" s="15">
        <v>46119</v>
      </c>
      <c r="I240" s="14">
        <v>9</v>
      </c>
      <c r="J240" s="9">
        <v>0</v>
      </c>
      <c r="K240" s="15">
        <v>45984</v>
      </c>
      <c r="L240" s="28" t="s">
        <v>18</v>
      </c>
    </row>
    <row r="241" spans="1:12" x14ac:dyDescent="0.3">
      <c r="A241" s="27" t="s">
        <v>101</v>
      </c>
      <c r="B241" s="14" t="s">
        <v>76</v>
      </c>
      <c r="C241" s="9">
        <v>50628</v>
      </c>
      <c r="D241" s="9"/>
      <c r="E241" s="9">
        <v>50628</v>
      </c>
      <c r="F241" s="14" t="s">
        <v>75</v>
      </c>
      <c r="G241" s="15">
        <v>46110</v>
      </c>
      <c r="H241" s="15">
        <v>46115</v>
      </c>
      <c r="I241" s="14">
        <v>5</v>
      </c>
      <c r="J241" s="9">
        <v>30216</v>
      </c>
      <c r="K241" s="15">
        <v>45863</v>
      </c>
      <c r="L241" s="28" t="s">
        <v>15</v>
      </c>
    </row>
    <row r="242" spans="1:12" x14ac:dyDescent="0.3">
      <c r="A242" s="27" t="s">
        <v>101</v>
      </c>
      <c r="B242" s="14" t="s">
        <v>76</v>
      </c>
      <c r="C242" s="16">
        <v>57089.5</v>
      </c>
      <c r="D242" s="16">
        <v>14272.38</v>
      </c>
      <c r="E242" s="16">
        <v>42817.120000000003</v>
      </c>
      <c r="F242" s="14" t="s">
        <v>72</v>
      </c>
      <c r="G242" s="15">
        <v>46111</v>
      </c>
      <c r="H242" s="15">
        <v>46121</v>
      </c>
      <c r="I242" s="14">
        <v>10</v>
      </c>
      <c r="J242" s="9">
        <v>33044.9</v>
      </c>
      <c r="K242" s="15">
        <v>45875</v>
      </c>
      <c r="L242" s="28" t="s">
        <v>2</v>
      </c>
    </row>
    <row r="243" spans="1:12" x14ac:dyDescent="0.3">
      <c r="A243" s="27" t="s">
        <v>101</v>
      </c>
      <c r="B243" s="14" t="s">
        <v>76</v>
      </c>
      <c r="C243" s="16">
        <v>57089.5</v>
      </c>
      <c r="D243" s="16">
        <v>14272.37</v>
      </c>
      <c r="E243" s="16">
        <v>42817.13</v>
      </c>
      <c r="F243" s="14" t="s">
        <v>72</v>
      </c>
      <c r="G243" s="15">
        <v>46111</v>
      </c>
      <c r="H243" s="15">
        <v>46121</v>
      </c>
      <c r="I243" s="14">
        <v>10</v>
      </c>
      <c r="J243" s="9">
        <v>33044.9</v>
      </c>
      <c r="K243" s="15">
        <v>45875</v>
      </c>
      <c r="L243" s="28" t="s">
        <v>2</v>
      </c>
    </row>
    <row r="244" spans="1:12" x14ac:dyDescent="0.3">
      <c r="A244" s="27" t="s">
        <v>101</v>
      </c>
      <c r="B244" s="14" t="s">
        <v>76</v>
      </c>
      <c r="C244" s="16">
        <v>43724</v>
      </c>
      <c r="D244" s="16">
        <v>10931</v>
      </c>
      <c r="E244" s="16">
        <v>32793</v>
      </c>
      <c r="F244" s="14" t="s">
        <v>72</v>
      </c>
      <c r="G244" s="15">
        <v>46111</v>
      </c>
      <c r="H244" s="15">
        <v>46121</v>
      </c>
      <c r="I244" s="14">
        <v>10</v>
      </c>
      <c r="J244" s="9">
        <v>24980.2</v>
      </c>
      <c r="K244" s="15">
        <v>45875</v>
      </c>
      <c r="L244" s="28" t="s">
        <v>2</v>
      </c>
    </row>
    <row r="245" spans="1:12" x14ac:dyDescent="0.3">
      <c r="A245" s="27" t="s">
        <v>101</v>
      </c>
      <c r="B245" s="14" t="s">
        <v>76</v>
      </c>
      <c r="C245" s="9">
        <v>114897</v>
      </c>
      <c r="D245" s="9">
        <v>114897</v>
      </c>
      <c r="E245" s="16"/>
      <c r="F245" s="14" t="s">
        <v>70</v>
      </c>
      <c r="G245" s="15">
        <v>46112</v>
      </c>
      <c r="H245" s="15">
        <v>46118</v>
      </c>
      <c r="I245" s="14">
        <v>6</v>
      </c>
      <c r="J245" s="9">
        <v>76026.36</v>
      </c>
      <c r="K245" s="15">
        <v>45970</v>
      </c>
      <c r="L245" s="28" t="s">
        <v>31</v>
      </c>
    </row>
    <row r="246" spans="1:12" x14ac:dyDescent="0.3">
      <c r="A246" s="27" t="s">
        <v>101</v>
      </c>
      <c r="B246" s="14" t="s">
        <v>76</v>
      </c>
      <c r="C246" s="9">
        <v>31929</v>
      </c>
      <c r="D246" s="9">
        <v>7982.25</v>
      </c>
      <c r="E246" s="9">
        <v>23946.75</v>
      </c>
      <c r="F246" s="14" t="s">
        <v>72</v>
      </c>
      <c r="G246" s="15">
        <v>46113</v>
      </c>
      <c r="H246" s="15">
        <v>46122</v>
      </c>
      <c r="I246" s="14">
        <v>9</v>
      </c>
      <c r="J246" s="9">
        <v>18587.79</v>
      </c>
      <c r="K246" s="15">
        <v>45436</v>
      </c>
      <c r="L246" s="28" t="s">
        <v>13</v>
      </c>
    </row>
    <row r="247" spans="1:12" x14ac:dyDescent="0.3">
      <c r="A247" s="27" t="s">
        <v>101</v>
      </c>
      <c r="B247" s="14" t="s">
        <v>76</v>
      </c>
      <c r="C247" s="9">
        <v>83356</v>
      </c>
      <c r="D247" s="9">
        <v>28164.5</v>
      </c>
      <c r="E247" s="9">
        <v>55191.5</v>
      </c>
      <c r="F247" s="14" t="s">
        <v>72</v>
      </c>
      <c r="G247" s="15">
        <v>46113</v>
      </c>
      <c r="H247" s="15">
        <v>46122</v>
      </c>
      <c r="I247" s="14">
        <v>9</v>
      </c>
      <c r="J247" s="9">
        <v>56583.9</v>
      </c>
      <c r="K247" s="15">
        <v>45414</v>
      </c>
      <c r="L247" s="28" t="s">
        <v>13</v>
      </c>
    </row>
    <row r="248" spans="1:12" x14ac:dyDescent="0.3">
      <c r="A248" s="27" t="s">
        <v>101</v>
      </c>
      <c r="B248" s="14" t="s">
        <v>76</v>
      </c>
      <c r="C248" s="16"/>
      <c r="D248" s="16"/>
      <c r="E248" s="16"/>
      <c r="F248" s="14" t="s">
        <v>73</v>
      </c>
      <c r="G248" s="15">
        <v>46114</v>
      </c>
      <c r="H248" s="15">
        <v>46122</v>
      </c>
      <c r="I248" s="14">
        <v>8</v>
      </c>
      <c r="J248" s="9">
        <v>0</v>
      </c>
      <c r="K248" s="15">
        <v>45953</v>
      </c>
      <c r="L248" s="28" t="s">
        <v>38</v>
      </c>
    </row>
    <row r="249" spans="1:12" x14ac:dyDescent="0.3">
      <c r="A249" s="27" t="s">
        <v>101</v>
      </c>
      <c r="B249" s="14" t="s">
        <v>76</v>
      </c>
      <c r="C249" s="9">
        <v>34570</v>
      </c>
      <c r="D249" s="9">
        <v>8642.5</v>
      </c>
      <c r="E249" s="9">
        <v>25927.5</v>
      </c>
      <c r="F249" s="14" t="s">
        <v>72</v>
      </c>
      <c r="G249" s="15">
        <v>46114</v>
      </c>
      <c r="H249" s="15">
        <v>46126</v>
      </c>
      <c r="I249" s="14">
        <v>12</v>
      </c>
      <c r="J249" s="9">
        <v>18531.48</v>
      </c>
      <c r="K249" s="15">
        <v>45398</v>
      </c>
      <c r="L249" s="28" t="s">
        <v>13</v>
      </c>
    </row>
    <row r="250" spans="1:12" x14ac:dyDescent="0.3">
      <c r="A250" s="27" t="s">
        <v>101</v>
      </c>
      <c r="B250" s="14" t="s">
        <v>76</v>
      </c>
      <c r="C250" s="9">
        <v>124264.98</v>
      </c>
      <c r="D250" s="9">
        <v>35456.61</v>
      </c>
      <c r="E250" s="9">
        <v>88808.37</v>
      </c>
      <c r="F250" s="14" t="s">
        <v>72</v>
      </c>
      <c r="G250" s="15">
        <v>46115</v>
      </c>
      <c r="H250" s="15">
        <v>46123</v>
      </c>
      <c r="I250" s="14">
        <v>8</v>
      </c>
      <c r="J250" s="9">
        <v>78999.520000000004</v>
      </c>
      <c r="K250" s="15">
        <v>45760</v>
      </c>
      <c r="L250" s="28" t="s">
        <v>18</v>
      </c>
    </row>
    <row r="251" spans="1:12" x14ac:dyDescent="0.3">
      <c r="A251" s="27" t="s">
        <v>101</v>
      </c>
      <c r="B251" s="14" t="s">
        <v>76</v>
      </c>
      <c r="C251" s="9">
        <v>40346</v>
      </c>
      <c r="D251" s="9"/>
      <c r="E251" s="9">
        <v>40346</v>
      </c>
      <c r="F251" s="14" t="s">
        <v>75</v>
      </c>
      <c r="G251" s="15">
        <v>46115</v>
      </c>
      <c r="H251" s="15">
        <v>46122</v>
      </c>
      <c r="I251" s="14">
        <v>7</v>
      </c>
      <c r="J251" s="9">
        <v>22235.85</v>
      </c>
      <c r="K251" s="15">
        <v>45887</v>
      </c>
      <c r="L251" s="28" t="s">
        <v>13</v>
      </c>
    </row>
    <row r="252" spans="1:12" x14ac:dyDescent="0.3">
      <c r="A252" s="27" t="s">
        <v>101</v>
      </c>
      <c r="B252" s="14" t="s">
        <v>76</v>
      </c>
      <c r="C252" s="16">
        <v>39900</v>
      </c>
      <c r="D252" s="16"/>
      <c r="E252" s="16">
        <v>39900</v>
      </c>
      <c r="F252" s="14" t="s">
        <v>75</v>
      </c>
      <c r="G252" s="15">
        <v>46115</v>
      </c>
      <c r="H252" s="15">
        <v>46124</v>
      </c>
      <c r="I252" s="14">
        <v>9</v>
      </c>
      <c r="J252" s="9">
        <v>18159.3</v>
      </c>
      <c r="K252" s="15">
        <v>45912</v>
      </c>
      <c r="L252" s="28" t="s">
        <v>13</v>
      </c>
    </row>
    <row r="253" spans="1:12" x14ac:dyDescent="0.3">
      <c r="A253" s="27" t="s">
        <v>101</v>
      </c>
      <c r="B253" s="14" t="s">
        <v>76</v>
      </c>
      <c r="C253" s="16">
        <v>110099.95</v>
      </c>
      <c r="D253" s="16">
        <v>48911.22</v>
      </c>
      <c r="E253" s="16">
        <v>61188.73</v>
      </c>
      <c r="F253" s="14" t="s">
        <v>72</v>
      </c>
      <c r="G253" s="15">
        <v>46115</v>
      </c>
      <c r="H253" s="15">
        <v>46124</v>
      </c>
      <c r="I253" s="14">
        <v>9</v>
      </c>
      <c r="J253" s="9">
        <v>71068.320000000007</v>
      </c>
      <c r="K253" s="15">
        <v>45909</v>
      </c>
      <c r="L253" s="28" t="s">
        <v>13</v>
      </c>
    </row>
    <row r="254" spans="1:12" x14ac:dyDescent="0.3">
      <c r="A254" s="27" t="s">
        <v>101</v>
      </c>
      <c r="B254" s="14" t="s">
        <v>76</v>
      </c>
      <c r="C254" s="9">
        <v>24020</v>
      </c>
      <c r="D254" s="9">
        <v>6005</v>
      </c>
      <c r="E254" s="9">
        <v>18015</v>
      </c>
      <c r="F254" s="14" t="s">
        <v>72</v>
      </c>
      <c r="G254" s="15">
        <v>46116</v>
      </c>
      <c r="H254" s="15">
        <v>46124</v>
      </c>
      <c r="I254" s="14">
        <v>8</v>
      </c>
      <c r="J254" s="9">
        <v>11784.16</v>
      </c>
      <c r="K254" s="15">
        <v>45965</v>
      </c>
      <c r="L254" s="28" t="s">
        <v>13</v>
      </c>
    </row>
    <row r="255" spans="1:12" x14ac:dyDescent="0.3">
      <c r="A255" s="27" t="s">
        <v>101</v>
      </c>
      <c r="B255" s="14" t="s">
        <v>76</v>
      </c>
      <c r="C255" s="9">
        <v>57200</v>
      </c>
      <c r="D255" s="9">
        <v>14800</v>
      </c>
      <c r="E255" s="9">
        <v>42400</v>
      </c>
      <c r="F255" s="14" t="s">
        <v>72</v>
      </c>
      <c r="G255" s="15">
        <v>46116</v>
      </c>
      <c r="H255" s="15">
        <v>46124</v>
      </c>
      <c r="I255" s="14">
        <v>8</v>
      </c>
      <c r="J255" s="9">
        <v>35508.959999999999</v>
      </c>
      <c r="K255" s="15">
        <v>45762</v>
      </c>
      <c r="L255" s="28" t="s">
        <v>13</v>
      </c>
    </row>
    <row r="256" spans="1:12" x14ac:dyDescent="0.3">
      <c r="A256" s="27" t="s">
        <v>101</v>
      </c>
      <c r="B256" s="14" t="s">
        <v>76</v>
      </c>
      <c r="C256" s="9">
        <v>54930</v>
      </c>
      <c r="D256" s="9"/>
      <c r="E256" s="9">
        <v>54930</v>
      </c>
      <c r="F256" s="14" t="s">
        <v>75</v>
      </c>
      <c r="G256" s="15">
        <v>46117</v>
      </c>
      <c r="H256" s="15">
        <v>46126</v>
      </c>
      <c r="I256" s="14">
        <v>9</v>
      </c>
      <c r="J256" s="9">
        <v>33793.74</v>
      </c>
      <c r="K256" s="15">
        <v>45824</v>
      </c>
      <c r="L256" s="28" t="s">
        <v>18</v>
      </c>
    </row>
    <row r="257" spans="1:12" x14ac:dyDescent="0.3">
      <c r="A257" s="27" t="s">
        <v>101</v>
      </c>
      <c r="B257" s="14" t="s">
        <v>76</v>
      </c>
      <c r="C257" s="9">
        <v>42736</v>
      </c>
      <c r="D257" s="9">
        <v>10684</v>
      </c>
      <c r="E257" s="9">
        <v>32052</v>
      </c>
      <c r="F257" s="14" t="s">
        <v>72</v>
      </c>
      <c r="G257" s="15">
        <v>46117</v>
      </c>
      <c r="H257" s="15">
        <v>46124</v>
      </c>
      <c r="I257" s="14">
        <v>7</v>
      </c>
      <c r="J257" s="9">
        <v>26134.43</v>
      </c>
      <c r="K257" s="15">
        <v>45905</v>
      </c>
      <c r="L257" s="28" t="s">
        <v>13</v>
      </c>
    </row>
    <row r="258" spans="1:12" x14ac:dyDescent="0.3">
      <c r="A258" s="27" t="s">
        <v>101</v>
      </c>
      <c r="B258" s="14" t="s">
        <v>76</v>
      </c>
      <c r="C258" s="16"/>
      <c r="D258" s="16"/>
      <c r="E258" s="16"/>
      <c r="F258" s="14" t="s">
        <v>73</v>
      </c>
      <c r="G258" s="15">
        <v>46117</v>
      </c>
      <c r="H258" s="15">
        <v>46133</v>
      </c>
      <c r="I258" s="14">
        <v>16</v>
      </c>
      <c r="J258" s="9">
        <v>0</v>
      </c>
      <c r="K258" s="15">
        <v>45667</v>
      </c>
      <c r="L258" s="28" t="s">
        <v>2</v>
      </c>
    </row>
    <row r="259" spans="1:12" x14ac:dyDescent="0.3">
      <c r="A259" s="27" t="s">
        <v>101</v>
      </c>
      <c r="B259" s="14" t="s">
        <v>76</v>
      </c>
      <c r="C259" s="9">
        <v>44373.279999999999</v>
      </c>
      <c r="D259" s="9">
        <v>13630.82</v>
      </c>
      <c r="E259" s="9">
        <v>30742.46</v>
      </c>
      <c r="F259" s="14" t="s">
        <v>72</v>
      </c>
      <c r="G259" s="15">
        <v>46117</v>
      </c>
      <c r="H259" s="15">
        <v>46124</v>
      </c>
      <c r="I259" s="14">
        <v>7</v>
      </c>
      <c r="J259" s="9">
        <v>32979.660000000003</v>
      </c>
      <c r="K259" s="15">
        <v>45796</v>
      </c>
      <c r="L259" s="28" t="s">
        <v>2</v>
      </c>
    </row>
    <row r="260" spans="1:12" x14ac:dyDescent="0.3">
      <c r="A260" s="27" t="s">
        <v>101</v>
      </c>
      <c r="B260" s="14" t="s">
        <v>76</v>
      </c>
      <c r="C260" s="16">
        <v>19332.45</v>
      </c>
      <c r="D260" s="16">
        <v>8705.18</v>
      </c>
      <c r="E260" s="16">
        <v>10627.27</v>
      </c>
      <c r="F260" s="14" t="s">
        <v>72</v>
      </c>
      <c r="G260" s="15">
        <v>46118</v>
      </c>
      <c r="H260" s="15">
        <v>46121</v>
      </c>
      <c r="I260" s="14">
        <v>3</v>
      </c>
      <c r="J260" s="9">
        <v>11758.59</v>
      </c>
      <c r="K260" s="15">
        <v>45786</v>
      </c>
      <c r="L260" s="28" t="s">
        <v>40</v>
      </c>
    </row>
    <row r="261" spans="1:12" x14ac:dyDescent="0.3">
      <c r="A261" s="27" t="s">
        <v>101</v>
      </c>
      <c r="B261" s="14" t="s">
        <v>76</v>
      </c>
      <c r="C261" s="9">
        <v>40087</v>
      </c>
      <c r="D261" s="9">
        <v>10021.75</v>
      </c>
      <c r="E261" s="9">
        <v>30065.25</v>
      </c>
      <c r="F261" s="14" t="s">
        <v>72</v>
      </c>
      <c r="G261" s="15">
        <v>46118</v>
      </c>
      <c r="H261" s="15">
        <v>46123</v>
      </c>
      <c r="I261" s="14">
        <v>5</v>
      </c>
      <c r="J261" s="9">
        <v>26688.05</v>
      </c>
      <c r="K261" s="15">
        <v>45785</v>
      </c>
      <c r="L261" s="28" t="s">
        <v>2</v>
      </c>
    </row>
    <row r="262" spans="1:12" x14ac:dyDescent="0.3">
      <c r="A262" s="27" t="s">
        <v>101</v>
      </c>
      <c r="B262" s="14" t="s">
        <v>76</v>
      </c>
      <c r="C262" s="16">
        <v>15488.3</v>
      </c>
      <c r="D262" s="16"/>
      <c r="E262" s="16">
        <v>15488.3</v>
      </c>
      <c r="F262" s="14" t="s">
        <v>75</v>
      </c>
      <c r="G262" s="15">
        <v>46121</v>
      </c>
      <c r="H262" s="15">
        <v>46123</v>
      </c>
      <c r="I262" s="14">
        <v>2</v>
      </c>
      <c r="J262" s="9">
        <v>7839.06</v>
      </c>
      <c r="K262" s="15">
        <v>45786</v>
      </c>
      <c r="L262" s="28" t="s">
        <v>40</v>
      </c>
    </row>
    <row r="263" spans="1:12" x14ac:dyDescent="0.3">
      <c r="A263" s="27" t="s">
        <v>101</v>
      </c>
      <c r="B263" s="14" t="s">
        <v>76</v>
      </c>
      <c r="C263" s="9">
        <v>15344</v>
      </c>
      <c r="D263" s="9">
        <v>3836</v>
      </c>
      <c r="E263" s="9">
        <v>11508</v>
      </c>
      <c r="F263" s="14" t="s">
        <v>72</v>
      </c>
      <c r="G263" s="15">
        <v>46122</v>
      </c>
      <c r="H263" s="15">
        <v>46125</v>
      </c>
      <c r="I263" s="14">
        <v>3</v>
      </c>
      <c r="J263" s="9">
        <v>9020.16</v>
      </c>
      <c r="K263" s="15">
        <v>45981</v>
      </c>
      <c r="L263" s="28" t="s">
        <v>2</v>
      </c>
    </row>
    <row r="264" spans="1:12" x14ac:dyDescent="0.3">
      <c r="A264" s="27" t="s">
        <v>101</v>
      </c>
      <c r="B264" s="14" t="s">
        <v>76</v>
      </c>
      <c r="C264" s="16"/>
      <c r="D264" s="16"/>
      <c r="E264" s="16"/>
      <c r="F264" s="14" t="s">
        <v>73</v>
      </c>
      <c r="G264" s="15">
        <v>46122</v>
      </c>
      <c r="H264" s="15">
        <v>46130</v>
      </c>
      <c r="I264" s="14">
        <v>8</v>
      </c>
      <c r="J264" s="9">
        <v>0</v>
      </c>
      <c r="K264" s="15">
        <v>45860</v>
      </c>
      <c r="L264" s="28" t="s">
        <v>9</v>
      </c>
    </row>
    <row r="265" spans="1:12" x14ac:dyDescent="0.3">
      <c r="A265" s="27" t="s">
        <v>101</v>
      </c>
      <c r="B265" s="14" t="s">
        <v>76</v>
      </c>
      <c r="C265" s="9">
        <v>13200</v>
      </c>
      <c r="D265" s="9"/>
      <c r="E265" s="9">
        <v>13200</v>
      </c>
      <c r="F265" s="14" t="s">
        <v>75</v>
      </c>
      <c r="G265" s="15">
        <v>46122</v>
      </c>
      <c r="H265" s="15">
        <v>46127</v>
      </c>
      <c r="I265" s="14">
        <v>5</v>
      </c>
      <c r="J265" s="9">
        <v>4801.59</v>
      </c>
      <c r="K265" s="15">
        <v>45917</v>
      </c>
      <c r="L265" s="28" t="s">
        <v>22</v>
      </c>
    </row>
    <row r="266" spans="1:12" x14ac:dyDescent="0.3">
      <c r="A266" s="27" t="s">
        <v>101</v>
      </c>
      <c r="B266" s="14" t="s">
        <v>76</v>
      </c>
      <c r="C266" s="9">
        <v>15558</v>
      </c>
      <c r="D266" s="9"/>
      <c r="E266" s="9">
        <v>15558</v>
      </c>
      <c r="F266" s="14" t="s">
        <v>75</v>
      </c>
      <c r="G266" s="15">
        <v>46122</v>
      </c>
      <c r="H266" s="15">
        <v>46125</v>
      </c>
      <c r="I266" s="14">
        <v>3</v>
      </c>
      <c r="J266" s="9">
        <v>9970.23</v>
      </c>
      <c r="K266" s="15">
        <v>45962</v>
      </c>
      <c r="L266" s="28" t="s">
        <v>31</v>
      </c>
    </row>
    <row r="267" spans="1:12" x14ac:dyDescent="0.3">
      <c r="A267" s="27" t="s">
        <v>101</v>
      </c>
      <c r="B267" s="14" t="s">
        <v>77</v>
      </c>
      <c r="C267" s="9">
        <v>23983.119999999999</v>
      </c>
      <c r="D267" s="9"/>
      <c r="E267" s="9">
        <v>23983.119999999999</v>
      </c>
      <c r="F267" s="14" t="s">
        <v>80</v>
      </c>
      <c r="G267" s="15">
        <v>46123</v>
      </c>
      <c r="H267" s="15">
        <v>46131</v>
      </c>
      <c r="I267" s="14">
        <v>8</v>
      </c>
      <c r="J267" s="9">
        <v>15377.84</v>
      </c>
      <c r="K267" s="15">
        <v>45989</v>
      </c>
      <c r="L267" s="28" t="s">
        <v>2</v>
      </c>
    </row>
    <row r="268" spans="1:12" x14ac:dyDescent="0.3">
      <c r="A268" s="27" t="s">
        <v>101</v>
      </c>
      <c r="B268" s="14" t="s">
        <v>77</v>
      </c>
      <c r="C268" s="9">
        <v>33031.279999999999</v>
      </c>
      <c r="D268" s="9"/>
      <c r="E268" s="9">
        <v>33031.279999999999</v>
      </c>
      <c r="F268" s="14" t="s">
        <v>80</v>
      </c>
      <c r="G268" s="15">
        <v>46123</v>
      </c>
      <c r="H268" s="15">
        <v>46131</v>
      </c>
      <c r="I268" s="14">
        <v>8</v>
      </c>
      <c r="J268" s="9">
        <v>21515.040000000001</v>
      </c>
      <c r="K268" s="15">
        <v>45989</v>
      </c>
      <c r="L268" s="28" t="s">
        <v>2</v>
      </c>
    </row>
    <row r="269" spans="1:12" x14ac:dyDescent="0.3">
      <c r="A269" s="27" t="s">
        <v>101</v>
      </c>
      <c r="B269" s="14" t="s">
        <v>77</v>
      </c>
      <c r="C269" s="16"/>
      <c r="D269" s="16"/>
      <c r="E269" s="16"/>
      <c r="F269" s="14" t="s">
        <v>73</v>
      </c>
      <c r="G269" s="15">
        <v>46123</v>
      </c>
      <c r="H269" s="15">
        <v>46126</v>
      </c>
      <c r="I269" s="14">
        <v>3</v>
      </c>
      <c r="J269" s="9">
        <v>0</v>
      </c>
      <c r="K269" s="15">
        <v>45980</v>
      </c>
      <c r="L269" s="28" t="s">
        <v>2</v>
      </c>
    </row>
    <row r="270" spans="1:12" x14ac:dyDescent="0.3">
      <c r="A270" s="27" t="s">
        <v>101</v>
      </c>
      <c r="B270" s="14" t="s">
        <v>77</v>
      </c>
      <c r="C270" s="9">
        <v>34811.599999999999</v>
      </c>
      <c r="D270" s="9"/>
      <c r="E270" s="9">
        <v>34811.599999999999</v>
      </c>
      <c r="F270" s="14" t="s">
        <v>75</v>
      </c>
      <c r="G270" s="15">
        <v>46123</v>
      </c>
      <c r="H270" s="15">
        <v>46128</v>
      </c>
      <c r="I270" s="14">
        <v>5</v>
      </c>
      <c r="J270" s="9">
        <v>21732</v>
      </c>
      <c r="K270" s="15">
        <v>45799</v>
      </c>
      <c r="L270" s="28" t="s">
        <v>38</v>
      </c>
    </row>
    <row r="271" spans="1:12" x14ac:dyDescent="0.3">
      <c r="A271" s="27" t="s">
        <v>101</v>
      </c>
      <c r="B271" s="14" t="s">
        <v>77</v>
      </c>
      <c r="C271" s="16">
        <v>61965.94</v>
      </c>
      <c r="D271" s="16"/>
      <c r="E271" s="16">
        <v>61965.94</v>
      </c>
      <c r="F271" s="14" t="s">
        <v>75</v>
      </c>
      <c r="G271" s="15">
        <v>46124</v>
      </c>
      <c r="H271" s="15">
        <v>46131</v>
      </c>
      <c r="I271" s="14">
        <v>7</v>
      </c>
      <c r="J271" s="9">
        <v>41674.22</v>
      </c>
      <c r="K271" s="15">
        <v>45759</v>
      </c>
      <c r="L271" s="28" t="s">
        <v>2</v>
      </c>
    </row>
    <row r="272" spans="1:12" x14ac:dyDescent="0.3">
      <c r="A272" s="27" t="s">
        <v>101</v>
      </c>
      <c r="B272" s="14" t="s">
        <v>77</v>
      </c>
      <c r="C272" s="16">
        <v>60682.99</v>
      </c>
      <c r="D272" s="16">
        <v>30662.25</v>
      </c>
      <c r="E272" s="16">
        <v>30020.74</v>
      </c>
      <c r="F272" s="14" t="s">
        <v>72</v>
      </c>
      <c r="G272" s="15">
        <v>46124</v>
      </c>
      <c r="H272" s="15">
        <v>46131</v>
      </c>
      <c r="I272" s="14">
        <v>7</v>
      </c>
      <c r="J272" s="9">
        <v>43501.99</v>
      </c>
      <c r="K272" s="15">
        <v>45759</v>
      </c>
      <c r="L272" s="28" t="s">
        <v>2</v>
      </c>
    </row>
    <row r="273" spans="1:12" x14ac:dyDescent="0.3">
      <c r="A273" s="27" t="s">
        <v>101</v>
      </c>
      <c r="B273" s="14" t="s">
        <v>77</v>
      </c>
      <c r="C273" s="9">
        <v>15895</v>
      </c>
      <c r="D273" s="9">
        <v>3973.75</v>
      </c>
      <c r="E273" s="9">
        <v>11921.25</v>
      </c>
      <c r="F273" s="14" t="s">
        <v>72</v>
      </c>
      <c r="G273" s="15">
        <v>46124</v>
      </c>
      <c r="H273" s="15">
        <v>46129</v>
      </c>
      <c r="I273" s="14">
        <v>5</v>
      </c>
      <c r="J273" s="9">
        <v>7523.3</v>
      </c>
      <c r="K273" s="15">
        <v>45878</v>
      </c>
      <c r="L273" s="28" t="s">
        <v>2</v>
      </c>
    </row>
    <row r="274" spans="1:12" x14ac:dyDescent="0.3">
      <c r="A274" s="27" t="s">
        <v>101</v>
      </c>
      <c r="B274" s="14" t="s">
        <v>77</v>
      </c>
      <c r="C274" s="9">
        <v>56004</v>
      </c>
      <c r="D274" s="9"/>
      <c r="E274" s="9">
        <v>56004</v>
      </c>
      <c r="F274" s="14" t="s">
        <v>75</v>
      </c>
      <c r="G274" s="15">
        <v>46124</v>
      </c>
      <c r="H274" s="15">
        <v>46131</v>
      </c>
      <c r="I274" s="14">
        <v>7</v>
      </c>
      <c r="J274" s="9">
        <v>31043.11</v>
      </c>
      <c r="K274" s="15">
        <v>45889</v>
      </c>
      <c r="L274" s="28" t="s">
        <v>2</v>
      </c>
    </row>
    <row r="275" spans="1:12" x14ac:dyDescent="0.3">
      <c r="A275" s="27" t="s">
        <v>101</v>
      </c>
      <c r="B275" s="14" t="s">
        <v>77</v>
      </c>
      <c r="C275" s="9">
        <v>31960</v>
      </c>
      <c r="D275" s="9"/>
      <c r="E275" s="9">
        <v>31960</v>
      </c>
      <c r="F275" s="14" t="s">
        <v>75</v>
      </c>
      <c r="G275" s="15">
        <v>46124</v>
      </c>
      <c r="H275" s="15">
        <v>46134</v>
      </c>
      <c r="I275" s="14">
        <v>10</v>
      </c>
      <c r="J275" s="9">
        <v>16348.1</v>
      </c>
      <c r="K275" s="15">
        <v>45861</v>
      </c>
      <c r="L275" s="28" t="s">
        <v>2</v>
      </c>
    </row>
    <row r="276" spans="1:12" x14ac:dyDescent="0.3">
      <c r="A276" s="27" t="s">
        <v>101</v>
      </c>
      <c r="B276" s="14" t="s">
        <v>77</v>
      </c>
      <c r="C276" s="9">
        <v>28352</v>
      </c>
      <c r="D276" s="9">
        <v>7088</v>
      </c>
      <c r="E276" s="9">
        <v>21264</v>
      </c>
      <c r="F276" s="14" t="s">
        <v>72</v>
      </c>
      <c r="G276" s="15">
        <v>46124</v>
      </c>
      <c r="H276" s="15">
        <v>46128</v>
      </c>
      <c r="I276" s="14">
        <v>4</v>
      </c>
      <c r="J276" s="9">
        <v>10641.04</v>
      </c>
      <c r="K276" s="15">
        <v>45814</v>
      </c>
      <c r="L276" s="28" t="s">
        <v>2</v>
      </c>
    </row>
    <row r="277" spans="1:12" x14ac:dyDescent="0.3">
      <c r="A277" s="27" t="s">
        <v>101</v>
      </c>
      <c r="B277" s="14" t="s">
        <v>77</v>
      </c>
      <c r="C277" s="9">
        <v>55532</v>
      </c>
      <c r="D277" s="9"/>
      <c r="E277" s="9">
        <v>55532</v>
      </c>
      <c r="F277" s="14" t="s">
        <v>75</v>
      </c>
      <c r="G277" s="15">
        <v>46125</v>
      </c>
      <c r="H277" s="15">
        <v>46137</v>
      </c>
      <c r="I277" s="14">
        <v>12</v>
      </c>
      <c r="J277" s="9">
        <v>37964.160000000003</v>
      </c>
      <c r="K277" s="15">
        <v>45910</v>
      </c>
      <c r="L277" s="28" t="s">
        <v>1</v>
      </c>
    </row>
    <row r="278" spans="1:12" x14ac:dyDescent="0.3">
      <c r="A278" s="27" t="s">
        <v>101</v>
      </c>
      <c r="B278" s="14" t="s">
        <v>77</v>
      </c>
      <c r="C278" s="9">
        <v>15432</v>
      </c>
      <c r="D278" s="9"/>
      <c r="E278" s="23">
        <v>15432</v>
      </c>
      <c r="F278" s="14" t="s">
        <v>75</v>
      </c>
      <c r="G278" s="15">
        <v>46129</v>
      </c>
      <c r="H278" s="15">
        <v>46137</v>
      </c>
      <c r="I278" s="14">
        <v>8</v>
      </c>
      <c r="J278" s="9">
        <v>5905.2</v>
      </c>
      <c r="K278" s="15">
        <v>45749</v>
      </c>
      <c r="L278" s="28" t="s">
        <v>2</v>
      </c>
    </row>
    <row r="279" spans="1:12" x14ac:dyDescent="0.3">
      <c r="A279" s="27" t="s">
        <v>101</v>
      </c>
      <c r="B279" s="14" t="s">
        <v>77</v>
      </c>
      <c r="C279" s="9">
        <v>21351</v>
      </c>
      <c r="D279" s="9"/>
      <c r="E279" s="9">
        <v>21351</v>
      </c>
      <c r="F279" s="14" t="s">
        <v>75</v>
      </c>
      <c r="G279" s="15">
        <v>46130</v>
      </c>
      <c r="H279" s="15">
        <v>46134</v>
      </c>
      <c r="I279" s="14">
        <v>4</v>
      </c>
      <c r="J279" s="9">
        <v>12541.96</v>
      </c>
      <c r="K279" s="15">
        <v>45769</v>
      </c>
      <c r="L279" s="28" t="s">
        <v>2</v>
      </c>
    </row>
    <row r="280" spans="1:12" x14ac:dyDescent="0.3">
      <c r="A280" s="27" t="s">
        <v>101</v>
      </c>
      <c r="B280" s="14" t="s">
        <v>77</v>
      </c>
      <c r="C280" s="9">
        <v>73149.06</v>
      </c>
      <c r="D280" s="9"/>
      <c r="E280" s="9">
        <v>73149.06</v>
      </c>
      <c r="F280" s="14" t="s">
        <v>75</v>
      </c>
      <c r="G280" s="15">
        <v>46130</v>
      </c>
      <c r="H280" s="15">
        <v>46145</v>
      </c>
      <c r="I280" s="14">
        <v>15</v>
      </c>
      <c r="J280" s="9">
        <v>40196.94</v>
      </c>
      <c r="K280" s="15">
        <v>45978</v>
      </c>
      <c r="L280" s="28" t="s">
        <v>18</v>
      </c>
    </row>
    <row r="281" spans="1:12" x14ac:dyDescent="0.3">
      <c r="A281" s="27" t="s">
        <v>101</v>
      </c>
      <c r="B281" s="14" t="s">
        <v>77</v>
      </c>
      <c r="C281" s="16">
        <v>1559.37</v>
      </c>
      <c r="D281" s="16"/>
      <c r="E281" s="16">
        <v>1559.37</v>
      </c>
      <c r="F281" s="14" t="s">
        <v>75</v>
      </c>
      <c r="G281" s="15">
        <v>46131</v>
      </c>
      <c r="H281" s="15">
        <v>46132</v>
      </c>
      <c r="I281" s="14">
        <v>1</v>
      </c>
      <c r="J281" s="9">
        <v>1072.47</v>
      </c>
      <c r="K281" s="15">
        <v>45984</v>
      </c>
      <c r="L281" s="28" t="s">
        <v>2</v>
      </c>
    </row>
    <row r="282" spans="1:12" x14ac:dyDescent="0.3">
      <c r="A282" s="27" t="s">
        <v>101</v>
      </c>
      <c r="B282" s="14" t="s">
        <v>77</v>
      </c>
      <c r="C282" s="9">
        <v>162748</v>
      </c>
      <c r="D282" s="9">
        <v>40687</v>
      </c>
      <c r="E282" s="9">
        <v>122061</v>
      </c>
      <c r="F282" s="14" t="s">
        <v>72</v>
      </c>
      <c r="G282" s="15">
        <v>46131</v>
      </c>
      <c r="H282" s="15">
        <v>46145</v>
      </c>
      <c r="I282" s="14">
        <v>14</v>
      </c>
      <c r="J282" s="9">
        <v>74712.399999999994</v>
      </c>
      <c r="K282" s="15">
        <v>45909</v>
      </c>
      <c r="L282" s="28" t="s">
        <v>1</v>
      </c>
    </row>
    <row r="283" spans="1:12" x14ac:dyDescent="0.3">
      <c r="A283" s="27" t="s">
        <v>101</v>
      </c>
      <c r="B283" s="14" t="s">
        <v>77</v>
      </c>
      <c r="C283" s="9">
        <v>46636.59</v>
      </c>
      <c r="D283" s="9">
        <v>11659.15</v>
      </c>
      <c r="E283" s="9">
        <v>34977.440000000002</v>
      </c>
      <c r="F283" s="14" t="s">
        <v>72</v>
      </c>
      <c r="G283" s="15">
        <v>46131</v>
      </c>
      <c r="H283" s="15">
        <v>46143</v>
      </c>
      <c r="I283" s="14">
        <v>12</v>
      </c>
      <c r="J283" s="9">
        <v>26106.959999999999</v>
      </c>
      <c r="K283" s="15">
        <v>45979</v>
      </c>
      <c r="L283" s="28" t="s">
        <v>18</v>
      </c>
    </row>
    <row r="284" spans="1:12" x14ac:dyDescent="0.3">
      <c r="A284" s="27" t="s">
        <v>101</v>
      </c>
      <c r="B284" s="14" t="s">
        <v>77</v>
      </c>
      <c r="C284" s="9">
        <v>23063</v>
      </c>
      <c r="D284" s="9"/>
      <c r="E284" s="9">
        <v>23063</v>
      </c>
      <c r="F284" s="14" t="s">
        <v>75</v>
      </c>
      <c r="G284" s="15">
        <v>46132</v>
      </c>
      <c r="H284" s="15">
        <v>46139</v>
      </c>
      <c r="I284" s="14">
        <v>7</v>
      </c>
      <c r="J284" s="9">
        <v>12342.61</v>
      </c>
      <c r="K284" s="15">
        <v>45885</v>
      </c>
      <c r="L284" s="28" t="s">
        <v>18</v>
      </c>
    </row>
    <row r="285" spans="1:12" x14ac:dyDescent="0.3">
      <c r="A285" s="27" t="s">
        <v>101</v>
      </c>
      <c r="B285" s="14" t="s">
        <v>77</v>
      </c>
      <c r="C285" s="9">
        <v>52000</v>
      </c>
      <c r="D285" s="9"/>
      <c r="E285" s="9">
        <v>52000</v>
      </c>
      <c r="F285" s="14" t="s">
        <v>75</v>
      </c>
      <c r="G285" s="15">
        <v>46132</v>
      </c>
      <c r="H285" s="15">
        <v>46142</v>
      </c>
      <c r="I285" s="14">
        <v>10</v>
      </c>
      <c r="J285" s="9">
        <v>51753.4</v>
      </c>
      <c r="K285" s="15">
        <v>45859</v>
      </c>
      <c r="L285" s="28" t="s">
        <v>40</v>
      </c>
    </row>
    <row r="286" spans="1:12" x14ac:dyDescent="0.3">
      <c r="A286" s="27" t="s">
        <v>101</v>
      </c>
      <c r="B286" s="14" t="s">
        <v>77</v>
      </c>
      <c r="C286" s="16">
        <v>17400</v>
      </c>
      <c r="D286" s="16"/>
      <c r="E286" s="16">
        <v>17400</v>
      </c>
      <c r="F286" s="14" t="s">
        <v>75</v>
      </c>
      <c r="G286" s="15">
        <v>46132</v>
      </c>
      <c r="H286" s="15">
        <v>46137</v>
      </c>
      <c r="I286" s="14">
        <v>5</v>
      </c>
      <c r="J286" s="9">
        <v>7844.93</v>
      </c>
      <c r="K286" s="15">
        <v>45984</v>
      </c>
      <c r="L286" s="28" t="s">
        <v>2</v>
      </c>
    </row>
    <row r="287" spans="1:12" x14ac:dyDescent="0.3">
      <c r="A287" s="27" t="s">
        <v>101</v>
      </c>
      <c r="B287" s="14" t="s">
        <v>77</v>
      </c>
      <c r="C287" s="16"/>
      <c r="D287" s="16"/>
      <c r="E287" s="16"/>
      <c r="F287" s="14" t="s">
        <v>73</v>
      </c>
      <c r="G287" s="15">
        <v>46132</v>
      </c>
      <c r="H287" s="15">
        <v>46134</v>
      </c>
      <c r="I287" s="14">
        <v>2</v>
      </c>
      <c r="J287" s="9">
        <v>0</v>
      </c>
      <c r="K287" s="15">
        <v>45902</v>
      </c>
      <c r="L287" s="28" t="s">
        <v>15</v>
      </c>
    </row>
    <row r="288" spans="1:12" x14ac:dyDescent="0.3">
      <c r="A288" s="27" t="s">
        <v>101</v>
      </c>
      <c r="B288" s="14" t="s">
        <v>77</v>
      </c>
      <c r="C288" s="9">
        <v>30492.5</v>
      </c>
      <c r="D288" s="9"/>
      <c r="E288" s="9">
        <v>30492.5</v>
      </c>
      <c r="F288" s="14" t="s">
        <v>75</v>
      </c>
      <c r="G288" s="15">
        <v>46132</v>
      </c>
      <c r="H288" s="15">
        <v>46147</v>
      </c>
      <c r="I288" s="14">
        <v>15</v>
      </c>
      <c r="J288" s="9">
        <v>13366.35</v>
      </c>
      <c r="K288" s="15">
        <v>45901</v>
      </c>
      <c r="L288" s="28" t="s">
        <v>37</v>
      </c>
    </row>
    <row r="289" spans="1:12" x14ac:dyDescent="0.3">
      <c r="A289" s="27" t="s">
        <v>101</v>
      </c>
      <c r="B289" s="14" t="s">
        <v>77</v>
      </c>
      <c r="C289" s="16"/>
      <c r="D289" s="16"/>
      <c r="E289" s="16"/>
      <c r="F289" s="14" t="s">
        <v>73</v>
      </c>
      <c r="G289" s="15">
        <v>46132</v>
      </c>
      <c r="H289" s="15">
        <v>46137</v>
      </c>
      <c r="I289" s="14">
        <v>5</v>
      </c>
      <c r="J289" s="9">
        <v>0</v>
      </c>
      <c r="K289" s="15">
        <v>45908</v>
      </c>
      <c r="L289" s="28" t="s">
        <v>38</v>
      </c>
    </row>
    <row r="290" spans="1:12" x14ac:dyDescent="0.3">
      <c r="A290" s="27" t="s">
        <v>101</v>
      </c>
      <c r="B290" s="14" t="s">
        <v>77</v>
      </c>
      <c r="C290" s="9">
        <v>44408</v>
      </c>
      <c r="D290" s="9">
        <v>11102</v>
      </c>
      <c r="E290" s="9">
        <v>33306</v>
      </c>
      <c r="F290" s="14" t="s">
        <v>72</v>
      </c>
      <c r="G290" s="15">
        <v>46136</v>
      </c>
      <c r="H290" s="15">
        <v>46152</v>
      </c>
      <c r="I290" s="14">
        <v>16</v>
      </c>
      <c r="J290" s="9">
        <v>24295.88</v>
      </c>
      <c r="K290" s="15">
        <v>45965</v>
      </c>
      <c r="L290" s="28" t="s">
        <v>18</v>
      </c>
    </row>
    <row r="291" spans="1:12" x14ac:dyDescent="0.3">
      <c r="A291" s="27" t="s">
        <v>101</v>
      </c>
      <c r="B291" s="14" t="s">
        <v>77</v>
      </c>
      <c r="C291" s="16"/>
      <c r="D291" s="16"/>
      <c r="E291" s="16"/>
      <c r="F291" s="16" t="s">
        <v>74</v>
      </c>
      <c r="G291" s="15">
        <v>46137</v>
      </c>
      <c r="H291" s="15">
        <v>46139</v>
      </c>
      <c r="I291" s="14">
        <v>2</v>
      </c>
      <c r="J291" s="9">
        <v>-1010.1</v>
      </c>
      <c r="K291" s="15">
        <v>45987</v>
      </c>
      <c r="L291" s="28" t="s">
        <v>15</v>
      </c>
    </row>
    <row r="292" spans="1:12" x14ac:dyDescent="0.3">
      <c r="A292" s="27" t="s">
        <v>101</v>
      </c>
      <c r="B292" s="14" t="s">
        <v>77</v>
      </c>
      <c r="C292" s="16"/>
      <c r="D292" s="16"/>
      <c r="E292" s="16"/>
      <c r="F292" s="14" t="s">
        <v>73</v>
      </c>
      <c r="G292" s="15">
        <v>46138</v>
      </c>
      <c r="H292" s="15">
        <v>46151</v>
      </c>
      <c r="I292" s="14">
        <v>13</v>
      </c>
      <c r="J292" s="9">
        <v>0</v>
      </c>
      <c r="K292" s="15">
        <v>45879</v>
      </c>
      <c r="L292" s="28" t="s">
        <v>18</v>
      </c>
    </row>
    <row r="293" spans="1:12" x14ac:dyDescent="0.3">
      <c r="A293" s="27" t="s">
        <v>101</v>
      </c>
      <c r="B293" s="14" t="s">
        <v>77</v>
      </c>
      <c r="C293" s="16"/>
      <c r="D293" s="16"/>
      <c r="E293" s="16"/>
      <c r="F293" s="16" t="s">
        <v>74</v>
      </c>
      <c r="G293" s="15">
        <v>46138</v>
      </c>
      <c r="H293" s="15">
        <v>46148</v>
      </c>
      <c r="I293" s="14">
        <v>10</v>
      </c>
      <c r="J293" s="9">
        <v>41170.6</v>
      </c>
      <c r="K293" s="15">
        <v>45993</v>
      </c>
      <c r="L293" s="28" t="s">
        <v>1</v>
      </c>
    </row>
    <row r="294" spans="1:12" x14ac:dyDescent="0.3">
      <c r="A294" s="27" t="s">
        <v>101</v>
      </c>
      <c r="B294" s="14" t="s">
        <v>77</v>
      </c>
      <c r="C294" s="9">
        <v>38962.639999999999</v>
      </c>
      <c r="D294" s="9">
        <v>9740.66</v>
      </c>
      <c r="E294" s="9">
        <v>29221.98</v>
      </c>
      <c r="F294" s="14" t="s">
        <v>72</v>
      </c>
      <c r="G294" s="15">
        <v>46138</v>
      </c>
      <c r="H294" s="15">
        <v>46147</v>
      </c>
      <c r="I294" s="14">
        <v>9</v>
      </c>
      <c r="J294" s="9">
        <v>21877.38</v>
      </c>
      <c r="K294" s="15">
        <v>45964</v>
      </c>
      <c r="L294" s="28" t="s">
        <v>18</v>
      </c>
    </row>
    <row r="295" spans="1:12" x14ac:dyDescent="0.3">
      <c r="A295" s="27" t="s">
        <v>101</v>
      </c>
      <c r="B295" s="14" t="s">
        <v>77</v>
      </c>
      <c r="C295" s="9">
        <v>54504.800000000003</v>
      </c>
      <c r="D295" s="9"/>
      <c r="E295" s="9">
        <v>54504.800000000003</v>
      </c>
      <c r="F295" s="14" t="s">
        <v>75</v>
      </c>
      <c r="G295" s="15">
        <v>46141</v>
      </c>
      <c r="H295" s="15">
        <v>46147</v>
      </c>
      <c r="I295" s="14">
        <v>6</v>
      </c>
      <c r="J295" s="9">
        <v>0</v>
      </c>
      <c r="K295" s="15">
        <v>45933</v>
      </c>
      <c r="L295" s="28" t="s">
        <v>5</v>
      </c>
    </row>
    <row r="296" spans="1:12" x14ac:dyDescent="0.3">
      <c r="A296" s="27" t="s">
        <v>101</v>
      </c>
      <c r="B296" s="14" t="s">
        <v>77</v>
      </c>
      <c r="C296" s="24">
        <v>38587.5</v>
      </c>
      <c r="D296" s="25">
        <v>9646.8799999999992</v>
      </c>
      <c r="E296" s="24">
        <v>28940.62</v>
      </c>
      <c r="F296" s="14" t="s">
        <v>72</v>
      </c>
      <c r="G296" s="15">
        <v>46143</v>
      </c>
      <c r="H296" s="15">
        <v>46152</v>
      </c>
      <c r="I296" s="14">
        <v>9</v>
      </c>
      <c r="J296" s="9">
        <v>15135.36</v>
      </c>
      <c r="K296" s="15">
        <v>45984</v>
      </c>
      <c r="L296" s="28" t="s">
        <v>1</v>
      </c>
    </row>
    <row r="297" spans="1:12" x14ac:dyDescent="0.3">
      <c r="A297" s="27" t="s">
        <v>101</v>
      </c>
      <c r="B297" s="14" t="s">
        <v>77</v>
      </c>
      <c r="C297" s="3">
        <v>53523</v>
      </c>
      <c r="D297" s="3"/>
      <c r="E297" s="3">
        <v>53523</v>
      </c>
      <c r="F297" s="14" t="s">
        <v>75</v>
      </c>
      <c r="G297" s="15">
        <v>46143</v>
      </c>
      <c r="H297" s="15">
        <v>46152</v>
      </c>
      <c r="I297" s="14">
        <v>9</v>
      </c>
      <c r="J297" s="9">
        <v>19395.09</v>
      </c>
      <c r="K297" s="15">
        <v>45944</v>
      </c>
      <c r="L297" s="28" t="s">
        <v>1</v>
      </c>
    </row>
    <row r="298" spans="1:12" x14ac:dyDescent="0.3">
      <c r="A298" s="27" t="s">
        <v>101</v>
      </c>
      <c r="B298" s="14" t="s">
        <v>77</v>
      </c>
      <c r="C298" s="3">
        <v>46738.5</v>
      </c>
      <c r="D298" s="3"/>
      <c r="E298" s="3">
        <v>46738.5</v>
      </c>
      <c r="F298" s="14" t="s">
        <v>75</v>
      </c>
      <c r="G298" s="15">
        <v>46145</v>
      </c>
      <c r="H298" s="15">
        <v>46158</v>
      </c>
      <c r="I298" s="14">
        <v>13</v>
      </c>
      <c r="J298" s="9">
        <v>22069.599999999999</v>
      </c>
      <c r="K298" s="15">
        <v>45991</v>
      </c>
      <c r="L298" s="28" t="s">
        <v>1</v>
      </c>
    </row>
    <row r="299" spans="1:12" x14ac:dyDescent="0.3">
      <c r="A299" s="27" t="s">
        <v>101</v>
      </c>
      <c r="B299" s="14" t="s">
        <v>77</v>
      </c>
      <c r="C299" s="16">
        <v>0</v>
      </c>
      <c r="D299" s="16"/>
      <c r="E299" s="16">
        <v>0</v>
      </c>
      <c r="F299" s="14" t="s">
        <v>73</v>
      </c>
      <c r="G299" s="15">
        <v>46146</v>
      </c>
      <c r="H299" s="15">
        <v>46148</v>
      </c>
      <c r="I299" s="14">
        <v>2</v>
      </c>
      <c r="J299" s="9">
        <v>0</v>
      </c>
      <c r="K299" s="15">
        <v>45953</v>
      </c>
      <c r="L299" s="28" t="s">
        <v>2</v>
      </c>
    </row>
    <row r="300" spans="1:12" x14ac:dyDescent="0.3">
      <c r="A300" s="27" t="s">
        <v>101</v>
      </c>
      <c r="B300" s="14" t="s">
        <v>77</v>
      </c>
      <c r="C300" s="3">
        <v>54574</v>
      </c>
      <c r="D300" s="3"/>
      <c r="E300" s="3">
        <v>54574</v>
      </c>
      <c r="F300" s="14" t="s">
        <v>75</v>
      </c>
      <c r="G300" s="15">
        <v>46146</v>
      </c>
      <c r="H300" s="15">
        <v>46158</v>
      </c>
      <c r="I300" s="14">
        <v>12</v>
      </c>
      <c r="J300" s="9">
        <v>25128.240000000002</v>
      </c>
      <c r="K300" s="15">
        <v>45951</v>
      </c>
      <c r="L300" s="28" t="s">
        <v>1</v>
      </c>
    </row>
    <row r="301" spans="1:12" x14ac:dyDescent="0.3">
      <c r="A301" s="27" t="s">
        <v>101</v>
      </c>
      <c r="B301" s="14" t="s">
        <v>77</v>
      </c>
      <c r="C301" s="3">
        <v>19353.89</v>
      </c>
      <c r="D301" s="3"/>
      <c r="E301" s="3">
        <v>19353.89</v>
      </c>
      <c r="F301" s="14" t="s">
        <v>75</v>
      </c>
      <c r="G301" s="15">
        <v>46147</v>
      </c>
      <c r="H301" s="15">
        <v>46151</v>
      </c>
      <c r="I301" s="14">
        <v>4</v>
      </c>
      <c r="J301" s="9">
        <v>11211.74</v>
      </c>
      <c r="K301" s="15">
        <v>45815</v>
      </c>
      <c r="L301" s="28" t="s">
        <v>15</v>
      </c>
    </row>
    <row r="302" spans="1:12" x14ac:dyDescent="0.3">
      <c r="A302" s="27" t="s">
        <v>101</v>
      </c>
      <c r="B302" s="14" t="s">
        <v>77</v>
      </c>
      <c r="C302" s="3">
        <v>52464.92</v>
      </c>
      <c r="D302" s="3"/>
      <c r="E302" s="3">
        <v>52464.92</v>
      </c>
      <c r="F302" s="14" t="s">
        <v>75</v>
      </c>
      <c r="G302" s="15">
        <v>46147</v>
      </c>
      <c r="H302" s="15">
        <v>46151</v>
      </c>
      <c r="I302" s="14">
        <v>4</v>
      </c>
      <c r="J302" s="9">
        <v>11284.8</v>
      </c>
      <c r="K302" s="15">
        <v>45838</v>
      </c>
      <c r="L302" s="28" t="s">
        <v>5</v>
      </c>
    </row>
    <row r="303" spans="1:12" x14ac:dyDescent="0.3">
      <c r="A303" s="27" t="s">
        <v>101</v>
      </c>
      <c r="B303" s="14" t="s">
        <v>77</v>
      </c>
      <c r="C303" s="3">
        <v>28320</v>
      </c>
      <c r="D303" s="3"/>
      <c r="E303" s="3">
        <v>28320</v>
      </c>
      <c r="F303" s="14" t="s">
        <v>75</v>
      </c>
      <c r="G303" s="15">
        <v>46148</v>
      </c>
      <c r="H303" s="15">
        <v>46163</v>
      </c>
      <c r="I303" s="14">
        <v>15</v>
      </c>
      <c r="J303" s="9">
        <v>11888.1</v>
      </c>
      <c r="K303" s="15">
        <v>45919</v>
      </c>
      <c r="L303" s="28" t="s">
        <v>13</v>
      </c>
    </row>
    <row r="304" spans="1:12" x14ac:dyDescent="0.3">
      <c r="A304" s="27" t="s">
        <v>101</v>
      </c>
      <c r="B304" s="14" t="s">
        <v>77</v>
      </c>
      <c r="C304" s="3">
        <v>12548.2</v>
      </c>
      <c r="D304" s="3"/>
      <c r="E304" s="3">
        <v>12548.2</v>
      </c>
      <c r="F304" s="14" t="s">
        <v>80</v>
      </c>
      <c r="G304" s="15">
        <v>46148</v>
      </c>
      <c r="H304" s="15">
        <v>46153</v>
      </c>
      <c r="I304" s="14">
        <v>5</v>
      </c>
      <c r="J304" s="9">
        <v>8712.65</v>
      </c>
      <c r="K304" s="15">
        <v>45998</v>
      </c>
      <c r="L304" s="28" t="s">
        <v>9</v>
      </c>
    </row>
    <row r="305" spans="1:12" x14ac:dyDescent="0.3">
      <c r="A305" s="27" t="s">
        <v>101</v>
      </c>
      <c r="B305" s="14" t="s">
        <v>77</v>
      </c>
      <c r="C305" s="3">
        <v>14930</v>
      </c>
      <c r="D305" s="3"/>
      <c r="E305" s="3">
        <v>14930</v>
      </c>
      <c r="F305" s="14" t="s">
        <v>75</v>
      </c>
      <c r="G305" s="15">
        <v>46148</v>
      </c>
      <c r="H305" s="15">
        <v>46151</v>
      </c>
      <c r="I305" s="14">
        <v>3</v>
      </c>
      <c r="J305" s="9">
        <v>9338.01</v>
      </c>
      <c r="K305" s="15">
        <v>45873</v>
      </c>
      <c r="L305" s="28" t="s">
        <v>1</v>
      </c>
    </row>
    <row r="306" spans="1:12" x14ac:dyDescent="0.3">
      <c r="A306" s="27" t="s">
        <v>101</v>
      </c>
      <c r="B306" s="14" t="s">
        <v>77</v>
      </c>
      <c r="C306" s="16"/>
      <c r="D306" s="16"/>
      <c r="E306" s="16"/>
      <c r="F306" s="14" t="s">
        <v>73</v>
      </c>
      <c r="G306" s="15">
        <v>46151</v>
      </c>
      <c r="H306" s="15">
        <v>46153</v>
      </c>
      <c r="I306" s="14">
        <v>2</v>
      </c>
      <c r="J306" s="9">
        <v>0</v>
      </c>
      <c r="K306" s="15">
        <v>45911</v>
      </c>
      <c r="L306" s="28" t="s">
        <v>2</v>
      </c>
    </row>
    <row r="307" spans="1:12" x14ac:dyDescent="0.3">
      <c r="A307" s="27" t="s">
        <v>101</v>
      </c>
      <c r="B307" s="14" t="s">
        <v>77</v>
      </c>
      <c r="C307" s="3">
        <v>76640</v>
      </c>
      <c r="D307" s="3"/>
      <c r="E307" s="3">
        <v>76640</v>
      </c>
      <c r="F307" s="14" t="s">
        <v>75</v>
      </c>
      <c r="G307" s="15">
        <v>46152</v>
      </c>
      <c r="H307" s="15">
        <v>46162</v>
      </c>
      <c r="I307" s="14">
        <v>10</v>
      </c>
      <c r="J307" s="9">
        <v>22824.400000000001</v>
      </c>
      <c r="K307" s="15">
        <v>45972</v>
      </c>
      <c r="L307" s="28" t="s">
        <v>37</v>
      </c>
    </row>
    <row r="308" spans="1:12" x14ac:dyDescent="0.3">
      <c r="A308" s="27" t="s">
        <v>101</v>
      </c>
      <c r="B308" s="14" t="s">
        <v>77</v>
      </c>
      <c r="C308" s="3">
        <v>30866.49</v>
      </c>
      <c r="D308" s="3"/>
      <c r="E308" s="3">
        <v>30866.49</v>
      </c>
      <c r="F308" s="14" t="s">
        <v>75</v>
      </c>
      <c r="G308" s="15">
        <v>46152</v>
      </c>
      <c r="H308" s="15">
        <v>46159</v>
      </c>
      <c r="I308" s="14">
        <v>7</v>
      </c>
      <c r="J308" s="9">
        <v>18611.46</v>
      </c>
      <c r="K308" s="15">
        <v>45874</v>
      </c>
      <c r="L308" s="28" t="s">
        <v>15</v>
      </c>
    </row>
    <row r="309" spans="1:12" x14ac:dyDescent="0.3">
      <c r="A309" s="27" t="s">
        <v>101</v>
      </c>
      <c r="B309" s="14" t="s">
        <v>77</v>
      </c>
      <c r="C309" s="3">
        <v>12247.08</v>
      </c>
      <c r="D309" s="3"/>
      <c r="E309" s="3">
        <v>12247.08</v>
      </c>
      <c r="F309" s="14" t="s">
        <v>75</v>
      </c>
      <c r="G309" s="15">
        <v>46153</v>
      </c>
      <c r="H309" s="15">
        <v>46156</v>
      </c>
      <c r="I309" s="14">
        <v>3</v>
      </c>
      <c r="J309" s="9">
        <v>6274.47</v>
      </c>
      <c r="K309" s="15">
        <v>45801</v>
      </c>
      <c r="L309" s="28" t="s">
        <v>38</v>
      </c>
    </row>
    <row r="310" spans="1:12" x14ac:dyDescent="0.3">
      <c r="A310" s="27" t="s">
        <v>101</v>
      </c>
      <c r="B310" s="14" t="s">
        <v>77</v>
      </c>
      <c r="C310" s="16"/>
      <c r="D310" s="16"/>
      <c r="E310" s="16"/>
      <c r="F310" s="14" t="s">
        <v>73</v>
      </c>
      <c r="G310" s="15">
        <v>46160</v>
      </c>
      <c r="H310" s="15">
        <v>46162</v>
      </c>
      <c r="I310" s="14">
        <v>2</v>
      </c>
      <c r="J310" s="9">
        <v>0</v>
      </c>
      <c r="K310" s="15">
        <v>45973</v>
      </c>
      <c r="L310" s="28" t="s">
        <v>1</v>
      </c>
    </row>
    <row r="311" spans="1:12" x14ac:dyDescent="0.3">
      <c r="A311" s="27" t="s">
        <v>101</v>
      </c>
      <c r="B311" s="14" t="s">
        <v>77</v>
      </c>
      <c r="C311" s="3">
        <v>16220.3</v>
      </c>
      <c r="D311" s="3"/>
      <c r="E311" s="3">
        <v>16220.3</v>
      </c>
      <c r="F311" s="14" t="s">
        <v>75</v>
      </c>
      <c r="G311" s="15">
        <v>46161</v>
      </c>
      <c r="H311" s="15">
        <v>46168</v>
      </c>
      <c r="I311" s="14">
        <v>7</v>
      </c>
      <c r="J311" s="9">
        <v>7434.63</v>
      </c>
      <c r="K311" s="15">
        <v>45944</v>
      </c>
      <c r="L311" s="28" t="s">
        <v>2</v>
      </c>
    </row>
    <row r="312" spans="1:12" x14ac:dyDescent="0.3">
      <c r="A312" s="27" t="s">
        <v>101</v>
      </c>
      <c r="B312" s="14" t="s">
        <v>77</v>
      </c>
      <c r="C312" s="16"/>
      <c r="D312" s="16"/>
      <c r="E312" s="16"/>
      <c r="F312" s="14" t="s">
        <v>73</v>
      </c>
      <c r="G312" s="15">
        <v>46164</v>
      </c>
      <c r="H312" s="15">
        <v>46168</v>
      </c>
      <c r="I312" s="14">
        <v>4</v>
      </c>
      <c r="J312" s="9">
        <v>0</v>
      </c>
      <c r="K312" s="15">
        <v>45987</v>
      </c>
      <c r="L312" s="28" t="s">
        <v>8</v>
      </c>
    </row>
    <row r="313" spans="1:12" x14ac:dyDescent="0.3">
      <c r="A313" s="27" t="s">
        <v>101</v>
      </c>
      <c r="B313" s="14" t="s">
        <v>77</v>
      </c>
      <c r="C313" s="3">
        <v>11268</v>
      </c>
      <c r="D313" s="3"/>
      <c r="E313" s="3">
        <v>11268</v>
      </c>
      <c r="F313" s="14" t="s">
        <v>75</v>
      </c>
      <c r="G313" s="15">
        <v>46165</v>
      </c>
      <c r="H313" s="15">
        <v>46172</v>
      </c>
      <c r="I313" s="14">
        <v>7</v>
      </c>
      <c r="J313" s="9">
        <v>5628.05</v>
      </c>
      <c r="K313" s="15">
        <v>45989</v>
      </c>
      <c r="L313" s="28" t="s">
        <v>13</v>
      </c>
    </row>
    <row r="314" spans="1:12" x14ac:dyDescent="0.3">
      <c r="A314" s="27" t="s">
        <v>101</v>
      </c>
      <c r="B314" s="14" t="s">
        <v>77</v>
      </c>
      <c r="C314" s="3">
        <v>43505.93</v>
      </c>
      <c r="D314" s="3">
        <v>11393.48</v>
      </c>
      <c r="E314" s="3">
        <v>32112.45</v>
      </c>
      <c r="F314" s="14" t="s">
        <v>72</v>
      </c>
      <c r="G314" s="15">
        <v>46165</v>
      </c>
      <c r="H314" s="15">
        <v>46172</v>
      </c>
      <c r="I314" s="14">
        <v>7</v>
      </c>
      <c r="J314" s="9">
        <v>23864.82</v>
      </c>
      <c r="K314" s="15">
        <v>45993</v>
      </c>
      <c r="L314" s="28" t="s">
        <v>13</v>
      </c>
    </row>
    <row r="315" spans="1:12" x14ac:dyDescent="0.3">
      <c r="A315" s="27" t="s">
        <v>101</v>
      </c>
      <c r="B315" s="14" t="s">
        <v>77</v>
      </c>
      <c r="C315" s="3">
        <v>29543</v>
      </c>
      <c r="D315" s="3"/>
      <c r="E315" s="3">
        <v>29543</v>
      </c>
      <c r="F315" s="14" t="s">
        <v>80</v>
      </c>
      <c r="G315" s="15">
        <v>46166</v>
      </c>
      <c r="H315" s="15">
        <v>46175</v>
      </c>
      <c r="I315" s="14">
        <v>9</v>
      </c>
      <c r="J315" s="9">
        <v>7150.32</v>
      </c>
      <c r="K315" s="15">
        <v>45930</v>
      </c>
      <c r="L315" s="28" t="s">
        <v>13</v>
      </c>
    </row>
    <row r="316" spans="1:12" x14ac:dyDescent="0.3">
      <c r="A316" s="27" t="s">
        <v>101</v>
      </c>
      <c r="B316" s="14" t="s">
        <v>77</v>
      </c>
      <c r="C316" s="3">
        <v>27735</v>
      </c>
      <c r="D316" s="3"/>
      <c r="E316" s="3">
        <v>27735</v>
      </c>
      <c r="F316" s="14" t="s">
        <v>75</v>
      </c>
      <c r="G316" s="15">
        <v>46167</v>
      </c>
      <c r="H316" s="15">
        <v>46173</v>
      </c>
      <c r="I316" s="14">
        <v>6</v>
      </c>
      <c r="J316" s="9">
        <v>12082.32</v>
      </c>
      <c r="K316" s="15">
        <v>45885</v>
      </c>
      <c r="L316" s="28" t="s">
        <v>2</v>
      </c>
    </row>
    <row r="317" spans="1:12" x14ac:dyDescent="0.3">
      <c r="A317" s="27" t="s">
        <v>101</v>
      </c>
      <c r="B317" s="14" t="s">
        <v>77</v>
      </c>
      <c r="C317" s="3">
        <v>49077</v>
      </c>
      <c r="D317" s="3"/>
      <c r="E317" s="3">
        <v>49077</v>
      </c>
      <c r="F317" s="14" t="s">
        <v>79</v>
      </c>
      <c r="G317" s="15">
        <v>46167</v>
      </c>
      <c r="H317" s="15">
        <v>46178</v>
      </c>
      <c r="I317" s="14">
        <v>11</v>
      </c>
      <c r="J317" s="9">
        <v>27279.72</v>
      </c>
      <c r="K317" s="15">
        <v>45831</v>
      </c>
      <c r="L317" s="28" t="s">
        <v>13</v>
      </c>
    </row>
    <row r="318" spans="1:12" x14ac:dyDescent="0.3">
      <c r="A318" s="27" t="s">
        <v>101</v>
      </c>
      <c r="B318" s="14" t="s">
        <v>77</v>
      </c>
      <c r="C318" s="16">
        <v>14864.19</v>
      </c>
      <c r="D318" s="16"/>
      <c r="E318" s="16">
        <v>14864.19</v>
      </c>
      <c r="F318" s="14" t="s">
        <v>75</v>
      </c>
      <c r="G318" s="15">
        <v>46170</v>
      </c>
      <c r="H318" s="15">
        <v>46179</v>
      </c>
      <c r="I318" s="14">
        <v>9</v>
      </c>
      <c r="J318" s="9">
        <v>0</v>
      </c>
      <c r="K318" s="15">
        <v>45999</v>
      </c>
      <c r="L318" s="28" t="s">
        <v>5</v>
      </c>
    </row>
    <row r="319" spans="1:12" x14ac:dyDescent="0.3">
      <c r="A319" s="27" t="s">
        <v>101</v>
      </c>
      <c r="B319" s="14" t="s">
        <v>77</v>
      </c>
      <c r="C319" s="16">
        <v>3563.75</v>
      </c>
      <c r="D319" s="16"/>
      <c r="E319" s="16">
        <v>3563.75</v>
      </c>
      <c r="F319" s="14" t="s">
        <v>75</v>
      </c>
      <c r="G319" s="15">
        <v>46180</v>
      </c>
      <c r="H319" s="15">
        <v>46181</v>
      </c>
      <c r="I319" s="14">
        <v>1</v>
      </c>
      <c r="J319" s="9">
        <v>770.57</v>
      </c>
      <c r="K319" s="15">
        <v>45864</v>
      </c>
      <c r="L319" s="28" t="s">
        <v>2</v>
      </c>
    </row>
    <row r="320" spans="1:12" x14ac:dyDescent="0.3">
      <c r="A320" s="27" t="s">
        <v>101</v>
      </c>
      <c r="B320" s="14" t="s">
        <v>77</v>
      </c>
      <c r="C320" s="16">
        <v>14864.19</v>
      </c>
      <c r="D320" s="16"/>
      <c r="E320" s="16">
        <v>14864.19</v>
      </c>
      <c r="F320" s="14" t="s">
        <v>75</v>
      </c>
      <c r="G320" s="15">
        <v>46180</v>
      </c>
      <c r="H320" s="15">
        <v>46189</v>
      </c>
      <c r="I320" s="14">
        <v>9</v>
      </c>
      <c r="J320" s="9">
        <v>6393.6</v>
      </c>
      <c r="K320" s="15">
        <v>45999</v>
      </c>
      <c r="L320" s="28" t="s">
        <v>5</v>
      </c>
    </row>
    <row r="321" spans="1:12" x14ac:dyDescent="0.3">
      <c r="A321" s="27" t="s">
        <v>101</v>
      </c>
      <c r="B321" s="14" t="s">
        <v>77</v>
      </c>
      <c r="C321" s="16">
        <v>14973.75</v>
      </c>
      <c r="D321" s="16"/>
      <c r="E321" s="16">
        <v>14973.75</v>
      </c>
      <c r="F321" s="14" t="s">
        <v>75</v>
      </c>
      <c r="G321" s="15">
        <v>46181</v>
      </c>
      <c r="H321" s="15">
        <v>46190</v>
      </c>
      <c r="I321" s="14">
        <v>9</v>
      </c>
      <c r="J321" s="9">
        <v>6935.13</v>
      </c>
      <c r="K321" s="15">
        <v>45864</v>
      </c>
      <c r="L321" s="28" t="s">
        <v>2</v>
      </c>
    </row>
    <row r="322" spans="1:12" x14ac:dyDescent="0.3">
      <c r="A322" s="27" t="s">
        <v>101</v>
      </c>
      <c r="B322" s="14" t="s">
        <v>77</v>
      </c>
      <c r="C322" s="3">
        <v>9544</v>
      </c>
      <c r="D322" s="3"/>
      <c r="E322" s="3">
        <v>9544</v>
      </c>
      <c r="F322" s="14" t="s">
        <v>75</v>
      </c>
      <c r="G322" s="15">
        <v>46183</v>
      </c>
      <c r="H322" s="15">
        <v>46187</v>
      </c>
      <c r="I322" s="14">
        <v>4</v>
      </c>
      <c r="J322" s="9">
        <v>3837</v>
      </c>
      <c r="K322" s="15">
        <v>45894</v>
      </c>
      <c r="L322" s="28" t="s">
        <v>13</v>
      </c>
    </row>
    <row r="323" spans="1:12" x14ac:dyDescent="0.3">
      <c r="A323" s="27" t="s">
        <v>101</v>
      </c>
      <c r="B323" s="14" t="s">
        <v>77</v>
      </c>
      <c r="C323" s="16">
        <v>12097.3</v>
      </c>
      <c r="D323" s="16"/>
      <c r="E323" s="16">
        <v>12097.3</v>
      </c>
      <c r="F323" s="14" t="s">
        <v>75</v>
      </c>
      <c r="G323" s="15">
        <v>46193</v>
      </c>
      <c r="H323" s="15">
        <v>46199</v>
      </c>
      <c r="I323" s="14">
        <v>6</v>
      </c>
      <c r="J323" s="9">
        <v>4567.8599999999997</v>
      </c>
      <c r="K323" s="15">
        <v>45828</v>
      </c>
      <c r="L323" s="28" t="s">
        <v>40</v>
      </c>
    </row>
    <row r="324" spans="1:12" x14ac:dyDescent="0.3">
      <c r="A324" s="27" t="s">
        <v>101</v>
      </c>
      <c r="B324" s="14" t="s">
        <v>77</v>
      </c>
      <c r="C324" s="16">
        <v>28839.759999999998</v>
      </c>
      <c r="D324" s="16"/>
      <c r="E324" s="16">
        <v>28839.759999999998</v>
      </c>
      <c r="F324" s="14" t="s">
        <v>75</v>
      </c>
      <c r="G324" s="15">
        <v>46193</v>
      </c>
      <c r="H324" s="15">
        <v>46199</v>
      </c>
      <c r="I324" s="14">
        <v>6</v>
      </c>
      <c r="J324" s="9">
        <v>0</v>
      </c>
      <c r="K324" s="15">
        <v>45835</v>
      </c>
      <c r="L324" s="28" t="s">
        <v>27</v>
      </c>
    </row>
    <row r="325" spans="1:12" x14ac:dyDescent="0.3">
      <c r="A325" s="27" t="s">
        <v>101</v>
      </c>
      <c r="B325" s="14" t="s">
        <v>77</v>
      </c>
      <c r="C325" s="3">
        <v>209586.7</v>
      </c>
      <c r="D325" s="3"/>
      <c r="E325" s="3">
        <v>209586.7</v>
      </c>
      <c r="F325" s="14" t="s">
        <v>75</v>
      </c>
      <c r="G325" s="15">
        <v>46194</v>
      </c>
      <c r="H325" s="15">
        <v>46201</v>
      </c>
      <c r="I325" s="14">
        <v>7</v>
      </c>
      <c r="J325" s="9">
        <v>55863.22</v>
      </c>
      <c r="K325" s="15">
        <v>45806</v>
      </c>
      <c r="L325" s="28" t="s">
        <v>2</v>
      </c>
    </row>
    <row r="326" spans="1:12" x14ac:dyDescent="0.3">
      <c r="A326" s="27" t="s">
        <v>101</v>
      </c>
      <c r="B326" s="14" t="s">
        <v>77</v>
      </c>
      <c r="C326" s="16">
        <v>56917.75</v>
      </c>
      <c r="D326" s="16"/>
      <c r="E326" s="16">
        <v>56917.75</v>
      </c>
      <c r="F326" s="14" t="s">
        <v>75</v>
      </c>
      <c r="G326" s="15">
        <v>46199</v>
      </c>
      <c r="H326" s="15">
        <v>46204</v>
      </c>
      <c r="I326" s="14">
        <v>5</v>
      </c>
      <c r="J326" s="9">
        <v>0</v>
      </c>
      <c r="K326" s="15">
        <v>45834</v>
      </c>
      <c r="L326" s="28" t="s">
        <v>27</v>
      </c>
    </row>
    <row r="327" spans="1:12" x14ac:dyDescent="0.3">
      <c r="A327" s="27" t="s">
        <v>101</v>
      </c>
      <c r="B327" s="14" t="s">
        <v>77</v>
      </c>
      <c r="C327" s="3">
        <v>23948</v>
      </c>
      <c r="D327" s="3">
        <v>5987</v>
      </c>
      <c r="E327" s="3">
        <v>17961</v>
      </c>
      <c r="F327" s="14" t="s">
        <v>72</v>
      </c>
      <c r="G327" s="15">
        <v>46201</v>
      </c>
      <c r="H327" s="15">
        <v>46211</v>
      </c>
      <c r="I327" s="14">
        <v>10</v>
      </c>
      <c r="J327" s="9">
        <v>8614</v>
      </c>
      <c r="K327" s="15">
        <v>45971</v>
      </c>
      <c r="L327" s="28" t="s">
        <v>38</v>
      </c>
    </row>
    <row r="328" spans="1:12" x14ac:dyDescent="0.3">
      <c r="A328" s="27" t="s">
        <v>101</v>
      </c>
      <c r="B328" s="14" t="s">
        <v>77</v>
      </c>
      <c r="C328" s="3">
        <v>9427.24</v>
      </c>
      <c r="D328" s="3"/>
      <c r="E328" s="3">
        <v>9427.24</v>
      </c>
      <c r="F328" s="14" t="s">
        <v>75</v>
      </c>
      <c r="G328" s="15">
        <v>46203</v>
      </c>
      <c r="H328" s="15">
        <v>46205</v>
      </c>
      <c r="I328" s="14">
        <v>2</v>
      </c>
      <c r="J328" s="9">
        <v>4697.9799999999996</v>
      </c>
      <c r="K328" s="15">
        <v>45964</v>
      </c>
      <c r="L328" s="28" t="s">
        <v>16</v>
      </c>
    </row>
    <row r="329" spans="1:12" x14ac:dyDescent="0.3">
      <c r="A329" s="27" t="s">
        <v>101</v>
      </c>
      <c r="B329" s="14" t="s">
        <v>77</v>
      </c>
      <c r="C329" s="16">
        <v>12935.6</v>
      </c>
      <c r="D329" s="16"/>
      <c r="E329" s="16">
        <v>12935.6</v>
      </c>
      <c r="F329" s="14" t="s">
        <v>75</v>
      </c>
      <c r="G329" s="15">
        <v>46204</v>
      </c>
      <c r="H329" s="15">
        <v>46211</v>
      </c>
      <c r="I329" s="14">
        <v>7</v>
      </c>
      <c r="J329" s="9">
        <v>0</v>
      </c>
      <c r="K329" s="15">
        <v>45919</v>
      </c>
      <c r="L329" s="28" t="s">
        <v>40</v>
      </c>
    </row>
    <row r="330" spans="1:12" x14ac:dyDescent="0.3">
      <c r="A330" s="27" t="s">
        <v>101</v>
      </c>
      <c r="B330" s="14" t="s">
        <v>77</v>
      </c>
      <c r="C330" s="16">
        <v>73739.360000000001</v>
      </c>
      <c r="D330" s="16"/>
      <c r="E330" s="16">
        <v>73739.360000000001</v>
      </c>
      <c r="F330" s="14" t="s">
        <v>75</v>
      </c>
      <c r="G330" s="15">
        <v>46204</v>
      </c>
      <c r="H330" s="15">
        <v>46220</v>
      </c>
      <c r="I330" s="14">
        <v>16</v>
      </c>
      <c r="J330" s="9">
        <v>0</v>
      </c>
      <c r="K330" s="15">
        <v>45919</v>
      </c>
      <c r="L330" s="28" t="s">
        <v>27</v>
      </c>
    </row>
    <row r="331" spans="1:12" x14ac:dyDescent="0.3">
      <c r="A331" s="27" t="s">
        <v>101</v>
      </c>
      <c r="B331" s="14" t="s">
        <v>77</v>
      </c>
      <c r="C331" s="3">
        <v>25090</v>
      </c>
      <c r="D331" s="3"/>
      <c r="E331" s="3">
        <v>25090</v>
      </c>
      <c r="F331" s="14" t="s">
        <v>75</v>
      </c>
      <c r="G331" s="15">
        <v>46207</v>
      </c>
      <c r="H331" s="15">
        <v>46215</v>
      </c>
      <c r="I331" s="14">
        <v>8</v>
      </c>
      <c r="J331" s="9">
        <v>5641.04</v>
      </c>
      <c r="K331" s="15">
        <v>45895</v>
      </c>
      <c r="L331" s="28" t="s">
        <v>2</v>
      </c>
    </row>
    <row r="332" spans="1:12" x14ac:dyDescent="0.3">
      <c r="A332" s="27" t="s">
        <v>101</v>
      </c>
      <c r="B332" s="14" t="s">
        <v>77</v>
      </c>
      <c r="C332" s="16"/>
      <c r="D332" s="16"/>
      <c r="E332" s="16"/>
      <c r="F332" s="14" t="s">
        <v>73</v>
      </c>
      <c r="G332" s="15">
        <v>46210</v>
      </c>
      <c r="H332" s="15">
        <v>46224</v>
      </c>
      <c r="I332" s="14">
        <v>14</v>
      </c>
      <c r="J332" s="9">
        <v>0</v>
      </c>
      <c r="K332" s="15">
        <v>45899</v>
      </c>
      <c r="L332" s="28" t="s">
        <v>16</v>
      </c>
    </row>
    <row r="333" spans="1:12" x14ac:dyDescent="0.3">
      <c r="A333" s="27" t="s">
        <v>101</v>
      </c>
      <c r="B333" s="14" t="s">
        <v>77</v>
      </c>
      <c r="C333" s="16">
        <v>14523.94</v>
      </c>
      <c r="D333" s="16"/>
      <c r="E333" s="16">
        <v>14523.94</v>
      </c>
      <c r="F333" s="14" t="s">
        <v>75</v>
      </c>
      <c r="G333" s="15">
        <v>46210</v>
      </c>
      <c r="H333" s="15">
        <v>46216</v>
      </c>
      <c r="I333" s="14">
        <v>6</v>
      </c>
      <c r="J333" s="9">
        <v>6759.84</v>
      </c>
      <c r="K333" s="15">
        <v>45958</v>
      </c>
      <c r="L333" s="28" t="s">
        <v>1</v>
      </c>
    </row>
    <row r="334" spans="1:12" x14ac:dyDescent="0.3">
      <c r="A334" s="27" t="s">
        <v>101</v>
      </c>
      <c r="B334" s="14" t="s">
        <v>77</v>
      </c>
      <c r="C334" s="3">
        <v>81060</v>
      </c>
      <c r="D334" s="3"/>
      <c r="E334" s="3">
        <v>81060</v>
      </c>
      <c r="F334" s="14" t="s">
        <v>75</v>
      </c>
      <c r="G334" s="15">
        <v>46210</v>
      </c>
      <c r="H334" s="15">
        <v>46228</v>
      </c>
      <c r="I334" s="14">
        <v>18</v>
      </c>
      <c r="J334" s="9">
        <v>0</v>
      </c>
      <c r="K334" s="15">
        <v>45876</v>
      </c>
      <c r="L334" s="28" t="s">
        <v>18</v>
      </c>
    </row>
    <row r="335" spans="1:12" x14ac:dyDescent="0.3">
      <c r="A335" s="27" t="s">
        <v>101</v>
      </c>
      <c r="B335" s="14" t="s">
        <v>77</v>
      </c>
      <c r="C335" s="16">
        <v>14049</v>
      </c>
      <c r="D335" s="16"/>
      <c r="E335" s="16">
        <v>14049</v>
      </c>
      <c r="F335" s="14" t="s">
        <v>75</v>
      </c>
      <c r="G335" s="15">
        <v>46210</v>
      </c>
      <c r="H335" s="15">
        <v>46216</v>
      </c>
      <c r="I335" s="14">
        <v>6</v>
      </c>
      <c r="J335" s="9">
        <v>7494.18</v>
      </c>
      <c r="K335" s="15">
        <v>45958</v>
      </c>
      <c r="L335" s="28" t="s">
        <v>1</v>
      </c>
    </row>
    <row r="336" spans="1:12" x14ac:dyDescent="0.3">
      <c r="A336" s="27" t="s">
        <v>101</v>
      </c>
      <c r="B336" s="14" t="s">
        <v>77</v>
      </c>
      <c r="C336" s="16">
        <v>14523.94</v>
      </c>
      <c r="D336" s="16"/>
      <c r="E336" s="16">
        <v>14523.94</v>
      </c>
      <c r="F336" s="14" t="s">
        <v>75</v>
      </c>
      <c r="G336" s="15">
        <v>46210</v>
      </c>
      <c r="H336" s="15">
        <v>46216</v>
      </c>
      <c r="I336" s="14">
        <v>6</v>
      </c>
      <c r="J336" s="9">
        <v>6759.84</v>
      </c>
      <c r="K336" s="15">
        <v>45958</v>
      </c>
      <c r="L336" s="28" t="s">
        <v>1</v>
      </c>
    </row>
    <row r="337" spans="1:12" x14ac:dyDescent="0.3">
      <c r="A337" s="27" t="s">
        <v>101</v>
      </c>
      <c r="B337" s="14" t="s">
        <v>77</v>
      </c>
      <c r="C337" s="16">
        <v>19314</v>
      </c>
      <c r="D337" s="16"/>
      <c r="E337" s="16">
        <v>19314</v>
      </c>
      <c r="F337" s="14" t="s">
        <v>75</v>
      </c>
      <c r="G337" s="15">
        <v>46213</v>
      </c>
      <c r="H337" s="15">
        <v>46220</v>
      </c>
      <c r="I337" s="14">
        <v>7</v>
      </c>
      <c r="J337" s="9">
        <v>7391.58</v>
      </c>
      <c r="K337" s="15">
        <v>45953</v>
      </c>
      <c r="L337" s="28" t="s">
        <v>44</v>
      </c>
    </row>
    <row r="338" spans="1:12" x14ac:dyDescent="0.3">
      <c r="A338" s="27" t="s">
        <v>101</v>
      </c>
      <c r="B338" s="14" t="s">
        <v>77</v>
      </c>
      <c r="C338" s="3">
        <v>25571.9</v>
      </c>
      <c r="D338" s="3"/>
      <c r="E338" s="3">
        <v>25571.9</v>
      </c>
      <c r="F338" s="14" t="s">
        <v>75</v>
      </c>
      <c r="G338" s="15">
        <v>46213</v>
      </c>
      <c r="H338" s="15">
        <v>46222</v>
      </c>
      <c r="I338" s="14">
        <v>9</v>
      </c>
      <c r="J338" s="9">
        <v>12236.58</v>
      </c>
      <c r="K338" s="15">
        <v>45848</v>
      </c>
      <c r="L338" s="28" t="s">
        <v>38</v>
      </c>
    </row>
    <row r="339" spans="1:12" x14ac:dyDescent="0.3">
      <c r="A339" s="27" t="s">
        <v>101</v>
      </c>
      <c r="B339" s="14" t="s">
        <v>77</v>
      </c>
      <c r="C339" s="16">
        <v>13302</v>
      </c>
      <c r="D339" s="16"/>
      <c r="E339" s="16">
        <v>13302</v>
      </c>
      <c r="F339" s="14" t="s">
        <v>75</v>
      </c>
      <c r="G339" s="15">
        <v>46213</v>
      </c>
      <c r="H339" s="15">
        <v>46220</v>
      </c>
      <c r="I339" s="14">
        <v>7</v>
      </c>
      <c r="J339" s="9">
        <v>4691.12</v>
      </c>
      <c r="K339" s="15">
        <v>45834</v>
      </c>
      <c r="L339" s="28" t="s">
        <v>40</v>
      </c>
    </row>
    <row r="340" spans="1:12" x14ac:dyDescent="0.3">
      <c r="A340" s="27" t="s">
        <v>101</v>
      </c>
      <c r="B340" s="14" t="s">
        <v>77</v>
      </c>
      <c r="C340" s="16">
        <v>12733</v>
      </c>
      <c r="D340" s="16"/>
      <c r="E340" s="16">
        <v>12733</v>
      </c>
      <c r="F340" s="14" t="s">
        <v>75</v>
      </c>
      <c r="G340" s="15">
        <v>46219</v>
      </c>
      <c r="H340" s="15">
        <v>46223</v>
      </c>
      <c r="I340" s="14">
        <v>4</v>
      </c>
      <c r="J340" s="9">
        <v>4122.76</v>
      </c>
      <c r="K340" s="15">
        <v>45971</v>
      </c>
      <c r="L340" s="28" t="s">
        <v>44</v>
      </c>
    </row>
    <row r="341" spans="1:12" x14ac:dyDescent="0.3">
      <c r="A341" s="27" t="s">
        <v>101</v>
      </c>
      <c r="B341" s="14" t="s">
        <v>77</v>
      </c>
      <c r="C341" s="3">
        <v>25985.279999999999</v>
      </c>
      <c r="D341" s="3">
        <v>2598.5300000000002</v>
      </c>
      <c r="E341" s="3">
        <v>23386.75</v>
      </c>
      <c r="F341" s="14" t="s">
        <v>72</v>
      </c>
      <c r="G341" s="15">
        <v>46219</v>
      </c>
      <c r="H341" s="15">
        <v>46231</v>
      </c>
      <c r="I341" s="14">
        <v>12</v>
      </c>
      <c r="J341" s="9">
        <v>14541.6</v>
      </c>
      <c r="K341" s="15">
        <v>45896</v>
      </c>
      <c r="L341" s="28" t="s">
        <v>2</v>
      </c>
    </row>
    <row r="342" spans="1:12" x14ac:dyDescent="0.3">
      <c r="A342" s="27" t="s">
        <v>101</v>
      </c>
      <c r="B342" s="14" t="s">
        <v>77</v>
      </c>
      <c r="C342" s="16">
        <v>16464</v>
      </c>
      <c r="D342" s="16"/>
      <c r="E342" s="16">
        <v>16464</v>
      </c>
      <c r="F342" s="14" t="s">
        <v>75</v>
      </c>
      <c r="G342" s="15">
        <v>46220</v>
      </c>
      <c r="H342" s="15">
        <v>46227</v>
      </c>
      <c r="I342" s="14">
        <v>7</v>
      </c>
      <c r="J342" s="9">
        <v>7391.58</v>
      </c>
      <c r="K342" s="15">
        <v>45953</v>
      </c>
      <c r="L342" s="28" t="s">
        <v>44</v>
      </c>
    </row>
    <row r="343" spans="1:12" x14ac:dyDescent="0.3">
      <c r="A343" s="27" t="s">
        <v>101</v>
      </c>
      <c r="B343" s="14" t="s">
        <v>77</v>
      </c>
      <c r="C343" s="16">
        <v>32305</v>
      </c>
      <c r="D343" s="16"/>
      <c r="E343" s="16">
        <v>32305</v>
      </c>
      <c r="F343" s="14" t="s">
        <v>75</v>
      </c>
      <c r="G343" s="15">
        <v>46222</v>
      </c>
      <c r="H343" s="15">
        <v>46229</v>
      </c>
      <c r="I343" s="14">
        <v>7</v>
      </c>
      <c r="J343" s="9">
        <v>0</v>
      </c>
      <c r="K343" s="15">
        <v>45965</v>
      </c>
      <c r="L343" s="28" t="s">
        <v>2</v>
      </c>
    </row>
    <row r="344" spans="1:12" x14ac:dyDescent="0.3">
      <c r="A344" s="27" t="s">
        <v>101</v>
      </c>
      <c r="B344" s="14" t="s">
        <v>77</v>
      </c>
      <c r="C344" s="16">
        <v>9408</v>
      </c>
      <c r="D344" s="16"/>
      <c r="E344" s="16">
        <v>9408</v>
      </c>
      <c r="F344" s="14" t="s">
        <v>75</v>
      </c>
      <c r="G344" s="15">
        <v>46223</v>
      </c>
      <c r="H344" s="15">
        <v>46227</v>
      </c>
      <c r="I344" s="14">
        <v>4</v>
      </c>
      <c r="J344" s="9">
        <v>4122.76</v>
      </c>
      <c r="K344" s="15">
        <v>45972</v>
      </c>
      <c r="L344" s="28" t="s">
        <v>44</v>
      </c>
    </row>
    <row r="345" spans="1:12" x14ac:dyDescent="0.3">
      <c r="A345" s="27" t="s">
        <v>101</v>
      </c>
      <c r="B345" s="14" t="s">
        <v>77</v>
      </c>
      <c r="C345" s="16"/>
      <c r="D345" s="16"/>
      <c r="E345" s="16"/>
      <c r="F345" s="14" t="s">
        <v>73</v>
      </c>
      <c r="G345" s="15">
        <v>46223</v>
      </c>
      <c r="H345" s="15">
        <v>46225</v>
      </c>
      <c r="I345" s="14">
        <v>2</v>
      </c>
      <c r="J345" s="9">
        <v>0</v>
      </c>
      <c r="K345" s="15">
        <v>45990</v>
      </c>
      <c r="L345" s="28" t="s">
        <v>1</v>
      </c>
    </row>
    <row r="346" spans="1:12" x14ac:dyDescent="0.3">
      <c r="A346" s="27" t="s">
        <v>101</v>
      </c>
      <c r="B346" s="14" t="s">
        <v>77</v>
      </c>
      <c r="C346" s="16">
        <v>25545.94</v>
      </c>
      <c r="D346" s="16"/>
      <c r="E346" s="16">
        <v>25545.94</v>
      </c>
      <c r="F346" s="14" t="s">
        <v>75</v>
      </c>
      <c r="G346" s="15">
        <v>46224</v>
      </c>
      <c r="H346" s="15">
        <v>46227</v>
      </c>
      <c r="I346" s="14">
        <v>3</v>
      </c>
      <c r="J346" s="9"/>
      <c r="K346" s="15">
        <v>46002</v>
      </c>
      <c r="L346" s="28"/>
    </row>
    <row r="347" spans="1:12" x14ac:dyDescent="0.3">
      <c r="A347" s="27" t="s">
        <v>101</v>
      </c>
      <c r="B347" s="14" t="s">
        <v>77</v>
      </c>
      <c r="C347" s="16">
        <v>25098.799999999999</v>
      </c>
      <c r="D347" s="16"/>
      <c r="E347" s="16">
        <v>25098.799999999999</v>
      </c>
      <c r="F347" s="14" t="s">
        <v>75</v>
      </c>
      <c r="G347" s="15">
        <v>46224</v>
      </c>
      <c r="H347" s="15">
        <v>46231</v>
      </c>
      <c r="I347" s="14">
        <v>7</v>
      </c>
      <c r="J347" s="9">
        <v>13009.64</v>
      </c>
      <c r="K347" s="15">
        <v>45883</v>
      </c>
      <c r="L347" s="28" t="s">
        <v>13</v>
      </c>
    </row>
    <row r="348" spans="1:12" x14ac:dyDescent="0.3">
      <c r="A348" s="27" t="s">
        <v>101</v>
      </c>
      <c r="B348" s="14" t="s">
        <v>77</v>
      </c>
      <c r="C348" s="16">
        <v>14227</v>
      </c>
      <c r="D348" s="16"/>
      <c r="E348" s="16">
        <v>14227</v>
      </c>
      <c r="F348" s="14" t="s">
        <v>75</v>
      </c>
      <c r="G348" s="15">
        <v>46225</v>
      </c>
      <c r="H348" s="15">
        <v>46233</v>
      </c>
      <c r="I348" s="14">
        <v>8</v>
      </c>
      <c r="J348" s="9">
        <v>6721.6</v>
      </c>
      <c r="K348" s="15">
        <v>45990</v>
      </c>
      <c r="L348" s="28" t="s">
        <v>1</v>
      </c>
    </row>
    <row r="349" spans="1:12" x14ac:dyDescent="0.3">
      <c r="A349" s="27" t="s">
        <v>101</v>
      </c>
      <c r="B349" s="14" t="s">
        <v>77</v>
      </c>
      <c r="C349" s="3">
        <v>31200</v>
      </c>
      <c r="D349" s="3"/>
      <c r="E349" s="3">
        <v>31200</v>
      </c>
      <c r="F349" s="14" t="s">
        <v>75</v>
      </c>
      <c r="G349" s="15">
        <v>46228</v>
      </c>
      <c r="H349" s="15">
        <v>46250</v>
      </c>
      <c r="I349" s="14">
        <v>22</v>
      </c>
      <c r="J349" s="9">
        <v>4060.76</v>
      </c>
      <c r="K349" s="15">
        <v>45391</v>
      </c>
      <c r="L349" s="28" t="s">
        <v>13</v>
      </c>
    </row>
    <row r="350" spans="1:12" x14ac:dyDescent="0.3">
      <c r="A350" s="27" t="s">
        <v>101</v>
      </c>
      <c r="B350" s="14" t="s">
        <v>77</v>
      </c>
      <c r="C350" s="3">
        <v>32942</v>
      </c>
      <c r="D350" s="3"/>
      <c r="E350" s="3">
        <v>32942</v>
      </c>
      <c r="F350" s="14" t="s">
        <v>75</v>
      </c>
      <c r="G350" s="15">
        <v>46228</v>
      </c>
      <c r="H350" s="15">
        <v>46242</v>
      </c>
      <c r="I350" s="14">
        <v>14</v>
      </c>
      <c r="J350" s="9">
        <v>9502.64</v>
      </c>
      <c r="K350" s="15">
        <v>45928</v>
      </c>
      <c r="L350" s="28" t="s">
        <v>13</v>
      </c>
    </row>
    <row r="351" spans="1:12" x14ac:dyDescent="0.3">
      <c r="A351" s="27" t="s">
        <v>101</v>
      </c>
      <c r="B351" s="14" t="s">
        <v>77</v>
      </c>
      <c r="C351" s="3">
        <v>19870</v>
      </c>
      <c r="D351" s="3"/>
      <c r="E351" s="3">
        <v>19870</v>
      </c>
      <c r="F351" s="14" t="s">
        <v>75</v>
      </c>
      <c r="G351" s="15">
        <v>46228</v>
      </c>
      <c r="H351" s="15">
        <v>46235</v>
      </c>
      <c r="I351" s="14">
        <v>7</v>
      </c>
      <c r="J351" s="9">
        <v>7762.51</v>
      </c>
      <c r="K351" s="15">
        <v>45500</v>
      </c>
      <c r="L351" s="28" t="s">
        <v>45</v>
      </c>
    </row>
    <row r="352" spans="1:12" x14ac:dyDescent="0.3">
      <c r="A352" s="27" t="s">
        <v>101</v>
      </c>
      <c r="B352" s="14" t="s">
        <v>77</v>
      </c>
      <c r="C352" s="3">
        <v>25390</v>
      </c>
      <c r="D352" s="3"/>
      <c r="E352" s="3">
        <v>25390</v>
      </c>
      <c r="F352" s="14" t="s">
        <v>75</v>
      </c>
      <c r="G352" s="15">
        <v>46228</v>
      </c>
      <c r="H352" s="15">
        <v>46238</v>
      </c>
      <c r="I352" s="14">
        <v>10</v>
      </c>
      <c r="J352" s="9">
        <v>11221.8</v>
      </c>
      <c r="K352" s="15">
        <v>45916</v>
      </c>
      <c r="L352" s="28" t="s">
        <v>18</v>
      </c>
    </row>
    <row r="353" spans="1:12" x14ac:dyDescent="0.3">
      <c r="A353" s="27" t="s">
        <v>101</v>
      </c>
      <c r="B353" s="14" t="s">
        <v>77</v>
      </c>
      <c r="C353" s="3">
        <v>17520</v>
      </c>
      <c r="D353" s="3"/>
      <c r="E353" s="3">
        <v>17520</v>
      </c>
      <c r="F353" s="14" t="s">
        <v>75</v>
      </c>
      <c r="G353" s="15">
        <v>46229</v>
      </c>
      <c r="H353" s="15">
        <v>46234</v>
      </c>
      <c r="I353" s="14">
        <v>5</v>
      </c>
      <c r="J353" s="9">
        <v>5578.85</v>
      </c>
      <c r="K353" s="15">
        <v>45817</v>
      </c>
      <c r="L353" s="28" t="s">
        <v>15</v>
      </c>
    </row>
    <row r="354" spans="1:12" x14ac:dyDescent="0.3">
      <c r="A354" s="27" t="s">
        <v>101</v>
      </c>
      <c r="B354" s="14" t="s">
        <v>77</v>
      </c>
      <c r="C354" s="16">
        <v>6356.8</v>
      </c>
      <c r="D354" s="16"/>
      <c r="E354" s="16">
        <v>6356.8</v>
      </c>
      <c r="F354" s="14" t="s">
        <v>75</v>
      </c>
      <c r="G354" s="15">
        <v>46231</v>
      </c>
      <c r="H354" s="15">
        <v>46233</v>
      </c>
      <c r="I354" s="14">
        <v>2</v>
      </c>
      <c r="J354" s="9">
        <v>3717.04</v>
      </c>
      <c r="K354" s="15">
        <v>45883</v>
      </c>
      <c r="L354" s="28" t="s">
        <v>13</v>
      </c>
    </row>
    <row r="355" spans="1:12" x14ac:dyDescent="0.3">
      <c r="A355" s="27" t="s">
        <v>101</v>
      </c>
      <c r="B355" s="14" t="s">
        <v>77</v>
      </c>
      <c r="C355" s="3">
        <v>19926.400000000001</v>
      </c>
      <c r="D355" s="3"/>
      <c r="E355" s="3">
        <v>19926.400000000001</v>
      </c>
      <c r="F355" s="14" t="s">
        <v>75</v>
      </c>
      <c r="G355" s="15">
        <v>46233</v>
      </c>
      <c r="H355" s="15">
        <v>46240</v>
      </c>
      <c r="I355" s="14">
        <v>7</v>
      </c>
      <c r="J355" s="9">
        <v>8278.34</v>
      </c>
      <c r="K355" s="15">
        <v>45905</v>
      </c>
      <c r="L355" s="28" t="s">
        <v>36</v>
      </c>
    </row>
    <row r="356" spans="1:12" x14ac:dyDescent="0.3">
      <c r="A356" s="27" t="s">
        <v>101</v>
      </c>
      <c r="B356" s="14" t="s">
        <v>77</v>
      </c>
      <c r="C356" s="16">
        <v>79348</v>
      </c>
      <c r="D356" s="16"/>
      <c r="E356" s="16">
        <v>79348</v>
      </c>
      <c r="F356" s="14" t="s">
        <v>75</v>
      </c>
      <c r="G356" s="15">
        <v>46235</v>
      </c>
      <c r="H356" s="15">
        <v>46244</v>
      </c>
      <c r="I356" s="14">
        <v>9</v>
      </c>
      <c r="J356" s="9">
        <v>29737.8</v>
      </c>
      <c r="K356" s="15">
        <v>45993</v>
      </c>
      <c r="L356" s="28" t="s">
        <v>18</v>
      </c>
    </row>
    <row r="357" spans="1:12" x14ac:dyDescent="0.3">
      <c r="A357" s="27" t="s">
        <v>101</v>
      </c>
      <c r="B357" s="14" t="s">
        <v>77</v>
      </c>
      <c r="C357" s="3">
        <v>24275.94</v>
      </c>
      <c r="D357" s="3"/>
      <c r="E357" s="3">
        <v>24275.94</v>
      </c>
      <c r="F357" s="14" t="s">
        <v>75</v>
      </c>
      <c r="G357" s="15">
        <v>46235</v>
      </c>
      <c r="H357" s="15">
        <v>46242</v>
      </c>
      <c r="I357" s="14">
        <v>7</v>
      </c>
      <c r="J357" s="9">
        <v>6262.9</v>
      </c>
      <c r="K357" s="15">
        <v>45898</v>
      </c>
      <c r="L357" s="28" t="s">
        <v>15</v>
      </c>
    </row>
    <row r="358" spans="1:12" x14ac:dyDescent="0.3">
      <c r="A358" s="27" t="s">
        <v>101</v>
      </c>
      <c r="B358" s="14" t="s">
        <v>77</v>
      </c>
      <c r="C358" s="3">
        <v>28828</v>
      </c>
      <c r="D358" s="3">
        <v>6000</v>
      </c>
      <c r="E358" s="3">
        <v>22828</v>
      </c>
      <c r="F358" s="14" t="s">
        <v>72</v>
      </c>
      <c r="G358" s="15">
        <v>46237</v>
      </c>
      <c r="H358" s="15">
        <v>46248</v>
      </c>
      <c r="I358" s="14">
        <v>11</v>
      </c>
      <c r="J358" s="9">
        <v>19256.71</v>
      </c>
      <c r="K358" s="15">
        <v>45735</v>
      </c>
      <c r="L358" s="28" t="s">
        <v>2</v>
      </c>
    </row>
    <row r="359" spans="1:12" x14ac:dyDescent="0.3">
      <c r="A359" s="27" t="s">
        <v>101</v>
      </c>
      <c r="B359" s="14" t="s">
        <v>77</v>
      </c>
      <c r="C359" s="16">
        <v>11195</v>
      </c>
      <c r="D359" s="16"/>
      <c r="E359" s="16">
        <v>11195</v>
      </c>
      <c r="F359" s="14" t="s">
        <v>75</v>
      </c>
      <c r="G359" s="15">
        <v>46237</v>
      </c>
      <c r="H359" s="15">
        <v>46239</v>
      </c>
      <c r="I359" s="14">
        <v>2</v>
      </c>
      <c r="J359" s="9">
        <v>2808.86</v>
      </c>
      <c r="K359" s="15"/>
      <c r="L359" s="28"/>
    </row>
    <row r="360" spans="1:12" x14ac:dyDescent="0.3">
      <c r="A360" s="27" t="s">
        <v>101</v>
      </c>
      <c r="B360" s="14" t="s">
        <v>77</v>
      </c>
      <c r="C360" s="16">
        <v>11195</v>
      </c>
      <c r="D360" s="16"/>
      <c r="E360" s="16">
        <v>11195</v>
      </c>
      <c r="F360" s="14" t="s">
        <v>75</v>
      </c>
      <c r="G360" s="15">
        <v>46239</v>
      </c>
      <c r="H360" s="15">
        <v>46241</v>
      </c>
      <c r="I360" s="14">
        <v>2</v>
      </c>
      <c r="J360" s="9">
        <v>6596.74</v>
      </c>
      <c r="K360" s="15"/>
      <c r="L360" s="28"/>
    </row>
    <row r="361" spans="1:12" x14ac:dyDescent="0.3">
      <c r="A361" s="27" t="s">
        <v>101</v>
      </c>
      <c r="B361" s="14" t="s">
        <v>77</v>
      </c>
      <c r="C361" s="3">
        <v>30618</v>
      </c>
      <c r="D361" s="3"/>
      <c r="E361" s="3">
        <v>30618</v>
      </c>
      <c r="F361" s="14" t="s">
        <v>75</v>
      </c>
      <c r="G361" s="15">
        <v>46242</v>
      </c>
      <c r="H361" s="15">
        <v>46258</v>
      </c>
      <c r="I361" s="14">
        <v>16</v>
      </c>
      <c r="J361" s="9">
        <v>12338.72</v>
      </c>
      <c r="K361" s="15">
        <v>45919</v>
      </c>
      <c r="L361" s="28" t="s">
        <v>1</v>
      </c>
    </row>
    <row r="362" spans="1:12" x14ac:dyDescent="0.3">
      <c r="A362" s="27" t="s">
        <v>101</v>
      </c>
      <c r="B362" s="14" t="s">
        <v>77</v>
      </c>
      <c r="C362" s="3">
        <v>48328.02</v>
      </c>
      <c r="D362" s="3"/>
      <c r="E362" s="3">
        <v>48328.02</v>
      </c>
      <c r="F362" s="14" t="s">
        <v>75</v>
      </c>
      <c r="G362" s="15">
        <v>46242</v>
      </c>
      <c r="H362" s="15">
        <v>46263</v>
      </c>
      <c r="I362" s="14">
        <v>21</v>
      </c>
      <c r="J362" s="9">
        <v>31852.799999999999</v>
      </c>
      <c r="K362" s="15">
        <v>45940</v>
      </c>
      <c r="L362" s="28" t="s">
        <v>40</v>
      </c>
    </row>
    <row r="363" spans="1:12" x14ac:dyDescent="0.3">
      <c r="A363" s="27" t="s">
        <v>101</v>
      </c>
      <c r="B363" s="14" t="s">
        <v>77</v>
      </c>
      <c r="C363" s="3">
        <v>80823.399999999994</v>
      </c>
      <c r="D363" s="3"/>
      <c r="E363" s="3">
        <v>80823.399999999994</v>
      </c>
      <c r="F363" s="14" t="s">
        <v>75</v>
      </c>
      <c r="G363" s="15">
        <v>46243</v>
      </c>
      <c r="H363" s="15">
        <v>46257</v>
      </c>
      <c r="I363" s="14">
        <v>14</v>
      </c>
      <c r="J363" s="9">
        <v>50727.6</v>
      </c>
      <c r="K363" s="15">
        <v>45911</v>
      </c>
      <c r="L363" s="28" t="s">
        <v>2</v>
      </c>
    </row>
    <row r="364" spans="1:12" x14ac:dyDescent="0.3">
      <c r="A364" s="27" t="s">
        <v>101</v>
      </c>
      <c r="B364" s="14" t="s">
        <v>77</v>
      </c>
      <c r="C364" s="3">
        <v>61357</v>
      </c>
      <c r="D364" s="3"/>
      <c r="E364" s="3">
        <v>61357</v>
      </c>
      <c r="F364" s="14" t="s">
        <v>75</v>
      </c>
      <c r="G364" s="15">
        <v>46244</v>
      </c>
      <c r="H364" s="15">
        <v>46255</v>
      </c>
      <c r="I364" s="14">
        <v>11</v>
      </c>
      <c r="J364" s="9">
        <v>32943.35</v>
      </c>
      <c r="K364" s="15">
        <v>45960</v>
      </c>
      <c r="L364" s="28" t="s">
        <v>15</v>
      </c>
    </row>
    <row r="365" spans="1:12" x14ac:dyDescent="0.3">
      <c r="A365" s="27" t="s">
        <v>101</v>
      </c>
      <c r="B365" s="14" t="s">
        <v>77</v>
      </c>
      <c r="C365" s="3">
        <v>21540</v>
      </c>
      <c r="D365" s="3"/>
      <c r="E365" s="3">
        <v>21540</v>
      </c>
      <c r="F365" s="14" t="s">
        <v>75</v>
      </c>
      <c r="G365" s="15">
        <v>46245</v>
      </c>
      <c r="H365" s="15">
        <v>46250</v>
      </c>
      <c r="I365" s="14">
        <v>5</v>
      </c>
      <c r="J365" s="9">
        <v>8702.4</v>
      </c>
      <c r="K365" s="15">
        <v>45990</v>
      </c>
      <c r="L365" s="28" t="s">
        <v>27</v>
      </c>
    </row>
    <row r="366" spans="1:12" x14ac:dyDescent="0.3">
      <c r="A366" s="27" t="s">
        <v>101</v>
      </c>
      <c r="B366" s="14" t="s">
        <v>77</v>
      </c>
      <c r="C366" s="3">
        <v>9625.26</v>
      </c>
      <c r="D366" s="3"/>
      <c r="E366" s="3">
        <v>9625.26</v>
      </c>
      <c r="F366" s="14" t="s">
        <v>75</v>
      </c>
      <c r="G366" s="15">
        <v>46245</v>
      </c>
      <c r="H366" s="15">
        <v>46249</v>
      </c>
      <c r="I366" s="14">
        <v>4</v>
      </c>
      <c r="J366" s="9">
        <v>4406.28</v>
      </c>
      <c r="K366" s="15">
        <v>45965</v>
      </c>
      <c r="L366" s="28" t="s">
        <v>9</v>
      </c>
    </row>
    <row r="367" spans="1:12" x14ac:dyDescent="0.3">
      <c r="A367" s="27" t="s">
        <v>101</v>
      </c>
      <c r="B367" s="14" t="s">
        <v>77</v>
      </c>
      <c r="C367" s="16">
        <v>16674.900000000001</v>
      </c>
      <c r="D367" s="16"/>
      <c r="E367" s="16">
        <v>16674.900000000001</v>
      </c>
      <c r="F367" s="14" t="s">
        <v>75</v>
      </c>
      <c r="G367" s="15">
        <v>46246</v>
      </c>
      <c r="H367" s="15">
        <v>46249</v>
      </c>
      <c r="I367" s="14">
        <v>3</v>
      </c>
      <c r="J367" s="9">
        <v>6366.3</v>
      </c>
      <c r="K367" s="15">
        <v>45966</v>
      </c>
      <c r="L367" s="28" t="s">
        <v>14</v>
      </c>
    </row>
    <row r="368" spans="1:12" x14ac:dyDescent="0.3">
      <c r="A368" s="27" t="s">
        <v>101</v>
      </c>
      <c r="B368" s="14" t="s">
        <v>77</v>
      </c>
      <c r="C368" s="16">
        <v>81789</v>
      </c>
      <c r="D368" s="16"/>
      <c r="E368" s="16">
        <v>81789</v>
      </c>
      <c r="F368" s="14" t="s">
        <v>75</v>
      </c>
      <c r="G368" s="15">
        <v>46246</v>
      </c>
      <c r="H368" s="15">
        <v>46260</v>
      </c>
      <c r="I368" s="14">
        <v>14</v>
      </c>
      <c r="J368" s="9">
        <v>0</v>
      </c>
      <c r="K368" s="15">
        <v>45990</v>
      </c>
      <c r="L368" s="28" t="s">
        <v>9</v>
      </c>
    </row>
    <row r="369" spans="1:12" x14ac:dyDescent="0.3">
      <c r="A369" s="27" t="s">
        <v>101</v>
      </c>
      <c r="B369" s="14" t="s">
        <v>77</v>
      </c>
      <c r="C369" s="16"/>
      <c r="D369" s="16"/>
      <c r="E369" s="16"/>
      <c r="F369" s="14" t="s">
        <v>73</v>
      </c>
      <c r="G369" s="15">
        <v>46248</v>
      </c>
      <c r="H369" s="15">
        <v>46262</v>
      </c>
      <c r="I369" s="14">
        <v>14</v>
      </c>
      <c r="J369" s="9">
        <v>0</v>
      </c>
      <c r="K369" s="15">
        <v>45950</v>
      </c>
      <c r="L369" s="28" t="s">
        <v>1</v>
      </c>
    </row>
    <row r="370" spans="1:12" x14ac:dyDescent="0.3">
      <c r="A370" s="27" t="s">
        <v>101</v>
      </c>
      <c r="B370" s="14" t="s">
        <v>77</v>
      </c>
      <c r="C370" s="16">
        <v>16533.2</v>
      </c>
      <c r="D370" s="16"/>
      <c r="E370" s="16">
        <v>16533.2</v>
      </c>
      <c r="F370" s="14" t="s">
        <v>75</v>
      </c>
      <c r="G370" s="15">
        <v>46249</v>
      </c>
      <c r="H370" s="15">
        <v>46253</v>
      </c>
      <c r="I370" s="14">
        <v>4</v>
      </c>
      <c r="J370" s="9">
        <v>8488.4</v>
      </c>
      <c r="K370" s="15">
        <v>45966</v>
      </c>
      <c r="L370" s="28" t="s">
        <v>14</v>
      </c>
    </row>
    <row r="371" spans="1:12" x14ac:dyDescent="0.3">
      <c r="A371" s="27" t="s">
        <v>101</v>
      </c>
      <c r="B371" s="14" t="s">
        <v>77</v>
      </c>
      <c r="C371" s="12">
        <v>90916.64</v>
      </c>
      <c r="D371" s="3">
        <v>22729.15</v>
      </c>
      <c r="E371" s="12">
        <v>68187.490000000005</v>
      </c>
      <c r="F371" s="14" t="s">
        <v>72</v>
      </c>
      <c r="G371" s="15">
        <v>46250</v>
      </c>
      <c r="H371" s="15">
        <v>46262</v>
      </c>
      <c r="I371" s="14">
        <v>12</v>
      </c>
      <c r="J371" s="9">
        <v>49086.239999999998</v>
      </c>
      <c r="K371" s="15">
        <v>45992</v>
      </c>
      <c r="L371" s="28" t="s">
        <v>2</v>
      </c>
    </row>
    <row r="372" spans="1:12" x14ac:dyDescent="0.3">
      <c r="A372" s="27" t="s">
        <v>101</v>
      </c>
      <c r="B372" s="14" t="s">
        <v>77</v>
      </c>
      <c r="C372" s="12">
        <v>29990.76</v>
      </c>
      <c r="D372" s="3"/>
      <c r="E372" s="12">
        <v>29990.76</v>
      </c>
      <c r="F372" s="14" t="s">
        <v>75</v>
      </c>
      <c r="G372" s="15">
        <v>46254</v>
      </c>
      <c r="H372" s="15">
        <v>46261</v>
      </c>
      <c r="I372" s="14">
        <v>7</v>
      </c>
      <c r="J372" s="9">
        <v>19285.490000000002</v>
      </c>
      <c r="K372" s="15">
        <v>45993</v>
      </c>
      <c r="L372" s="28" t="s">
        <v>34</v>
      </c>
    </row>
    <row r="373" spans="1:12" x14ac:dyDescent="0.3">
      <c r="A373" s="27" t="s">
        <v>101</v>
      </c>
      <c r="B373" s="14" t="s">
        <v>77</v>
      </c>
      <c r="C373" s="3">
        <v>14218</v>
      </c>
      <c r="D373" s="3"/>
      <c r="E373" s="3">
        <v>14218</v>
      </c>
      <c r="F373" s="14" t="s">
        <v>75</v>
      </c>
      <c r="G373" s="15">
        <v>46262</v>
      </c>
      <c r="H373" s="15">
        <v>46269</v>
      </c>
      <c r="I373" s="14">
        <v>7</v>
      </c>
      <c r="J373" s="9">
        <v>6013.98</v>
      </c>
      <c r="K373" s="15">
        <v>45928</v>
      </c>
      <c r="L373" s="28" t="s">
        <v>13</v>
      </c>
    </row>
    <row r="374" spans="1:12" x14ac:dyDescent="0.3">
      <c r="A374" s="27" t="s">
        <v>101</v>
      </c>
      <c r="B374" s="14" t="s">
        <v>77</v>
      </c>
      <c r="C374" s="3">
        <v>26703</v>
      </c>
      <c r="D374" s="3"/>
      <c r="E374" s="3">
        <v>26703</v>
      </c>
      <c r="F374" s="14" t="s">
        <v>75</v>
      </c>
      <c r="G374" s="15">
        <v>46264</v>
      </c>
      <c r="H374" s="15">
        <v>46275</v>
      </c>
      <c r="I374" s="14">
        <v>11</v>
      </c>
      <c r="J374" s="9">
        <v>7132.84</v>
      </c>
      <c r="K374" s="15">
        <v>45945</v>
      </c>
      <c r="L374" s="28" t="s">
        <v>9</v>
      </c>
    </row>
    <row r="375" spans="1:12" x14ac:dyDescent="0.3">
      <c r="A375" s="27" t="s">
        <v>101</v>
      </c>
      <c r="B375" s="14" t="s">
        <v>77</v>
      </c>
      <c r="C375" s="3">
        <v>18228</v>
      </c>
      <c r="D375" s="3">
        <v>3553.91</v>
      </c>
      <c r="E375" s="3">
        <v>14674.09</v>
      </c>
      <c r="F375" s="14" t="s">
        <v>72</v>
      </c>
      <c r="G375" s="15">
        <v>46266</v>
      </c>
      <c r="H375" s="15">
        <v>46280</v>
      </c>
      <c r="I375" s="14">
        <v>14</v>
      </c>
      <c r="J375" s="9">
        <v>12264.98</v>
      </c>
      <c r="K375" s="15">
        <v>44466</v>
      </c>
      <c r="L375" s="28" t="s">
        <v>13</v>
      </c>
    </row>
    <row r="376" spans="1:12" x14ac:dyDescent="0.3">
      <c r="A376" s="27" t="s">
        <v>101</v>
      </c>
      <c r="B376" s="14" t="s">
        <v>77</v>
      </c>
      <c r="C376" s="16">
        <v>60205</v>
      </c>
      <c r="D376" s="16"/>
      <c r="E376" s="16">
        <v>60205</v>
      </c>
      <c r="F376" s="14" t="s">
        <v>75</v>
      </c>
      <c r="G376" s="15">
        <v>46269</v>
      </c>
      <c r="H376" s="15">
        <v>46279</v>
      </c>
      <c r="I376" s="14">
        <v>10</v>
      </c>
      <c r="J376" s="9">
        <v>0</v>
      </c>
      <c r="K376" s="15">
        <v>45974</v>
      </c>
      <c r="L376" s="28" t="s">
        <v>1</v>
      </c>
    </row>
    <row r="377" spans="1:12" x14ac:dyDescent="0.3">
      <c r="A377" s="27" t="s">
        <v>101</v>
      </c>
      <c r="B377" s="14" t="s">
        <v>77</v>
      </c>
      <c r="C377" s="3">
        <v>4555</v>
      </c>
      <c r="D377" s="3"/>
      <c r="E377" s="3">
        <v>4555</v>
      </c>
      <c r="F377" s="14" t="s">
        <v>75</v>
      </c>
      <c r="G377" s="15">
        <v>46270</v>
      </c>
      <c r="H377" s="15">
        <v>46275</v>
      </c>
      <c r="I377" s="14">
        <v>5</v>
      </c>
      <c r="J377" s="9">
        <v>906.2</v>
      </c>
      <c r="K377" s="15">
        <v>45967</v>
      </c>
      <c r="L377" s="28" t="s">
        <v>5</v>
      </c>
    </row>
    <row r="378" spans="1:12" x14ac:dyDescent="0.3">
      <c r="A378" s="27" t="s">
        <v>101</v>
      </c>
      <c r="B378" s="14" t="s">
        <v>77</v>
      </c>
      <c r="C378" s="3">
        <v>52304.28</v>
      </c>
      <c r="D378" s="3"/>
      <c r="E378" s="3">
        <v>52304.28</v>
      </c>
      <c r="F378" s="14" t="s">
        <v>75</v>
      </c>
      <c r="G378" s="15">
        <v>46280</v>
      </c>
      <c r="H378" s="15">
        <v>46284</v>
      </c>
      <c r="I378" s="14">
        <v>4</v>
      </c>
      <c r="J378" s="9">
        <v>22683.360000000001</v>
      </c>
      <c r="K378" s="15">
        <v>45944</v>
      </c>
      <c r="L378" s="28" t="s">
        <v>21</v>
      </c>
    </row>
    <row r="379" spans="1:12" x14ac:dyDescent="0.3">
      <c r="A379" s="27" t="s">
        <v>101</v>
      </c>
      <c r="B379" s="14" t="s">
        <v>77</v>
      </c>
      <c r="C379" s="3">
        <v>24061.38</v>
      </c>
      <c r="D379" s="3"/>
      <c r="E379" s="3">
        <v>24061.38</v>
      </c>
      <c r="F379" s="14" t="s">
        <v>75</v>
      </c>
      <c r="G379" s="15">
        <v>46282</v>
      </c>
      <c r="H379" s="15">
        <v>46291</v>
      </c>
      <c r="I379" s="14">
        <v>9</v>
      </c>
      <c r="J379" s="9">
        <v>10893.51</v>
      </c>
      <c r="K379" s="15">
        <v>45952</v>
      </c>
      <c r="L379" s="28" t="s">
        <v>38</v>
      </c>
    </row>
    <row r="380" spans="1:12" x14ac:dyDescent="0.3">
      <c r="A380" s="27" t="s">
        <v>101</v>
      </c>
      <c r="B380" s="14" t="s">
        <v>77</v>
      </c>
      <c r="C380" s="16"/>
      <c r="D380" s="16"/>
      <c r="E380" s="16"/>
      <c r="F380" s="14" t="s">
        <v>73</v>
      </c>
      <c r="G380" s="15">
        <v>46283</v>
      </c>
      <c r="H380" s="15">
        <v>46285</v>
      </c>
      <c r="I380" s="14">
        <v>2</v>
      </c>
      <c r="J380" s="9">
        <v>0</v>
      </c>
      <c r="K380" s="15">
        <v>45910</v>
      </c>
      <c r="L380" s="28" t="s">
        <v>38</v>
      </c>
    </row>
    <row r="381" spans="1:12" x14ac:dyDescent="0.3">
      <c r="A381" s="27" t="s">
        <v>101</v>
      </c>
      <c r="B381" s="14" t="s">
        <v>77</v>
      </c>
      <c r="C381" s="3">
        <v>77375.33</v>
      </c>
      <c r="D381" s="3"/>
      <c r="E381" s="3">
        <v>77375.33</v>
      </c>
      <c r="F381" s="14" t="s">
        <v>75</v>
      </c>
      <c r="G381" s="15">
        <v>46285</v>
      </c>
      <c r="H381" s="15">
        <v>46300</v>
      </c>
      <c r="I381" s="14">
        <v>15</v>
      </c>
      <c r="J381" s="9">
        <v>49416.15</v>
      </c>
      <c r="K381" s="15">
        <v>45814</v>
      </c>
      <c r="L381" s="28" t="s">
        <v>2</v>
      </c>
    </row>
    <row r="382" spans="1:12" x14ac:dyDescent="0.3">
      <c r="A382" s="27" t="s">
        <v>101</v>
      </c>
      <c r="B382" s="14" t="s">
        <v>77</v>
      </c>
      <c r="C382" s="3">
        <v>11999.6</v>
      </c>
      <c r="D382" s="3"/>
      <c r="E382" s="3">
        <v>11999.6</v>
      </c>
      <c r="F382" s="14" t="s">
        <v>75</v>
      </c>
      <c r="G382" s="15">
        <v>46285</v>
      </c>
      <c r="H382" s="15">
        <v>46292</v>
      </c>
      <c r="I382" s="14">
        <v>7</v>
      </c>
      <c r="J382" s="9">
        <v>4562.25</v>
      </c>
      <c r="K382" s="15">
        <v>45996</v>
      </c>
      <c r="L382" s="28" t="s">
        <v>14</v>
      </c>
    </row>
    <row r="383" spans="1:12" x14ac:dyDescent="0.3">
      <c r="A383" s="27" t="s">
        <v>101</v>
      </c>
      <c r="B383" s="14" t="s">
        <v>77</v>
      </c>
      <c r="C383" s="3">
        <v>11052.74</v>
      </c>
      <c r="D383" s="3"/>
      <c r="E383" s="3">
        <v>11052.74</v>
      </c>
      <c r="F383" s="14" t="s">
        <v>75</v>
      </c>
      <c r="G383" s="15">
        <v>46285</v>
      </c>
      <c r="H383" s="15">
        <v>46288</v>
      </c>
      <c r="I383" s="14">
        <v>3</v>
      </c>
      <c r="J383" s="9">
        <v>5363.04</v>
      </c>
      <c r="K383" s="15">
        <v>45893</v>
      </c>
      <c r="L383" s="28" t="s">
        <v>38</v>
      </c>
    </row>
    <row r="384" spans="1:12" x14ac:dyDescent="0.3">
      <c r="A384" s="27" t="s">
        <v>101</v>
      </c>
      <c r="B384" s="14" t="s">
        <v>77</v>
      </c>
      <c r="C384" s="3">
        <v>34325.81</v>
      </c>
      <c r="D384" s="3"/>
      <c r="E384" s="3">
        <v>34325.81</v>
      </c>
      <c r="F384" s="14" t="s">
        <v>80</v>
      </c>
      <c r="G384" s="15">
        <v>46287</v>
      </c>
      <c r="H384" s="15">
        <v>46297</v>
      </c>
      <c r="I384" s="14">
        <v>10</v>
      </c>
      <c r="J384" s="9">
        <v>25019.7</v>
      </c>
      <c r="K384" s="15">
        <v>45960</v>
      </c>
      <c r="L384" s="28" t="s">
        <v>2</v>
      </c>
    </row>
    <row r="385" spans="1:12" x14ac:dyDescent="0.3">
      <c r="A385" s="27" t="s">
        <v>101</v>
      </c>
      <c r="B385" s="14" t="s">
        <v>77</v>
      </c>
      <c r="C385" s="3">
        <v>15953</v>
      </c>
      <c r="D385" s="3"/>
      <c r="E385" s="3">
        <v>15953</v>
      </c>
      <c r="F385" s="14" t="s">
        <v>75</v>
      </c>
      <c r="G385" s="15">
        <v>46292</v>
      </c>
      <c r="H385" s="15">
        <v>46299</v>
      </c>
      <c r="I385" s="14">
        <v>7</v>
      </c>
      <c r="J385" s="9">
        <v>7063</v>
      </c>
      <c r="K385" s="15">
        <v>45923</v>
      </c>
      <c r="L385" s="28" t="s">
        <v>13</v>
      </c>
    </row>
    <row r="386" spans="1:12" x14ac:dyDescent="0.3">
      <c r="A386" s="27" t="s">
        <v>101</v>
      </c>
      <c r="B386" s="14" t="s">
        <v>77</v>
      </c>
      <c r="C386" s="3">
        <v>10092</v>
      </c>
      <c r="D386" s="3"/>
      <c r="E386" s="3">
        <v>10092</v>
      </c>
      <c r="F386" s="14" t="s">
        <v>75</v>
      </c>
      <c r="G386" s="15">
        <v>46297</v>
      </c>
      <c r="H386" s="15">
        <v>46301</v>
      </c>
      <c r="I386" s="14">
        <v>4</v>
      </c>
      <c r="J386" s="9">
        <v>4599.84</v>
      </c>
      <c r="K386" s="15">
        <v>45948</v>
      </c>
      <c r="L386" s="28" t="s">
        <v>38</v>
      </c>
    </row>
    <row r="387" spans="1:12" x14ac:dyDescent="0.3">
      <c r="A387" s="27" t="s">
        <v>101</v>
      </c>
      <c r="B387" s="14" t="s">
        <v>77</v>
      </c>
      <c r="C387" s="16"/>
      <c r="D387" s="16"/>
      <c r="E387" s="16"/>
      <c r="F387" s="16" t="s">
        <v>74</v>
      </c>
      <c r="G387" s="15">
        <v>46299</v>
      </c>
      <c r="H387" s="15">
        <v>46313</v>
      </c>
      <c r="I387" s="14">
        <v>14</v>
      </c>
      <c r="J387" s="9">
        <v>74514.44</v>
      </c>
      <c r="K387" s="15"/>
      <c r="L387" s="28"/>
    </row>
    <row r="388" spans="1:12" x14ac:dyDescent="0.3">
      <c r="A388" s="27" t="s">
        <v>101</v>
      </c>
      <c r="B388" s="14" t="s">
        <v>77</v>
      </c>
      <c r="C388" s="16"/>
      <c r="D388" s="16"/>
      <c r="E388" s="16"/>
      <c r="F388" s="14" t="s">
        <v>73</v>
      </c>
      <c r="G388" s="15">
        <v>46305</v>
      </c>
      <c r="H388" s="15">
        <v>46341</v>
      </c>
      <c r="I388" s="14">
        <v>36</v>
      </c>
      <c r="J388" s="9">
        <v>0</v>
      </c>
      <c r="K388" s="15">
        <v>45961</v>
      </c>
      <c r="L388" s="28" t="s">
        <v>13</v>
      </c>
    </row>
    <row r="389" spans="1:12" x14ac:dyDescent="0.3">
      <c r="A389" s="27" t="s">
        <v>101</v>
      </c>
      <c r="B389" s="14" t="s">
        <v>77</v>
      </c>
      <c r="C389" s="3">
        <v>15250</v>
      </c>
      <c r="D389" s="3"/>
      <c r="E389" s="3">
        <v>15250</v>
      </c>
      <c r="F389" s="14" t="s">
        <v>75</v>
      </c>
      <c r="G389" s="15">
        <v>46307</v>
      </c>
      <c r="H389" s="15">
        <v>46314</v>
      </c>
      <c r="I389" s="14">
        <v>7</v>
      </c>
      <c r="J389" s="9">
        <v>3064.46</v>
      </c>
      <c r="K389" s="15">
        <v>45946</v>
      </c>
      <c r="L389" s="28" t="s">
        <v>24</v>
      </c>
    </row>
    <row r="390" spans="1:12" x14ac:dyDescent="0.3">
      <c r="A390" s="27" t="s">
        <v>101</v>
      </c>
      <c r="B390" s="14" t="s">
        <v>76</v>
      </c>
      <c r="C390" s="16">
        <v>45487.54</v>
      </c>
      <c r="D390" s="16">
        <v>11371.88</v>
      </c>
      <c r="E390" s="16">
        <v>34115.660000000003</v>
      </c>
      <c r="F390" s="14" t="s">
        <v>72</v>
      </c>
      <c r="G390" s="15">
        <v>46313</v>
      </c>
      <c r="H390" s="15">
        <v>46319</v>
      </c>
      <c r="I390" s="14">
        <v>6</v>
      </c>
      <c r="J390" s="9">
        <v>27289.8</v>
      </c>
      <c r="K390" s="15">
        <v>45985</v>
      </c>
      <c r="L390" s="28" t="s">
        <v>13</v>
      </c>
    </row>
    <row r="391" spans="1:12" x14ac:dyDescent="0.3">
      <c r="A391" s="27" t="s">
        <v>101</v>
      </c>
      <c r="B391" s="14" t="s">
        <v>76</v>
      </c>
      <c r="C391" s="3">
        <v>133624</v>
      </c>
      <c r="D391" s="3">
        <v>33406</v>
      </c>
      <c r="E391" s="3">
        <v>100218</v>
      </c>
      <c r="F391" s="14" t="s">
        <v>72</v>
      </c>
      <c r="G391" s="15">
        <v>46313</v>
      </c>
      <c r="H391" s="15">
        <v>46324</v>
      </c>
      <c r="I391" s="14">
        <v>11</v>
      </c>
      <c r="J391" s="9">
        <v>68671.240000000005</v>
      </c>
      <c r="K391" s="15">
        <v>45904</v>
      </c>
      <c r="L391" s="28" t="s">
        <v>13</v>
      </c>
    </row>
    <row r="392" spans="1:12" x14ac:dyDescent="0.3">
      <c r="A392" s="27" t="s">
        <v>101</v>
      </c>
      <c r="B392" s="14" t="s">
        <v>76</v>
      </c>
      <c r="C392" s="3">
        <v>41000</v>
      </c>
      <c r="D392" s="3">
        <v>4100</v>
      </c>
      <c r="E392" s="3">
        <v>36900</v>
      </c>
      <c r="F392" s="14" t="s">
        <v>72</v>
      </c>
      <c r="G392" s="15">
        <v>46313</v>
      </c>
      <c r="H392" s="15">
        <v>46327</v>
      </c>
      <c r="I392" s="14">
        <v>14</v>
      </c>
      <c r="J392" s="9">
        <v>24474.18</v>
      </c>
      <c r="K392" s="15">
        <v>45701</v>
      </c>
      <c r="L392" s="28" t="s">
        <v>12</v>
      </c>
    </row>
    <row r="393" spans="1:12" x14ac:dyDescent="0.3">
      <c r="A393" s="27" t="s">
        <v>101</v>
      </c>
      <c r="B393" s="14" t="s">
        <v>76</v>
      </c>
      <c r="C393" s="16"/>
      <c r="D393" s="16"/>
      <c r="E393" s="16"/>
      <c r="F393" s="14" t="s">
        <v>73</v>
      </c>
      <c r="G393" s="15">
        <v>46327</v>
      </c>
      <c r="H393" s="15">
        <v>46329</v>
      </c>
      <c r="I393" s="14">
        <v>2</v>
      </c>
      <c r="J393" s="9">
        <v>0</v>
      </c>
      <c r="K393" s="15">
        <v>45915</v>
      </c>
      <c r="L393" s="28" t="s">
        <v>6</v>
      </c>
    </row>
    <row r="394" spans="1:12" x14ac:dyDescent="0.3">
      <c r="A394" s="27" t="s">
        <v>101</v>
      </c>
      <c r="B394" s="14" t="s">
        <v>77</v>
      </c>
      <c r="C394" s="3">
        <v>39048.589999999997</v>
      </c>
      <c r="D394" s="3"/>
      <c r="E394" s="3">
        <v>39048.589999999997</v>
      </c>
      <c r="F394" s="14" t="s">
        <v>75</v>
      </c>
      <c r="G394" s="15">
        <v>46330</v>
      </c>
      <c r="H394" s="15">
        <v>46342</v>
      </c>
      <c r="I394" s="14">
        <v>12</v>
      </c>
      <c r="J394" s="9">
        <v>26404.560000000001</v>
      </c>
      <c r="K394" s="15">
        <v>46001</v>
      </c>
      <c r="L394" s="28" t="s">
        <v>26</v>
      </c>
    </row>
    <row r="395" spans="1:12" x14ac:dyDescent="0.3">
      <c r="A395" s="27" t="s">
        <v>101</v>
      </c>
      <c r="B395" s="14" t="s">
        <v>77</v>
      </c>
      <c r="C395" s="3">
        <v>46963.34</v>
      </c>
      <c r="D395" s="3"/>
      <c r="E395" s="3">
        <v>46963.34</v>
      </c>
      <c r="F395" s="14" t="s">
        <v>75</v>
      </c>
      <c r="G395" s="15">
        <v>46334</v>
      </c>
      <c r="H395" s="15">
        <v>46352</v>
      </c>
      <c r="I395" s="14">
        <v>18</v>
      </c>
      <c r="J395" s="9">
        <v>24871.32</v>
      </c>
      <c r="K395" s="15">
        <v>45989</v>
      </c>
      <c r="L395" s="28" t="s">
        <v>17</v>
      </c>
    </row>
    <row r="396" spans="1:12" x14ac:dyDescent="0.3">
      <c r="A396" s="27" t="s">
        <v>101</v>
      </c>
      <c r="B396" s="14" t="s">
        <v>77</v>
      </c>
      <c r="C396" s="3">
        <v>47206</v>
      </c>
      <c r="D396" s="3"/>
      <c r="E396" s="3">
        <v>47206</v>
      </c>
      <c r="F396" s="14" t="s">
        <v>75</v>
      </c>
      <c r="G396" s="15">
        <v>46338</v>
      </c>
      <c r="H396" s="15">
        <v>46348</v>
      </c>
      <c r="I396" s="14">
        <v>10</v>
      </c>
      <c r="J396" s="9">
        <v>27065</v>
      </c>
      <c r="K396" s="15">
        <v>45995</v>
      </c>
      <c r="L396" s="28" t="s">
        <v>2</v>
      </c>
    </row>
    <row r="397" spans="1:12" x14ac:dyDescent="0.3">
      <c r="A397" s="27" t="s">
        <v>101</v>
      </c>
      <c r="B397" s="14" t="s">
        <v>77</v>
      </c>
      <c r="C397" s="3">
        <v>36163.879999999997</v>
      </c>
      <c r="D397" s="3">
        <v>9040.9699999999993</v>
      </c>
      <c r="E397" s="3">
        <v>27122.91</v>
      </c>
      <c r="F397" s="14" t="s">
        <v>72</v>
      </c>
      <c r="G397" s="15">
        <v>46341</v>
      </c>
      <c r="H397" s="15">
        <v>46355</v>
      </c>
      <c r="I397" s="14">
        <v>14</v>
      </c>
      <c r="J397" s="9">
        <v>18626.3</v>
      </c>
      <c r="K397" s="15">
        <v>45991</v>
      </c>
      <c r="L397" s="28" t="s">
        <v>13</v>
      </c>
    </row>
    <row r="398" spans="1:12" x14ac:dyDescent="0.3">
      <c r="A398" s="27" t="s">
        <v>101</v>
      </c>
      <c r="B398" s="14" t="s">
        <v>77</v>
      </c>
      <c r="C398" s="3">
        <v>35816.25</v>
      </c>
      <c r="D398" s="3"/>
      <c r="E398" s="3">
        <v>35816.25</v>
      </c>
      <c r="F398" s="14" t="s">
        <v>75</v>
      </c>
      <c r="G398" s="15">
        <v>46344</v>
      </c>
      <c r="H398" s="15">
        <v>46369</v>
      </c>
      <c r="I398" s="14">
        <v>25</v>
      </c>
      <c r="J398" s="9">
        <v>0</v>
      </c>
      <c r="K398" s="15">
        <v>45677</v>
      </c>
      <c r="L398" s="28" t="s">
        <v>17</v>
      </c>
    </row>
    <row r="399" spans="1:12" x14ac:dyDescent="0.3">
      <c r="A399" s="27" t="s">
        <v>101</v>
      </c>
      <c r="B399" s="14" t="s">
        <v>77</v>
      </c>
      <c r="C399" s="3">
        <v>139600</v>
      </c>
      <c r="D399" s="3">
        <v>27500</v>
      </c>
      <c r="E399" s="3">
        <v>112100</v>
      </c>
      <c r="F399" s="14" t="s">
        <v>72</v>
      </c>
      <c r="G399" s="15">
        <v>46347</v>
      </c>
      <c r="H399" s="15">
        <v>46357</v>
      </c>
      <c r="I399" s="14">
        <v>10</v>
      </c>
      <c r="J399" s="9">
        <v>29658.1</v>
      </c>
      <c r="K399" s="15">
        <v>45932</v>
      </c>
      <c r="L399" s="28" t="s">
        <v>15</v>
      </c>
    </row>
    <row r="400" spans="1:12" x14ac:dyDescent="0.3">
      <c r="A400" s="27" t="s">
        <v>101</v>
      </c>
      <c r="B400" s="14" t="s">
        <v>77</v>
      </c>
      <c r="C400" s="16">
        <v>69190</v>
      </c>
      <c r="D400" s="16"/>
      <c r="E400" s="16">
        <v>69190</v>
      </c>
      <c r="F400" s="14" t="s">
        <v>75</v>
      </c>
      <c r="G400" s="15">
        <v>46358</v>
      </c>
      <c r="H400" s="15">
        <v>46368</v>
      </c>
      <c r="I400" s="14">
        <v>10</v>
      </c>
      <c r="J400" s="9">
        <v>0</v>
      </c>
      <c r="K400" s="15">
        <v>45930</v>
      </c>
      <c r="L400" s="28" t="s">
        <v>2</v>
      </c>
    </row>
    <row r="401" spans="1:12" x14ac:dyDescent="0.3">
      <c r="A401" s="27" t="s">
        <v>101</v>
      </c>
      <c r="B401" s="14" t="s">
        <v>77</v>
      </c>
      <c r="C401" s="3">
        <v>40829.300000000003</v>
      </c>
      <c r="D401" s="3"/>
      <c r="E401" s="3">
        <v>40829.300000000003</v>
      </c>
      <c r="F401" s="14" t="s">
        <v>75</v>
      </c>
      <c r="G401" s="15">
        <v>46359</v>
      </c>
      <c r="H401" s="15">
        <v>46363</v>
      </c>
      <c r="I401" s="14">
        <v>4</v>
      </c>
      <c r="J401" s="9">
        <v>0</v>
      </c>
      <c r="K401" s="15">
        <v>45533</v>
      </c>
      <c r="L401" s="28" t="s">
        <v>15</v>
      </c>
    </row>
    <row r="402" spans="1:12" x14ac:dyDescent="0.3">
      <c r="A402" s="27" t="s">
        <v>101</v>
      </c>
      <c r="B402" s="14" t="s">
        <v>77</v>
      </c>
      <c r="C402" s="16">
        <v>40829.300000000003</v>
      </c>
      <c r="D402" s="16"/>
      <c r="E402" s="16">
        <v>40829.300000000003</v>
      </c>
      <c r="F402" s="14" t="s">
        <v>75</v>
      </c>
      <c r="G402" s="15">
        <v>46366</v>
      </c>
      <c r="H402" s="15">
        <v>46371</v>
      </c>
      <c r="I402" s="14">
        <v>5</v>
      </c>
      <c r="J402" s="9">
        <v>26451.3</v>
      </c>
      <c r="K402" s="15">
        <v>45972</v>
      </c>
      <c r="L402" s="28" t="s">
        <v>2</v>
      </c>
    </row>
    <row r="403" spans="1:12" x14ac:dyDescent="0.3">
      <c r="A403" s="27" t="s">
        <v>101</v>
      </c>
      <c r="B403" s="14" t="s">
        <v>77</v>
      </c>
      <c r="C403" s="3">
        <v>195732</v>
      </c>
      <c r="D403" s="3">
        <v>48933</v>
      </c>
      <c r="E403" s="3">
        <v>146799</v>
      </c>
      <c r="F403" s="14" t="s">
        <v>72</v>
      </c>
      <c r="G403" s="15">
        <v>46374</v>
      </c>
      <c r="H403" s="15">
        <v>46384</v>
      </c>
      <c r="I403" s="14">
        <v>10</v>
      </c>
      <c r="J403" s="9">
        <v>130130.78</v>
      </c>
      <c r="K403" s="15">
        <v>45981</v>
      </c>
      <c r="L403" s="28" t="s">
        <v>2</v>
      </c>
    </row>
    <row r="404" spans="1:12" x14ac:dyDescent="0.3">
      <c r="A404" s="27" t="s">
        <v>101</v>
      </c>
      <c r="B404" s="14" t="s">
        <v>77</v>
      </c>
      <c r="C404" s="3"/>
      <c r="D404" s="3"/>
      <c r="E404" s="3"/>
      <c r="F404" s="14" t="s">
        <v>73</v>
      </c>
      <c r="G404" s="15">
        <v>46376</v>
      </c>
      <c r="H404" s="15">
        <v>46396</v>
      </c>
      <c r="I404" s="14">
        <v>20</v>
      </c>
      <c r="J404" s="9">
        <v>0</v>
      </c>
      <c r="K404" s="15">
        <v>45876</v>
      </c>
      <c r="L404" s="28" t="s">
        <v>24</v>
      </c>
    </row>
    <row r="405" spans="1:12" x14ac:dyDescent="0.3">
      <c r="A405" s="27" t="s">
        <v>101</v>
      </c>
      <c r="B405" s="14" t="s">
        <v>76</v>
      </c>
      <c r="C405" s="3">
        <v>321650</v>
      </c>
      <c r="D405" s="3">
        <v>166662.98000000001</v>
      </c>
      <c r="E405" s="3">
        <v>154987.01999999999</v>
      </c>
      <c r="F405" s="14" t="s">
        <v>72</v>
      </c>
      <c r="G405" s="15">
        <v>46376</v>
      </c>
      <c r="H405" s="15">
        <v>46391</v>
      </c>
      <c r="I405" s="14">
        <v>15</v>
      </c>
      <c r="J405" s="9">
        <v>212683.2</v>
      </c>
      <c r="K405" s="15">
        <v>45709</v>
      </c>
      <c r="L405" s="28" t="s">
        <v>17</v>
      </c>
    </row>
    <row r="406" spans="1:12" x14ac:dyDescent="0.3">
      <c r="A406" s="27"/>
      <c r="B406" s="14"/>
      <c r="C406" s="16"/>
      <c r="D406" s="16"/>
      <c r="E406" s="16"/>
      <c r="F406" s="14"/>
      <c r="G406" s="15"/>
      <c r="H406" s="15"/>
      <c r="I406" s="14"/>
      <c r="J406" s="9"/>
      <c r="K406" s="15"/>
      <c r="L406" s="28"/>
    </row>
    <row r="407" spans="1:12" x14ac:dyDescent="0.3">
      <c r="A407" s="67"/>
      <c r="B407" s="68"/>
      <c r="C407" s="69"/>
      <c r="D407" s="69"/>
      <c r="E407" s="69"/>
      <c r="F407" s="69"/>
      <c r="G407" s="70"/>
      <c r="H407" s="70"/>
      <c r="I407" s="68"/>
      <c r="J407" s="71"/>
      <c r="K407" s="70"/>
      <c r="L407" s="72"/>
    </row>
    <row r="408" spans="1:12" x14ac:dyDescent="0.3">
      <c r="A408" s="67"/>
      <c r="B408" s="68"/>
      <c r="C408" s="69"/>
      <c r="D408" s="69"/>
      <c r="E408" s="69"/>
      <c r="F408" s="69"/>
      <c r="G408" s="70"/>
      <c r="H408" s="70"/>
      <c r="I408" s="68"/>
      <c r="J408" s="71"/>
      <c r="K408" s="70"/>
      <c r="L408" s="72"/>
    </row>
    <row r="409" spans="1:12" x14ac:dyDescent="0.3">
      <c r="A409" s="67"/>
      <c r="B409" s="68"/>
      <c r="C409" s="69"/>
      <c r="D409" s="69"/>
      <c r="E409" s="69"/>
      <c r="F409" s="69"/>
      <c r="G409" s="70"/>
      <c r="H409" s="70"/>
      <c r="I409" s="68"/>
      <c r="J409" s="71"/>
      <c r="K409" s="70"/>
      <c r="L409" s="72"/>
    </row>
    <row r="410" spans="1:12" x14ac:dyDescent="0.3">
      <c r="A410" s="67"/>
      <c r="B410" s="68"/>
      <c r="C410" s="69"/>
      <c r="D410" s="69"/>
      <c r="E410" s="69"/>
      <c r="F410" s="69"/>
      <c r="G410" s="70"/>
      <c r="H410" s="70"/>
      <c r="I410" s="68"/>
      <c r="J410" s="71"/>
      <c r="K410" s="70"/>
      <c r="L410" s="72"/>
    </row>
    <row r="411" spans="1:12" x14ac:dyDescent="0.3">
      <c r="A411" s="67"/>
      <c r="B411" s="68"/>
      <c r="C411" s="69"/>
      <c r="D411" s="69"/>
      <c r="E411" s="69"/>
      <c r="F411" s="69"/>
      <c r="G411" s="70"/>
      <c r="H411" s="70"/>
      <c r="I411" s="68"/>
      <c r="J411" s="71"/>
      <c r="K411" s="70"/>
      <c r="L411" s="72"/>
    </row>
    <row r="412" spans="1:12" x14ac:dyDescent="0.3">
      <c r="A412" s="67"/>
      <c r="B412" s="68"/>
      <c r="C412" s="69"/>
      <c r="D412" s="69"/>
      <c r="E412" s="69"/>
      <c r="F412" s="69"/>
      <c r="G412" s="70"/>
      <c r="H412" s="70"/>
      <c r="I412" s="68"/>
      <c r="J412" s="71"/>
      <c r="K412" s="70"/>
      <c r="L412" s="72"/>
    </row>
    <row r="413" spans="1:12" x14ac:dyDescent="0.3">
      <c r="A413" s="67"/>
      <c r="B413" s="68"/>
      <c r="C413" s="69"/>
      <c r="D413" s="69"/>
      <c r="E413" s="69"/>
      <c r="F413" s="69"/>
      <c r="G413" s="70"/>
      <c r="H413" s="70"/>
      <c r="I413" s="68"/>
      <c r="J413" s="71"/>
      <c r="K413" s="70"/>
      <c r="L413" s="72"/>
    </row>
    <row r="414" spans="1:12" x14ac:dyDescent="0.3">
      <c r="A414" s="67"/>
      <c r="B414" s="68"/>
      <c r="C414" s="69"/>
      <c r="D414" s="69"/>
      <c r="E414" s="69"/>
      <c r="F414" s="69"/>
      <c r="G414" s="70"/>
      <c r="H414" s="70"/>
      <c r="I414" s="68"/>
      <c r="J414" s="71"/>
      <c r="K414" s="70"/>
      <c r="L414" s="72"/>
    </row>
    <row r="415" spans="1:12" x14ac:dyDescent="0.3">
      <c r="A415" s="67"/>
      <c r="B415" s="68"/>
      <c r="C415" s="69"/>
      <c r="D415" s="69"/>
      <c r="E415" s="69"/>
      <c r="F415" s="69"/>
      <c r="G415" s="70"/>
      <c r="H415" s="70"/>
      <c r="I415" s="68"/>
      <c r="J415" s="71"/>
      <c r="K415" s="70"/>
      <c r="L415" s="72"/>
    </row>
    <row r="416" spans="1:12" x14ac:dyDescent="0.3">
      <c r="A416" s="67"/>
      <c r="B416" s="68"/>
      <c r="C416" s="69"/>
      <c r="D416" s="69"/>
      <c r="E416" s="69"/>
      <c r="F416" s="69"/>
      <c r="G416" s="70"/>
      <c r="H416" s="70"/>
      <c r="I416" s="68"/>
      <c r="J416" s="71"/>
      <c r="K416" s="70"/>
      <c r="L416" s="72"/>
    </row>
    <row r="417" spans="1:12" x14ac:dyDescent="0.3">
      <c r="A417" s="67"/>
      <c r="B417" s="68"/>
      <c r="C417" s="69"/>
      <c r="D417" s="69"/>
      <c r="E417" s="69"/>
      <c r="F417" s="69"/>
      <c r="G417" s="70"/>
      <c r="H417" s="70"/>
      <c r="I417" s="68"/>
      <c r="J417" s="71"/>
      <c r="K417" s="70"/>
      <c r="L417" s="72"/>
    </row>
    <row r="418" spans="1:12" x14ac:dyDescent="0.3">
      <c r="A418" s="67"/>
      <c r="B418" s="68"/>
      <c r="C418" s="69"/>
      <c r="D418" s="69"/>
      <c r="E418" s="69"/>
      <c r="F418" s="69"/>
      <c r="G418" s="70"/>
      <c r="H418" s="70"/>
      <c r="I418" s="68"/>
      <c r="J418" s="71"/>
      <c r="K418" s="70"/>
      <c r="L418" s="72"/>
    </row>
    <row r="419" spans="1:12" x14ac:dyDescent="0.3">
      <c r="A419" s="67"/>
      <c r="B419" s="68"/>
      <c r="C419" s="69"/>
      <c r="D419" s="69"/>
      <c r="E419" s="69"/>
      <c r="F419" s="69"/>
      <c r="G419" s="70"/>
      <c r="H419" s="70"/>
      <c r="I419" s="68"/>
      <c r="J419" s="71"/>
      <c r="K419" s="70"/>
      <c r="L419" s="72"/>
    </row>
    <row r="420" spans="1:12" x14ac:dyDescent="0.3">
      <c r="A420" s="67"/>
      <c r="B420" s="68"/>
      <c r="C420" s="69"/>
      <c r="D420" s="69"/>
      <c r="E420" s="69"/>
      <c r="F420" s="69"/>
      <c r="G420" s="70"/>
      <c r="H420" s="70"/>
      <c r="I420" s="68"/>
      <c r="J420" s="71"/>
      <c r="K420" s="70"/>
      <c r="L420" s="72"/>
    </row>
    <row r="421" spans="1:12" x14ac:dyDescent="0.3">
      <c r="A421" s="67"/>
      <c r="B421" s="68"/>
      <c r="C421" s="69"/>
      <c r="D421" s="69"/>
      <c r="E421" s="69"/>
      <c r="F421" s="69"/>
      <c r="G421" s="70"/>
      <c r="H421" s="70"/>
      <c r="I421" s="68"/>
      <c r="J421" s="71"/>
      <c r="K421" s="70"/>
      <c r="L421" s="72"/>
    </row>
    <row r="422" spans="1:12" x14ac:dyDescent="0.3">
      <c r="A422" s="67"/>
      <c r="B422" s="68"/>
      <c r="C422" s="69"/>
      <c r="D422" s="69"/>
      <c r="E422" s="69"/>
      <c r="F422" s="69"/>
      <c r="G422" s="70"/>
      <c r="H422" s="70"/>
      <c r="I422" s="68"/>
      <c r="J422" s="71"/>
      <c r="K422" s="70"/>
      <c r="L422" s="72"/>
    </row>
    <row r="423" spans="1:12" x14ac:dyDescent="0.3">
      <c r="A423" s="67"/>
      <c r="B423" s="68"/>
      <c r="C423" s="69"/>
      <c r="D423" s="69"/>
      <c r="E423" s="69"/>
      <c r="F423" s="69"/>
      <c r="G423" s="70"/>
      <c r="H423" s="70"/>
      <c r="I423" s="68"/>
      <c r="J423" s="71"/>
      <c r="K423" s="70"/>
      <c r="L423" s="72"/>
    </row>
    <row r="424" spans="1:12" x14ac:dyDescent="0.3">
      <c r="A424" s="67"/>
      <c r="B424" s="68"/>
      <c r="C424" s="69"/>
      <c r="D424" s="69"/>
      <c r="E424" s="69"/>
      <c r="F424" s="69"/>
      <c r="G424" s="70"/>
      <c r="H424" s="70"/>
      <c r="I424" s="68"/>
      <c r="J424" s="71"/>
      <c r="K424" s="70"/>
      <c r="L424" s="72"/>
    </row>
    <row r="425" spans="1:12" x14ac:dyDescent="0.3">
      <c r="A425" s="67"/>
      <c r="B425" s="68"/>
      <c r="C425" s="69"/>
      <c r="D425" s="69"/>
      <c r="E425" s="69"/>
      <c r="F425" s="69"/>
      <c r="G425" s="70"/>
      <c r="H425" s="70"/>
      <c r="I425" s="68"/>
      <c r="J425" s="71"/>
      <c r="K425" s="70"/>
      <c r="L425" s="72"/>
    </row>
    <row r="426" spans="1:12" x14ac:dyDescent="0.3">
      <c r="A426" s="67"/>
      <c r="B426" s="68"/>
      <c r="C426" s="69"/>
      <c r="D426" s="69"/>
      <c r="E426" s="69"/>
      <c r="F426" s="69"/>
      <c r="G426" s="70"/>
      <c r="H426" s="70"/>
      <c r="I426" s="68"/>
      <c r="J426" s="71"/>
      <c r="K426" s="70"/>
      <c r="L426" s="72"/>
    </row>
    <row r="427" spans="1:12" x14ac:dyDescent="0.3">
      <c r="A427" s="67"/>
      <c r="B427" s="68"/>
      <c r="C427" s="69"/>
      <c r="D427" s="69"/>
      <c r="E427" s="69"/>
      <c r="F427" s="69"/>
      <c r="G427" s="70"/>
      <c r="H427" s="70"/>
      <c r="I427" s="68"/>
      <c r="J427" s="71"/>
      <c r="K427" s="70"/>
      <c r="L427" s="72"/>
    </row>
    <row r="428" spans="1:12" x14ac:dyDescent="0.3">
      <c r="A428" s="67"/>
      <c r="B428" s="68"/>
      <c r="C428" s="69"/>
      <c r="D428" s="69"/>
      <c r="E428" s="69"/>
      <c r="F428" s="69"/>
      <c r="G428" s="70"/>
      <c r="H428" s="70"/>
      <c r="I428" s="68"/>
      <c r="J428" s="71"/>
      <c r="K428" s="70"/>
      <c r="L428" s="7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26F3-E51F-4552-B586-1F5D21DC118A}">
  <dimension ref="A1:L495"/>
  <sheetViews>
    <sheetView zoomScale="70" zoomScaleNormal="70" workbookViewId="0">
      <selection activeCell="D23" sqref="D23"/>
    </sheetView>
  </sheetViews>
  <sheetFormatPr defaultColWidth="8.88671875" defaultRowHeight="14.4" x14ac:dyDescent="0.3"/>
  <cols>
    <col min="1" max="1" width="11" style="17" customWidth="1"/>
    <col min="2" max="2" width="16" style="17" customWidth="1"/>
    <col min="3" max="3" width="22.6640625" style="21" customWidth="1"/>
    <col min="4" max="4" width="26.5546875" style="21" customWidth="1"/>
    <col min="5" max="5" width="15.6640625" style="21" customWidth="1"/>
    <col min="6" max="6" width="23.44140625" style="17" customWidth="1"/>
    <col min="7" max="7" width="12.88671875" style="17" customWidth="1"/>
    <col min="8" max="8" width="14.88671875" style="17" customWidth="1"/>
    <col min="9" max="9" width="17.109375" style="17" customWidth="1"/>
    <col min="10" max="10" width="22.5546875" style="22" customWidth="1"/>
    <col min="11" max="11" width="18.44140625" style="17" customWidth="1"/>
    <col min="12" max="12" width="35.44140625" style="17" customWidth="1"/>
    <col min="13" max="16384" width="8.88671875" style="17"/>
  </cols>
  <sheetData>
    <row r="1" spans="1:12" s="13" customFormat="1" x14ac:dyDescent="0.3">
      <c r="A1" s="29" t="s">
        <v>46</v>
      </c>
      <c r="B1" s="30" t="s">
        <v>71</v>
      </c>
      <c r="C1" s="32" t="s">
        <v>54</v>
      </c>
      <c r="D1" s="32" t="s">
        <v>55</v>
      </c>
      <c r="E1" s="32" t="s">
        <v>56</v>
      </c>
      <c r="F1" s="31" t="s">
        <v>69</v>
      </c>
      <c r="G1" s="30" t="s">
        <v>47</v>
      </c>
      <c r="H1" s="30" t="s">
        <v>48</v>
      </c>
      <c r="I1" s="30" t="s">
        <v>49</v>
      </c>
      <c r="J1" s="31" t="s">
        <v>50</v>
      </c>
      <c r="K1" s="30" t="s">
        <v>52</v>
      </c>
      <c r="L1" s="33" t="s">
        <v>53</v>
      </c>
    </row>
    <row r="2" spans="1:12" x14ac:dyDescent="0.3">
      <c r="A2" s="27" t="s">
        <v>102</v>
      </c>
      <c r="B2" s="14" t="s">
        <v>76</v>
      </c>
      <c r="C2" s="9">
        <v>13788.38</v>
      </c>
      <c r="D2" s="9">
        <v>13788.38</v>
      </c>
      <c r="E2" s="9"/>
      <c r="F2" s="14" t="s">
        <v>70</v>
      </c>
      <c r="G2" s="15">
        <v>46023</v>
      </c>
      <c r="H2" s="15">
        <v>46024</v>
      </c>
      <c r="I2" s="14">
        <v>1</v>
      </c>
      <c r="J2" s="16">
        <v>7349.19</v>
      </c>
      <c r="K2" s="15">
        <v>45912</v>
      </c>
      <c r="L2" s="28" t="s">
        <v>14</v>
      </c>
    </row>
    <row r="3" spans="1:12" x14ac:dyDescent="0.3">
      <c r="A3" s="27" t="s">
        <v>102</v>
      </c>
      <c r="B3" s="14" t="s">
        <v>76</v>
      </c>
      <c r="C3" s="9">
        <v>96137.600000000006</v>
      </c>
      <c r="D3" s="9">
        <v>96137.600000000006</v>
      </c>
      <c r="E3" s="9"/>
      <c r="F3" s="14" t="s">
        <v>70</v>
      </c>
      <c r="G3" s="15">
        <v>46023</v>
      </c>
      <c r="H3" s="15">
        <v>46027</v>
      </c>
      <c r="I3" s="14">
        <v>4</v>
      </c>
      <c r="J3" s="16">
        <v>66161.16</v>
      </c>
      <c r="K3" s="15">
        <v>45794</v>
      </c>
      <c r="L3" s="28" t="s">
        <v>14</v>
      </c>
    </row>
    <row r="4" spans="1:12" x14ac:dyDescent="0.3">
      <c r="A4" s="27" t="s">
        <v>102</v>
      </c>
      <c r="B4" s="14" t="s">
        <v>76</v>
      </c>
      <c r="C4" s="9">
        <v>79580</v>
      </c>
      <c r="D4" s="9">
        <v>79580</v>
      </c>
      <c r="E4" s="9"/>
      <c r="F4" s="14" t="s">
        <v>70</v>
      </c>
      <c r="G4" s="15">
        <v>46023</v>
      </c>
      <c r="H4" s="15">
        <v>46027</v>
      </c>
      <c r="I4" s="14">
        <v>4</v>
      </c>
      <c r="J4" s="16">
        <v>48593.64</v>
      </c>
      <c r="K4" s="15">
        <v>45724</v>
      </c>
      <c r="L4" s="28" t="s">
        <v>15</v>
      </c>
    </row>
    <row r="5" spans="1:12" x14ac:dyDescent="0.3">
      <c r="A5" s="27" t="s">
        <v>102</v>
      </c>
      <c r="B5" s="14" t="s">
        <v>76</v>
      </c>
      <c r="C5" s="9">
        <v>31054.799999999999</v>
      </c>
      <c r="D5" s="9">
        <v>31054.799999999999</v>
      </c>
      <c r="E5" s="9"/>
      <c r="F5" s="14" t="s">
        <v>70</v>
      </c>
      <c r="G5" s="15">
        <v>46024</v>
      </c>
      <c r="H5" s="15">
        <v>46028</v>
      </c>
      <c r="I5" s="14">
        <v>4</v>
      </c>
      <c r="J5" s="16">
        <v>21277.4</v>
      </c>
      <c r="K5" s="15">
        <v>45699</v>
      </c>
      <c r="L5" s="28" t="s">
        <v>15</v>
      </c>
    </row>
    <row r="6" spans="1:12" x14ac:dyDescent="0.3">
      <c r="A6" s="27" t="s">
        <v>102</v>
      </c>
      <c r="B6" s="14" t="s">
        <v>76</v>
      </c>
      <c r="C6" s="9">
        <v>142945.63</v>
      </c>
      <c r="D6" s="9">
        <v>142945.63</v>
      </c>
      <c r="E6" s="9"/>
      <c r="F6" s="14" t="s">
        <v>70</v>
      </c>
      <c r="G6" s="15">
        <v>46025</v>
      </c>
      <c r="H6" s="15">
        <v>46032</v>
      </c>
      <c r="I6" s="14">
        <v>7</v>
      </c>
      <c r="J6" s="16">
        <v>81000.78</v>
      </c>
      <c r="K6" s="15">
        <v>45978</v>
      </c>
      <c r="L6" s="28" t="s">
        <v>27</v>
      </c>
    </row>
    <row r="7" spans="1:12" x14ac:dyDescent="0.3">
      <c r="A7" s="27" t="s">
        <v>102</v>
      </c>
      <c r="B7" s="14" t="s">
        <v>76</v>
      </c>
      <c r="C7" s="9">
        <v>104286</v>
      </c>
      <c r="D7" s="9">
        <v>104286</v>
      </c>
      <c r="E7" s="9"/>
      <c r="F7" s="14" t="s">
        <v>70</v>
      </c>
      <c r="G7" s="15">
        <v>46026</v>
      </c>
      <c r="H7" s="15">
        <v>46033</v>
      </c>
      <c r="I7" s="14">
        <v>7</v>
      </c>
      <c r="J7" s="16">
        <v>76173.3</v>
      </c>
      <c r="K7" s="15">
        <v>45953</v>
      </c>
      <c r="L7" s="28" t="s">
        <v>15</v>
      </c>
    </row>
    <row r="8" spans="1:12" x14ac:dyDescent="0.3">
      <c r="A8" s="27" t="s">
        <v>102</v>
      </c>
      <c r="B8" s="14" t="s">
        <v>76</v>
      </c>
      <c r="C8" s="9">
        <v>108000</v>
      </c>
      <c r="D8" s="9">
        <v>108000</v>
      </c>
      <c r="E8" s="9"/>
      <c r="F8" s="14" t="s">
        <v>70</v>
      </c>
      <c r="G8" s="15">
        <v>46026</v>
      </c>
      <c r="H8" s="15">
        <v>46034</v>
      </c>
      <c r="I8" s="14">
        <v>8</v>
      </c>
      <c r="J8" s="16">
        <v>77793.279999999999</v>
      </c>
      <c r="K8" s="15">
        <v>45982</v>
      </c>
      <c r="L8" s="28" t="s">
        <v>1</v>
      </c>
    </row>
    <row r="9" spans="1:12" x14ac:dyDescent="0.3">
      <c r="A9" s="27" t="s">
        <v>102</v>
      </c>
      <c r="B9" s="14" t="s">
        <v>76</v>
      </c>
      <c r="C9" s="9">
        <v>64812.480000000003</v>
      </c>
      <c r="D9" s="9">
        <v>64812.480000000003</v>
      </c>
      <c r="E9" s="9"/>
      <c r="F9" s="14" t="s">
        <v>70</v>
      </c>
      <c r="G9" s="15">
        <v>46029</v>
      </c>
      <c r="H9" s="15">
        <v>46033</v>
      </c>
      <c r="I9" s="14">
        <v>4</v>
      </c>
      <c r="J9" s="16">
        <v>56040.44</v>
      </c>
      <c r="K9" s="15">
        <v>45978</v>
      </c>
      <c r="L9" s="28" t="s">
        <v>9</v>
      </c>
    </row>
    <row r="10" spans="1:12" x14ac:dyDescent="0.3">
      <c r="A10" s="27" t="s">
        <v>102</v>
      </c>
      <c r="B10" s="14" t="s">
        <v>76</v>
      </c>
      <c r="C10" s="9">
        <v>100000</v>
      </c>
      <c r="D10" s="9">
        <v>25187.52</v>
      </c>
      <c r="E10" s="9">
        <v>74812.486999999994</v>
      </c>
      <c r="F10" s="14" t="s">
        <v>72</v>
      </c>
      <c r="G10" s="15">
        <v>46029</v>
      </c>
      <c r="H10" s="15">
        <v>46033</v>
      </c>
      <c r="I10" s="14">
        <v>4</v>
      </c>
      <c r="J10" s="16">
        <v>55927.519999999997</v>
      </c>
      <c r="K10" s="15">
        <v>45978</v>
      </c>
      <c r="L10" s="28" t="s">
        <v>9</v>
      </c>
    </row>
    <row r="11" spans="1:12" x14ac:dyDescent="0.3">
      <c r="A11" s="27" t="s">
        <v>102</v>
      </c>
      <c r="B11" s="14" t="s">
        <v>77</v>
      </c>
      <c r="C11" s="9">
        <v>34931.980000000003</v>
      </c>
      <c r="D11" s="9">
        <v>34931.980000000003</v>
      </c>
      <c r="E11" s="9"/>
      <c r="F11" s="14" t="s">
        <v>70</v>
      </c>
      <c r="G11" s="15">
        <v>46029</v>
      </c>
      <c r="H11" s="15">
        <v>46036</v>
      </c>
      <c r="I11" s="14">
        <v>7</v>
      </c>
      <c r="J11" s="16">
        <v>22855.49</v>
      </c>
      <c r="K11" s="15">
        <v>45824</v>
      </c>
      <c r="L11" s="28" t="s">
        <v>1</v>
      </c>
    </row>
    <row r="12" spans="1:12" x14ac:dyDescent="0.3">
      <c r="A12" s="27" t="s">
        <v>102</v>
      </c>
      <c r="B12" s="14" t="s">
        <v>77</v>
      </c>
      <c r="C12" s="9">
        <v>53611.66</v>
      </c>
      <c r="D12" s="9"/>
      <c r="E12" s="9">
        <v>53611.66</v>
      </c>
      <c r="F12" s="14" t="s">
        <v>75</v>
      </c>
      <c r="G12" s="15">
        <v>46029</v>
      </c>
      <c r="H12" s="15">
        <v>46043</v>
      </c>
      <c r="I12" s="14">
        <v>14</v>
      </c>
      <c r="J12" s="16">
        <v>32521.86</v>
      </c>
      <c r="K12" s="15">
        <v>45999</v>
      </c>
      <c r="L12" s="28" t="s">
        <v>2</v>
      </c>
    </row>
    <row r="13" spans="1:12" x14ac:dyDescent="0.3">
      <c r="A13" s="27" t="s">
        <v>102</v>
      </c>
      <c r="B13" s="14" t="s">
        <v>77</v>
      </c>
      <c r="C13" s="9">
        <v>54341.599999999999</v>
      </c>
      <c r="D13" s="9">
        <v>54341.599999999999</v>
      </c>
      <c r="E13" s="9"/>
      <c r="F13" s="14" t="s">
        <v>70</v>
      </c>
      <c r="G13" s="15">
        <v>46029</v>
      </c>
      <c r="H13" s="15">
        <v>46034</v>
      </c>
      <c r="I13" s="14">
        <v>5</v>
      </c>
      <c r="J13" s="16">
        <v>28503.95</v>
      </c>
      <c r="K13" s="15">
        <v>45938</v>
      </c>
      <c r="L13" s="28" t="s">
        <v>38</v>
      </c>
    </row>
    <row r="14" spans="1:12" x14ac:dyDescent="0.3">
      <c r="A14" s="27" t="s">
        <v>102</v>
      </c>
      <c r="B14" s="14" t="s">
        <v>77</v>
      </c>
      <c r="C14" s="9">
        <v>28757.119999999999</v>
      </c>
      <c r="D14" s="9">
        <v>28757.119999999999</v>
      </c>
      <c r="E14" s="9"/>
      <c r="F14" s="14" t="s">
        <v>70</v>
      </c>
      <c r="G14" s="15">
        <v>46030</v>
      </c>
      <c r="H14" s="15">
        <v>46034</v>
      </c>
      <c r="I14" s="14">
        <v>4</v>
      </c>
      <c r="J14" s="16">
        <v>20483.16</v>
      </c>
      <c r="K14" s="15">
        <v>45962</v>
      </c>
      <c r="L14" s="28" t="s">
        <v>14</v>
      </c>
    </row>
    <row r="15" spans="1:12" x14ac:dyDescent="0.3">
      <c r="A15" s="27" t="s">
        <v>102</v>
      </c>
      <c r="B15" s="14" t="s">
        <v>77</v>
      </c>
      <c r="C15" s="9">
        <v>44845.14</v>
      </c>
      <c r="D15" s="9">
        <v>44845.14</v>
      </c>
      <c r="E15" s="9"/>
      <c r="F15" s="14" t="s">
        <v>70</v>
      </c>
      <c r="G15" s="15">
        <v>46031</v>
      </c>
      <c r="H15" s="15">
        <v>46038</v>
      </c>
      <c r="I15" s="14">
        <v>7</v>
      </c>
      <c r="J15" s="16">
        <v>28744.73</v>
      </c>
      <c r="K15" s="15">
        <v>45721</v>
      </c>
      <c r="L15" s="28" t="s">
        <v>15</v>
      </c>
    </row>
    <row r="16" spans="1:12" x14ac:dyDescent="0.3">
      <c r="A16" s="27" t="s">
        <v>102</v>
      </c>
      <c r="B16" s="14" t="s">
        <v>77</v>
      </c>
      <c r="C16" s="9">
        <v>63370.87</v>
      </c>
      <c r="D16" s="9">
        <v>63370.87</v>
      </c>
      <c r="E16" s="9"/>
      <c r="F16" s="14" t="s">
        <v>70</v>
      </c>
      <c r="G16" s="15">
        <v>46032</v>
      </c>
      <c r="H16" s="15">
        <v>46039</v>
      </c>
      <c r="I16" s="14">
        <v>7</v>
      </c>
      <c r="J16" s="16">
        <v>42746.34</v>
      </c>
      <c r="K16" s="15">
        <v>45992</v>
      </c>
      <c r="L16" s="28" t="s">
        <v>26</v>
      </c>
    </row>
    <row r="17" spans="1:12" x14ac:dyDescent="0.3">
      <c r="A17" s="27" t="s">
        <v>102</v>
      </c>
      <c r="B17" s="14" t="s">
        <v>77</v>
      </c>
      <c r="C17" s="9">
        <v>27132</v>
      </c>
      <c r="D17" s="9">
        <v>27132</v>
      </c>
      <c r="E17" s="9"/>
      <c r="F17" s="14" t="s">
        <v>70</v>
      </c>
      <c r="G17" s="15">
        <v>46033</v>
      </c>
      <c r="H17" s="15">
        <v>46038</v>
      </c>
      <c r="I17" s="14">
        <v>5</v>
      </c>
      <c r="J17" s="16">
        <v>16744.5</v>
      </c>
      <c r="K17" s="15">
        <v>45918</v>
      </c>
      <c r="L17" s="28" t="s">
        <v>26</v>
      </c>
    </row>
    <row r="18" spans="1:12" x14ac:dyDescent="0.3">
      <c r="A18" s="27" t="s">
        <v>102</v>
      </c>
      <c r="B18" s="14" t="s">
        <v>77</v>
      </c>
      <c r="C18" s="9">
        <v>19220</v>
      </c>
      <c r="D18" s="9">
        <v>19220</v>
      </c>
      <c r="E18" s="9"/>
      <c r="F18" s="14" t="s">
        <v>70</v>
      </c>
      <c r="G18" s="15">
        <v>46033</v>
      </c>
      <c r="H18" s="15">
        <v>46038</v>
      </c>
      <c r="I18" s="14">
        <v>5</v>
      </c>
      <c r="J18" s="16">
        <v>12315.45</v>
      </c>
      <c r="K18" s="15">
        <v>45947</v>
      </c>
      <c r="L18" s="28" t="s">
        <v>41</v>
      </c>
    </row>
    <row r="19" spans="1:12" x14ac:dyDescent="0.3">
      <c r="A19" s="27" t="s">
        <v>102</v>
      </c>
      <c r="B19" s="14" t="s">
        <v>77</v>
      </c>
      <c r="C19" s="9">
        <v>24522.32</v>
      </c>
      <c r="D19" s="9">
        <v>24522.32</v>
      </c>
      <c r="E19" s="9"/>
      <c r="F19" s="14" t="s">
        <v>70</v>
      </c>
      <c r="G19" s="15">
        <v>46033</v>
      </c>
      <c r="H19" s="15">
        <v>46040</v>
      </c>
      <c r="I19" s="14">
        <v>7</v>
      </c>
      <c r="J19" s="16">
        <v>15906.81</v>
      </c>
      <c r="K19" s="15">
        <v>45967</v>
      </c>
      <c r="L19" s="28" t="s">
        <v>15</v>
      </c>
    </row>
    <row r="20" spans="1:12" x14ac:dyDescent="0.3">
      <c r="A20" s="27" t="s">
        <v>102</v>
      </c>
      <c r="B20" s="14" t="s">
        <v>77</v>
      </c>
      <c r="C20" s="9">
        <v>31975.68</v>
      </c>
      <c r="D20" s="9">
        <v>31975.68</v>
      </c>
      <c r="E20" s="9"/>
      <c r="F20" s="14" t="s">
        <v>81</v>
      </c>
      <c r="G20" s="15">
        <v>46033</v>
      </c>
      <c r="H20" s="15">
        <v>46037</v>
      </c>
      <c r="I20" s="14">
        <v>4</v>
      </c>
      <c r="J20" s="16">
        <v>18803.16</v>
      </c>
      <c r="K20" s="15">
        <v>45919</v>
      </c>
      <c r="L20" s="28" t="s">
        <v>2</v>
      </c>
    </row>
    <row r="21" spans="1:12" x14ac:dyDescent="0.3">
      <c r="A21" s="27" t="s">
        <v>102</v>
      </c>
      <c r="B21" s="14" t="s">
        <v>77</v>
      </c>
      <c r="C21" s="9">
        <v>77066</v>
      </c>
      <c r="D21" s="9"/>
      <c r="E21" s="9">
        <v>77066</v>
      </c>
      <c r="F21" s="14" t="s">
        <v>75</v>
      </c>
      <c r="G21" s="15">
        <v>46034</v>
      </c>
      <c r="H21" s="15">
        <v>46041</v>
      </c>
      <c r="I21" s="14">
        <v>7</v>
      </c>
      <c r="J21" s="16">
        <v>53197.48</v>
      </c>
      <c r="K21" s="15">
        <v>45702</v>
      </c>
      <c r="L21" s="28" t="s">
        <v>38</v>
      </c>
    </row>
    <row r="22" spans="1:12" x14ac:dyDescent="0.3">
      <c r="A22" s="27" t="s">
        <v>102</v>
      </c>
      <c r="B22" s="14" t="s">
        <v>77</v>
      </c>
      <c r="C22" s="9"/>
      <c r="D22" s="9"/>
      <c r="E22" s="9"/>
      <c r="F22" s="14" t="s">
        <v>74</v>
      </c>
      <c r="G22" s="15">
        <v>46034</v>
      </c>
      <c r="H22" s="15">
        <v>46038</v>
      </c>
      <c r="I22" s="14">
        <v>4</v>
      </c>
      <c r="J22" s="16">
        <v>10531.12</v>
      </c>
      <c r="K22" s="15">
        <v>45998</v>
      </c>
      <c r="L22" s="28" t="s">
        <v>31</v>
      </c>
    </row>
    <row r="23" spans="1:12" x14ac:dyDescent="0.3">
      <c r="A23" s="27" t="s">
        <v>102</v>
      </c>
      <c r="B23" s="14" t="s">
        <v>77</v>
      </c>
      <c r="C23" s="9"/>
      <c r="D23" s="9"/>
      <c r="E23" s="9"/>
      <c r="F23" s="14" t="s">
        <v>74</v>
      </c>
      <c r="G23" s="15">
        <v>46034</v>
      </c>
      <c r="H23" s="15">
        <v>46038</v>
      </c>
      <c r="I23" s="14">
        <v>4</v>
      </c>
      <c r="J23" s="16">
        <v>10531.12</v>
      </c>
      <c r="K23" s="15">
        <v>46000</v>
      </c>
      <c r="L23" s="28" t="s">
        <v>31</v>
      </c>
    </row>
    <row r="24" spans="1:12" x14ac:dyDescent="0.3">
      <c r="A24" s="27" t="s">
        <v>102</v>
      </c>
      <c r="B24" s="14" t="s">
        <v>77</v>
      </c>
      <c r="C24" s="9">
        <v>5402.98</v>
      </c>
      <c r="D24" s="9"/>
      <c r="E24" s="9">
        <v>5402.98</v>
      </c>
      <c r="F24" s="14" t="s">
        <v>80</v>
      </c>
      <c r="G24" s="15">
        <v>46034</v>
      </c>
      <c r="H24" s="15">
        <v>46035</v>
      </c>
      <c r="I24" s="14">
        <v>1</v>
      </c>
      <c r="J24" s="16">
        <v>2021.5</v>
      </c>
      <c r="K24" s="15">
        <v>45996</v>
      </c>
      <c r="L24" s="28"/>
    </row>
    <row r="25" spans="1:12" x14ac:dyDescent="0.3">
      <c r="A25" s="27" t="s">
        <v>102</v>
      </c>
      <c r="B25" s="14" t="s">
        <v>77</v>
      </c>
      <c r="C25" s="9">
        <v>92486</v>
      </c>
      <c r="D25" s="9"/>
      <c r="E25" s="9">
        <v>92486</v>
      </c>
      <c r="F25" s="14" t="s">
        <v>75</v>
      </c>
      <c r="G25" s="15">
        <v>46034</v>
      </c>
      <c r="H25" s="15">
        <v>46041</v>
      </c>
      <c r="I25" s="14">
        <v>7</v>
      </c>
      <c r="J25" s="16">
        <v>66948.98</v>
      </c>
      <c r="K25" s="15">
        <v>45654</v>
      </c>
      <c r="L25" s="28" t="s">
        <v>38</v>
      </c>
    </row>
    <row r="26" spans="1:12" x14ac:dyDescent="0.3">
      <c r="A26" s="27" t="s">
        <v>102</v>
      </c>
      <c r="B26" s="14" t="s">
        <v>77</v>
      </c>
      <c r="C26" s="9">
        <v>32887.300000000003</v>
      </c>
      <c r="D26" s="9"/>
      <c r="E26" s="9">
        <v>32887.300000000003</v>
      </c>
      <c r="F26" s="14" t="s">
        <v>75</v>
      </c>
      <c r="G26" s="15">
        <v>46034</v>
      </c>
      <c r="H26" s="15">
        <v>46041</v>
      </c>
      <c r="I26" s="14">
        <v>7</v>
      </c>
      <c r="J26" s="16">
        <v>22290.31</v>
      </c>
      <c r="K26" s="15">
        <v>45702</v>
      </c>
      <c r="L26" s="28" t="s">
        <v>38</v>
      </c>
    </row>
    <row r="27" spans="1:12" x14ac:dyDescent="0.3">
      <c r="A27" s="27" t="s">
        <v>102</v>
      </c>
      <c r="B27" s="14" t="s">
        <v>77</v>
      </c>
      <c r="C27" s="9">
        <v>32887.25</v>
      </c>
      <c r="D27" s="9"/>
      <c r="E27" s="9">
        <v>32887.25</v>
      </c>
      <c r="F27" s="14" t="s">
        <v>75</v>
      </c>
      <c r="G27" s="15">
        <v>46034</v>
      </c>
      <c r="H27" s="15">
        <v>46041</v>
      </c>
      <c r="I27" s="14">
        <v>7</v>
      </c>
      <c r="J27" s="16">
        <v>22290.31</v>
      </c>
      <c r="K27" s="15">
        <v>45707</v>
      </c>
      <c r="L27" s="28" t="s">
        <v>38</v>
      </c>
    </row>
    <row r="28" spans="1:12" x14ac:dyDescent="0.3">
      <c r="A28" s="27" t="s">
        <v>102</v>
      </c>
      <c r="B28" s="14" t="s">
        <v>77</v>
      </c>
      <c r="C28" s="9">
        <v>23719.16</v>
      </c>
      <c r="D28" s="9">
        <v>23719.16</v>
      </c>
      <c r="E28" s="9"/>
      <c r="F28" s="14" t="s">
        <v>70</v>
      </c>
      <c r="G28" s="15">
        <v>46035</v>
      </c>
      <c r="H28" s="15">
        <v>46040</v>
      </c>
      <c r="I28" s="14">
        <v>5</v>
      </c>
      <c r="J28" s="16">
        <v>15529.6</v>
      </c>
      <c r="K28" s="15">
        <v>45986</v>
      </c>
      <c r="L28" s="28" t="s">
        <v>12</v>
      </c>
    </row>
    <row r="29" spans="1:12" x14ac:dyDescent="0.3">
      <c r="A29" s="27" t="s">
        <v>102</v>
      </c>
      <c r="B29" s="14" t="s">
        <v>77</v>
      </c>
      <c r="C29" s="9">
        <v>10491.53</v>
      </c>
      <c r="D29" s="9"/>
      <c r="E29" s="9">
        <v>10491.53</v>
      </c>
      <c r="F29" s="14" t="s">
        <v>75</v>
      </c>
      <c r="G29" s="15">
        <v>46035</v>
      </c>
      <c r="H29" s="15">
        <v>46042</v>
      </c>
      <c r="I29" s="14">
        <v>7</v>
      </c>
      <c r="J29" s="16">
        <v>0</v>
      </c>
      <c r="K29" s="15">
        <v>45895</v>
      </c>
      <c r="L29" s="28" t="s">
        <v>9</v>
      </c>
    </row>
    <row r="30" spans="1:12" x14ac:dyDescent="0.3">
      <c r="A30" s="27" t="s">
        <v>102</v>
      </c>
      <c r="B30" s="14" t="s">
        <v>77</v>
      </c>
      <c r="C30" s="9">
        <v>16044</v>
      </c>
      <c r="D30" s="9">
        <v>4011</v>
      </c>
      <c r="E30" s="9">
        <v>12033</v>
      </c>
      <c r="F30" s="14" t="s">
        <v>72</v>
      </c>
      <c r="G30" s="15">
        <v>46035</v>
      </c>
      <c r="H30" s="15">
        <v>46039</v>
      </c>
      <c r="I30" s="14">
        <v>4</v>
      </c>
      <c r="J30" s="16">
        <v>7379.42</v>
      </c>
      <c r="K30" s="15">
        <v>45973</v>
      </c>
      <c r="L30" s="28" t="s">
        <v>31</v>
      </c>
    </row>
    <row r="31" spans="1:12" x14ac:dyDescent="0.3">
      <c r="A31" s="27" t="s">
        <v>102</v>
      </c>
      <c r="B31" s="14" t="s">
        <v>77</v>
      </c>
      <c r="C31" s="9">
        <v>16744</v>
      </c>
      <c r="D31" s="9">
        <v>4186</v>
      </c>
      <c r="E31" s="9">
        <v>12558</v>
      </c>
      <c r="F31" s="14" t="s">
        <v>72</v>
      </c>
      <c r="G31" s="15">
        <v>46035</v>
      </c>
      <c r="H31" s="15">
        <v>46039</v>
      </c>
      <c r="I31" s="14">
        <v>4</v>
      </c>
      <c r="J31" s="16">
        <v>7913.62</v>
      </c>
      <c r="K31" s="15">
        <v>45975</v>
      </c>
      <c r="L31" s="28" t="s">
        <v>31</v>
      </c>
    </row>
    <row r="32" spans="1:12" x14ac:dyDescent="0.3">
      <c r="A32" s="27" t="s">
        <v>102</v>
      </c>
      <c r="B32" s="14" t="s">
        <v>77</v>
      </c>
      <c r="C32" s="9">
        <v>12547.66</v>
      </c>
      <c r="D32" s="9"/>
      <c r="E32" s="9">
        <v>12547.66</v>
      </c>
      <c r="F32" s="14" t="s">
        <v>75</v>
      </c>
      <c r="G32" s="15">
        <v>46036</v>
      </c>
      <c r="H32" s="15">
        <v>46038</v>
      </c>
      <c r="I32" s="14">
        <v>2</v>
      </c>
      <c r="J32" s="16">
        <v>6211.58</v>
      </c>
      <c r="K32" s="15">
        <v>45980</v>
      </c>
      <c r="L32" s="28" t="s">
        <v>58</v>
      </c>
    </row>
    <row r="33" spans="1:12" x14ac:dyDescent="0.3">
      <c r="A33" s="27" t="s">
        <v>102</v>
      </c>
      <c r="B33" s="14" t="s">
        <v>77</v>
      </c>
      <c r="C33" s="9">
        <v>14276</v>
      </c>
      <c r="D33" s="9">
        <v>3569</v>
      </c>
      <c r="E33" s="9">
        <v>10707</v>
      </c>
      <c r="F33" s="14" t="s">
        <v>72</v>
      </c>
      <c r="G33" s="15">
        <v>46036</v>
      </c>
      <c r="H33" s="15">
        <v>46040</v>
      </c>
      <c r="I33" s="14">
        <v>4</v>
      </c>
      <c r="J33" s="16">
        <v>8593.64</v>
      </c>
      <c r="K33" s="15">
        <v>45947</v>
      </c>
      <c r="L33" s="28" t="s">
        <v>31</v>
      </c>
    </row>
    <row r="34" spans="1:12" x14ac:dyDescent="0.3">
      <c r="A34" s="27" t="s">
        <v>102</v>
      </c>
      <c r="B34" s="14" t="s">
        <v>77</v>
      </c>
      <c r="C34" s="9">
        <v>28288.400000000001</v>
      </c>
      <c r="D34" s="9"/>
      <c r="E34" s="9">
        <v>28288.400000000001</v>
      </c>
      <c r="F34" s="14" t="s">
        <v>75</v>
      </c>
      <c r="G34" s="15">
        <v>46036</v>
      </c>
      <c r="H34" s="15">
        <v>46043</v>
      </c>
      <c r="I34" s="14">
        <v>7</v>
      </c>
      <c r="J34" s="16">
        <v>17820.46</v>
      </c>
      <c r="K34" s="15">
        <v>45902</v>
      </c>
      <c r="L34" s="28" t="s">
        <v>41</v>
      </c>
    </row>
    <row r="35" spans="1:12" x14ac:dyDescent="0.3">
      <c r="A35" s="27" t="s">
        <v>102</v>
      </c>
      <c r="B35" s="14" t="s">
        <v>77</v>
      </c>
      <c r="C35" s="9">
        <v>13655.36</v>
      </c>
      <c r="D35" s="9">
        <v>11055.36</v>
      </c>
      <c r="E35" s="9">
        <v>2600</v>
      </c>
      <c r="F35" s="14" t="s">
        <v>72</v>
      </c>
      <c r="G35" s="15">
        <v>46036</v>
      </c>
      <c r="H35" s="15">
        <v>46038</v>
      </c>
      <c r="I35" s="14">
        <v>2</v>
      </c>
      <c r="J35" s="16">
        <v>8201.58</v>
      </c>
      <c r="K35" s="15">
        <v>45939</v>
      </c>
      <c r="L35" s="28" t="s">
        <v>44</v>
      </c>
    </row>
    <row r="36" spans="1:12" x14ac:dyDescent="0.3">
      <c r="A36" s="27" t="s">
        <v>102</v>
      </c>
      <c r="B36" s="14" t="s">
        <v>77</v>
      </c>
      <c r="C36" s="9">
        <v>15446</v>
      </c>
      <c r="D36" s="9">
        <v>3861</v>
      </c>
      <c r="E36" s="9">
        <v>11585</v>
      </c>
      <c r="F36" s="14" t="s">
        <v>72</v>
      </c>
      <c r="G36" s="15">
        <v>46036</v>
      </c>
      <c r="H36" s="15">
        <v>46040</v>
      </c>
      <c r="I36" s="14">
        <v>4</v>
      </c>
      <c r="J36" s="16">
        <v>7577.84</v>
      </c>
      <c r="K36" s="15">
        <v>45969</v>
      </c>
      <c r="L36" s="28" t="s">
        <v>31</v>
      </c>
    </row>
    <row r="37" spans="1:12" x14ac:dyDescent="0.3">
      <c r="A37" s="27" t="s">
        <v>102</v>
      </c>
      <c r="B37" s="14" t="s">
        <v>77</v>
      </c>
      <c r="C37" s="9">
        <v>102038.43</v>
      </c>
      <c r="D37" s="9">
        <v>102038.43</v>
      </c>
      <c r="E37" s="9"/>
      <c r="F37" s="14" t="s">
        <v>70</v>
      </c>
      <c r="G37" s="15">
        <v>46037</v>
      </c>
      <c r="H37" s="15">
        <v>46044</v>
      </c>
      <c r="I37" s="14">
        <v>7</v>
      </c>
      <c r="J37" s="16">
        <v>75122.460000000006</v>
      </c>
      <c r="K37" s="15">
        <v>45980</v>
      </c>
      <c r="L37" s="28" t="s">
        <v>38</v>
      </c>
    </row>
    <row r="38" spans="1:12" x14ac:dyDescent="0.3">
      <c r="A38" s="27" t="s">
        <v>102</v>
      </c>
      <c r="B38" s="14" t="s">
        <v>77</v>
      </c>
      <c r="C38" s="9">
        <v>61778.720000000001</v>
      </c>
      <c r="D38" s="9">
        <v>9542.5</v>
      </c>
      <c r="E38" s="9">
        <v>52236.22</v>
      </c>
      <c r="F38" s="14" t="s">
        <v>72</v>
      </c>
      <c r="G38" s="15">
        <v>46037</v>
      </c>
      <c r="H38" s="15">
        <v>46044</v>
      </c>
      <c r="I38" s="14">
        <v>7</v>
      </c>
      <c r="J38" s="16">
        <v>39983.79</v>
      </c>
      <c r="K38" s="15">
        <v>45944</v>
      </c>
      <c r="L38" s="28" t="s">
        <v>38</v>
      </c>
    </row>
    <row r="39" spans="1:12" x14ac:dyDescent="0.3">
      <c r="A39" s="27" t="s">
        <v>102</v>
      </c>
      <c r="B39" s="14" t="s">
        <v>77</v>
      </c>
      <c r="C39" s="9">
        <v>23095</v>
      </c>
      <c r="D39" s="9"/>
      <c r="E39" s="9">
        <v>23095</v>
      </c>
      <c r="F39" s="14" t="s">
        <v>75</v>
      </c>
      <c r="G39" s="15">
        <v>46037</v>
      </c>
      <c r="H39" s="15">
        <v>46042</v>
      </c>
      <c r="I39" s="14">
        <v>5</v>
      </c>
      <c r="J39" s="16">
        <v>0</v>
      </c>
      <c r="K39" s="15">
        <v>45984</v>
      </c>
      <c r="L39" s="28" t="s">
        <v>34</v>
      </c>
    </row>
    <row r="40" spans="1:12" x14ac:dyDescent="0.3">
      <c r="A40" s="27" t="s">
        <v>102</v>
      </c>
      <c r="B40" s="14"/>
      <c r="C40" s="9"/>
      <c r="D40" s="9"/>
      <c r="E40" s="9"/>
      <c r="F40" s="14"/>
      <c r="G40" s="10">
        <v>46037</v>
      </c>
      <c r="H40" s="10">
        <v>46041</v>
      </c>
      <c r="I40" s="8">
        <v>4</v>
      </c>
      <c r="J40" s="16"/>
      <c r="K40" s="15"/>
      <c r="L40" s="28"/>
    </row>
    <row r="41" spans="1:12" x14ac:dyDescent="0.3">
      <c r="A41" s="27" t="s">
        <v>102</v>
      </c>
      <c r="B41" s="14"/>
      <c r="C41" s="9"/>
      <c r="D41" s="9"/>
      <c r="E41" s="9"/>
      <c r="F41" s="14"/>
      <c r="G41" s="10">
        <v>46037</v>
      </c>
      <c r="H41" s="10">
        <v>46041</v>
      </c>
      <c r="I41" s="8">
        <v>4</v>
      </c>
      <c r="J41" s="16"/>
      <c r="K41" s="15"/>
      <c r="L41" s="28"/>
    </row>
    <row r="42" spans="1:12" x14ac:dyDescent="0.3">
      <c r="A42" s="27" t="s">
        <v>102</v>
      </c>
      <c r="B42" s="14" t="s">
        <v>77</v>
      </c>
      <c r="C42" s="9">
        <v>31998.34</v>
      </c>
      <c r="D42" s="9">
        <v>16144.25</v>
      </c>
      <c r="E42" s="9">
        <v>15854.09</v>
      </c>
      <c r="F42" s="14" t="s">
        <v>75</v>
      </c>
      <c r="G42" s="15">
        <v>46038</v>
      </c>
      <c r="H42" s="15">
        <v>46042</v>
      </c>
      <c r="I42" s="14">
        <v>4</v>
      </c>
      <c r="J42" s="16">
        <v>15129.9</v>
      </c>
      <c r="K42" s="15">
        <v>45860</v>
      </c>
      <c r="L42" s="28" t="s">
        <v>33</v>
      </c>
    </row>
    <row r="43" spans="1:12" x14ac:dyDescent="0.3">
      <c r="A43" s="27" t="s">
        <v>102</v>
      </c>
      <c r="B43" s="14" t="s">
        <v>77</v>
      </c>
      <c r="C43" s="9">
        <v>25216</v>
      </c>
      <c r="D43" s="9"/>
      <c r="E43" s="9">
        <v>25216</v>
      </c>
      <c r="F43" s="14" t="s">
        <v>75</v>
      </c>
      <c r="G43" s="15">
        <v>46038</v>
      </c>
      <c r="H43" s="15">
        <v>46042</v>
      </c>
      <c r="I43" s="14">
        <v>4</v>
      </c>
      <c r="J43" s="16">
        <v>13557.12</v>
      </c>
      <c r="K43" s="15">
        <v>45567</v>
      </c>
      <c r="L43" s="28" t="s">
        <v>26</v>
      </c>
    </row>
    <row r="44" spans="1:12" x14ac:dyDescent="0.3">
      <c r="A44" s="27" t="s">
        <v>102</v>
      </c>
      <c r="B44" s="14" t="s">
        <v>77</v>
      </c>
      <c r="C44" s="9">
        <v>23719.15</v>
      </c>
      <c r="D44" s="9"/>
      <c r="E44" s="9">
        <v>23719.15</v>
      </c>
      <c r="F44" s="14" t="s">
        <v>75</v>
      </c>
      <c r="G44" s="15">
        <v>46038</v>
      </c>
      <c r="H44" s="15">
        <v>46043</v>
      </c>
      <c r="I44" s="14">
        <v>5</v>
      </c>
      <c r="J44" s="16">
        <v>15528.95</v>
      </c>
      <c r="K44" s="15">
        <v>45994</v>
      </c>
      <c r="L44" s="28" t="s">
        <v>6</v>
      </c>
    </row>
    <row r="45" spans="1:12" x14ac:dyDescent="0.3">
      <c r="A45" s="27" t="s">
        <v>102</v>
      </c>
      <c r="B45" s="14"/>
      <c r="C45" s="9"/>
      <c r="D45" s="9"/>
      <c r="E45" s="9"/>
      <c r="F45" s="14"/>
      <c r="G45" s="10">
        <v>46038</v>
      </c>
      <c r="H45" s="10">
        <v>46042</v>
      </c>
      <c r="I45" s="8">
        <v>4</v>
      </c>
      <c r="J45" s="16"/>
      <c r="K45" s="15"/>
      <c r="L45" s="28"/>
    </row>
    <row r="46" spans="1:12" x14ac:dyDescent="0.3">
      <c r="A46" s="27" t="s">
        <v>102</v>
      </c>
      <c r="B46" s="14"/>
      <c r="C46" s="9"/>
      <c r="D46" s="9"/>
      <c r="E46" s="9"/>
      <c r="F46" s="14"/>
      <c r="G46" s="10">
        <v>46038</v>
      </c>
      <c r="H46" s="10">
        <v>46042</v>
      </c>
      <c r="I46" s="8">
        <v>4</v>
      </c>
      <c r="J46" s="16"/>
      <c r="K46" s="15"/>
      <c r="L46" s="28"/>
    </row>
    <row r="47" spans="1:12" x14ac:dyDescent="0.3">
      <c r="A47" s="27" t="s">
        <v>102</v>
      </c>
      <c r="B47" s="14" t="s">
        <v>77</v>
      </c>
      <c r="C47" s="9">
        <v>50000</v>
      </c>
      <c r="D47" s="9"/>
      <c r="E47" s="9">
        <v>50000</v>
      </c>
      <c r="F47" s="14" t="s">
        <v>75</v>
      </c>
      <c r="G47" s="15">
        <v>46039</v>
      </c>
      <c r="H47" s="15">
        <v>46049</v>
      </c>
      <c r="I47" s="14">
        <v>10</v>
      </c>
      <c r="J47" s="16">
        <v>16208.2</v>
      </c>
      <c r="K47" s="15">
        <v>45982</v>
      </c>
      <c r="L47" s="28" t="s">
        <v>1</v>
      </c>
    </row>
    <row r="48" spans="1:12" x14ac:dyDescent="0.3">
      <c r="A48" s="27" t="s">
        <v>102</v>
      </c>
      <c r="B48" s="14" t="s">
        <v>77</v>
      </c>
      <c r="C48" s="9">
        <v>24538</v>
      </c>
      <c r="D48" s="9"/>
      <c r="E48" s="9">
        <v>24538</v>
      </c>
      <c r="F48" s="14" t="s">
        <v>75</v>
      </c>
      <c r="G48" s="15">
        <v>46039</v>
      </c>
      <c r="H48" s="15">
        <v>46046</v>
      </c>
      <c r="I48" s="14">
        <v>7</v>
      </c>
      <c r="J48" s="16">
        <v>13247.85</v>
      </c>
      <c r="K48" s="15">
        <v>45962</v>
      </c>
      <c r="L48" s="28" t="s">
        <v>2</v>
      </c>
    </row>
    <row r="49" spans="1:12" x14ac:dyDescent="0.3">
      <c r="A49" s="27" t="s">
        <v>102</v>
      </c>
      <c r="B49" s="14" t="s">
        <v>77</v>
      </c>
      <c r="C49" s="9">
        <v>864</v>
      </c>
      <c r="D49" s="9"/>
      <c r="E49" s="9">
        <v>864</v>
      </c>
      <c r="F49" s="14" t="s">
        <v>75</v>
      </c>
      <c r="G49" s="15">
        <v>46039</v>
      </c>
      <c r="H49" s="15">
        <v>46057</v>
      </c>
      <c r="I49" s="14">
        <v>18</v>
      </c>
      <c r="J49" s="16">
        <v>329.76</v>
      </c>
      <c r="K49" s="15">
        <v>45753</v>
      </c>
      <c r="L49" s="28" t="s">
        <v>13</v>
      </c>
    </row>
    <row r="50" spans="1:12" x14ac:dyDescent="0.3">
      <c r="A50" s="27" t="s">
        <v>102</v>
      </c>
      <c r="B50" s="14" t="s">
        <v>77</v>
      </c>
      <c r="C50" s="9">
        <v>77128.990000000005</v>
      </c>
      <c r="D50" s="9"/>
      <c r="E50" s="9">
        <v>77128.990000000005</v>
      </c>
      <c r="F50" s="14" t="s">
        <v>75</v>
      </c>
      <c r="G50" s="15">
        <v>46039</v>
      </c>
      <c r="H50" s="15">
        <v>46046</v>
      </c>
      <c r="I50" s="14">
        <v>7</v>
      </c>
      <c r="J50" s="16">
        <v>52957.1</v>
      </c>
      <c r="K50" s="15">
        <v>45910</v>
      </c>
      <c r="L50" s="28" t="s">
        <v>38</v>
      </c>
    </row>
    <row r="51" spans="1:12" x14ac:dyDescent="0.3">
      <c r="A51" s="27" t="s">
        <v>102</v>
      </c>
      <c r="B51" s="14" t="s">
        <v>77</v>
      </c>
      <c r="C51" s="9">
        <v>19506</v>
      </c>
      <c r="D51" s="9"/>
      <c r="E51" s="9">
        <v>19506</v>
      </c>
      <c r="F51" s="14" t="s">
        <v>75</v>
      </c>
      <c r="G51" s="15">
        <v>46039</v>
      </c>
      <c r="H51" s="15">
        <v>46043</v>
      </c>
      <c r="I51" s="14">
        <v>4</v>
      </c>
      <c r="J51" s="16">
        <v>10549.44</v>
      </c>
      <c r="K51" s="15">
        <v>45907</v>
      </c>
      <c r="L51" s="28" t="s">
        <v>9</v>
      </c>
    </row>
    <row r="52" spans="1:12" x14ac:dyDescent="0.3">
      <c r="A52" s="27" t="s">
        <v>102</v>
      </c>
      <c r="B52" s="14" t="s">
        <v>77</v>
      </c>
      <c r="C52" s="9">
        <v>6117.83</v>
      </c>
      <c r="D52" s="9"/>
      <c r="E52" s="9">
        <v>6117.83</v>
      </c>
      <c r="F52" s="14" t="s">
        <v>75</v>
      </c>
      <c r="G52" s="15">
        <v>46040</v>
      </c>
      <c r="H52" s="15">
        <v>46041</v>
      </c>
      <c r="I52" s="14">
        <v>1</v>
      </c>
      <c r="J52" s="16">
        <v>2567.0300000000002</v>
      </c>
      <c r="K52" s="15">
        <v>45980</v>
      </c>
      <c r="L52" s="28" t="s">
        <v>14</v>
      </c>
    </row>
    <row r="53" spans="1:12" x14ac:dyDescent="0.3">
      <c r="A53" s="27" t="s">
        <v>102</v>
      </c>
      <c r="B53" s="14" t="s">
        <v>77</v>
      </c>
      <c r="C53" s="9">
        <v>33872.800000000003</v>
      </c>
      <c r="D53" s="9">
        <v>8468.2000000000007</v>
      </c>
      <c r="E53" s="9">
        <v>25404.6</v>
      </c>
      <c r="F53" s="14" t="s">
        <v>72</v>
      </c>
      <c r="G53" s="15">
        <v>46040</v>
      </c>
      <c r="H53" s="15">
        <v>46046</v>
      </c>
      <c r="I53" s="14">
        <v>6</v>
      </c>
      <c r="J53" s="16">
        <v>19725.84</v>
      </c>
      <c r="K53" s="15">
        <v>45921</v>
      </c>
      <c r="L53" s="28" t="s">
        <v>2</v>
      </c>
    </row>
    <row r="54" spans="1:12" x14ac:dyDescent="0.3">
      <c r="A54" s="27" t="s">
        <v>102</v>
      </c>
      <c r="B54" s="14" t="s">
        <v>77</v>
      </c>
      <c r="C54" s="9">
        <v>18212.14</v>
      </c>
      <c r="D54" s="9"/>
      <c r="E54" s="9">
        <v>18212.14</v>
      </c>
      <c r="F54" s="14" t="s">
        <v>80</v>
      </c>
      <c r="G54" s="15">
        <v>46040</v>
      </c>
      <c r="H54" s="15">
        <v>46047</v>
      </c>
      <c r="I54" s="14">
        <v>7</v>
      </c>
      <c r="J54" s="16">
        <v>12494.79</v>
      </c>
      <c r="K54" s="15">
        <v>45986</v>
      </c>
      <c r="L54" s="28" t="s">
        <v>15</v>
      </c>
    </row>
    <row r="55" spans="1:12" x14ac:dyDescent="0.3">
      <c r="A55" s="27" t="s">
        <v>102</v>
      </c>
      <c r="B55" s="14" t="s">
        <v>77</v>
      </c>
      <c r="C55" s="9">
        <v>17402</v>
      </c>
      <c r="D55" s="9">
        <v>4350.5</v>
      </c>
      <c r="E55" s="9">
        <v>13051.5</v>
      </c>
      <c r="F55" s="14" t="s">
        <v>72</v>
      </c>
      <c r="G55" s="15">
        <v>46041</v>
      </c>
      <c r="H55" s="15">
        <v>46045</v>
      </c>
      <c r="I55" s="14">
        <v>4</v>
      </c>
      <c r="J55" s="16">
        <v>7760.98</v>
      </c>
      <c r="K55" s="15">
        <v>45965</v>
      </c>
      <c r="L55" s="28" t="s">
        <v>31</v>
      </c>
    </row>
    <row r="56" spans="1:12" x14ac:dyDescent="0.3">
      <c r="A56" s="27" t="s">
        <v>102</v>
      </c>
      <c r="B56" s="14" t="s">
        <v>77</v>
      </c>
      <c r="C56" s="9">
        <v>33278.76</v>
      </c>
      <c r="D56" s="9"/>
      <c r="E56" s="9">
        <v>33278.76</v>
      </c>
      <c r="F56" s="14" t="s">
        <v>75</v>
      </c>
      <c r="G56" s="15">
        <v>46041</v>
      </c>
      <c r="H56" s="15">
        <v>46048</v>
      </c>
      <c r="I56" s="14">
        <v>7</v>
      </c>
      <c r="J56" s="16">
        <v>22515.81</v>
      </c>
      <c r="K56" s="15">
        <v>45827</v>
      </c>
      <c r="L56" s="28" t="s">
        <v>35</v>
      </c>
    </row>
    <row r="57" spans="1:12" x14ac:dyDescent="0.3">
      <c r="A57" s="27" t="s">
        <v>102</v>
      </c>
      <c r="B57" s="14" t="s">
        <v>77</v>
      </c>
      <c r="C57" s="9">
        <v>12872</v>
      </c>
      <c r="D57" s="9"/>
      <c r="E57" s="9">
        <v>12872</v>
      </c>
      <c r="F57" s="14" t="s">
        <v>75</v>
      </c>
      <c r="G57" s="15">
        <v>46042</v>
      </c>
      <c r="H57" s="15">
        <v>46045</v>
      </c>
      <c r="I57" s="14">
        <v>3</v>
      </c>
      <c r="J57" s="16">
        <v>6456.87</v>
      </c>
      <c r="K57" s="15">
        <v>45966</v>
      </c>
      <c r="L57" s="28" t="s">
        <v>32</v>
      </c>
    </row>
    <row r="58" spans="1:12" x14ac:dyDescent="0.3">
      <c r="A58" s="27" t="s">
        <v>102</v>
      </c>
      <c r="B58" s="14" t="s">
        <v>77</v>
      </c>
      <c r="C58" s="9">
        <v>720</v>
      </c>
      <c r="D58" s="9"/>
      <c r="E58" s="9">
        <v>720</v>
      </c>
      <c r="F58" s="14" t="s">
        <v>75</v>
      </c>
      <c r="G58" s="15">
        <v>46043</v>
      </c>
      <c r="H58" s="15">
        <v>46058</v>
      </c>
      <c r="I58" s="14">
        <v>15</v>
      </c>
      <c r="J58" s="16">
        <v>0</v>
      </c>
      <c r="K58" s="15">
        <v>45888</v>
      </c>
      <c r="L58" s="28" t="s">
        <v>9</v>
      </c>
    </row>
    <row r="59" spans="1:12" x14ac:dyDescent="0.3">
      <c r="A59" s="27" t="s">
        <v>102</v>
      </c>
      <c r="B59" s="14" t="s">
        <v>77</v>
      </c>
      <c r="C59" s="9">
        <v>26592</v>
      </c>
      <c r="D59" s="9"/>
      <c r="E59" s="9">
        <v>26592</v>
      </c>
      <c r="F59" s="14" t="s">
        <v>75</v>
      </c>
      <c r="G59" s="15">
        <v>46043</v>
      </c>
      <c r="H59" s="15">
        <v>46046</v>
      </c>
      <c r="I59" s="14">
        <v>3</v>
      </c>
      <c r="J59" s="16">
        <v>13543.11</v>
      </c>
      <c r="K59" s="15">
        <v>45933</v>
      </c>
      <c r="L59" s="28" t="s">
        <v>20</v>
      </c>
    </row>
    <row r="60" spans="1:12" x14ac:dyDescent="0.3">
      <c r="A60" s="27" t="s">
        <v>102</v>
      </c>
      <c r="B60" s="14" t="s">
        <v>77</v>
      </c>
      <c r="C60" s="9">
        <v>95980.800000000003</v>
      </c>
      <c r="D60" s="9"/>
      <c r="E60" s="9">
        <v>95980.800000000003</v>
      </c>
      <c r="F60" s="14" t="s">
        <v>75</v>
      </c>
      <c r="G60" s="15">
        <v>46043</v>
      </c>
      <c r="H60" s="15">
        <v>46053</v>
      </c>
      <c r="I60" s="14">
        <v>10</v>
      </c>
      <c r="J60" s="16">
        <v>67315.44</v>
      </c>
      <c r="K60" s="15">
        <v>45889</v>
      </c>
      <c r="L60" s="28" t="s">
        <v>2</v>
      </c>
    </row>
    <row r="61" spans="1:12" x14ac:dyDescent="0.3">
      <c r="A61" s="27" t="s">
        <v>102</v>
      </c>
      <c r="B61" s="14" t="s">
        <v>77</v>
      </c>
      <c r="C61" s="9">
        <v>26617.68</v>
      </c>
      <c r="D61" s="9">
        <v>26617.68</v>
      </c>
      <c r="E61" s="9"/>
      <c r="F61" s="14" t="s">
        <v>70</v>
      </c>
      <c r="G61" s="15">
        <v>46044</v>
      </c>
      <c r="H61" s="15">
        <v>46048</v>
      </c>
      <c r="I61" s="14">
        <v>4</v>
      </c>
      <c r="J61" s="16">
        <v>10227.16</v>
      </c>
      <c r="K61" s="15">
        <v>45995</v>
      </c>
      <c r="L61" s="28" t="s">
        <v>15</v>
      </c>
    </row>
    <row r="62" spans="1:12" x14ac:dyDescent="0.3">
      <c r="A62" s="27" t="s">
        <v>102</v>
      </c>
      <c r="B62" s="14" t="s">
        <v>77</v>
      </c>
      <c r="C62" s="9">
        <v>0</v>
      </c>
      <c r="D62" s="9"/>
      <c r="E62" s="9">
        <v>0</v>
      </c>
      <c r="F62" s="14" t="s">
        <v>73</v>
      </c>
      <c r="G62" s="15">
        <v>46044</v>
      </c>
      <c r="H62" s="15">
        <v>46048</v>
      </c>
      <c r="I62" s="14">
        <v>4</v>
      </c>
      <c r="J62" s="16">
        <v>0</v>
      </c>
      <c r="K62" s="15">
        <v>45977</v>
      </c>
      <c r="L62" s="28" t="s">
        <v>8</v>
      </c>
    </row>
    <row r="63" spans="1:12" x14ac:dyDescent="0.3">
      <c r="A63" s="27" t="s">
        <v>102</v>
      </c>
      <c r="B63" s="14" t="s">
        <v>77</v>
      </c>
      <c r="C63" s="9">
        <v>20000</v>
      </c>
      <c r="D63" s="9"/>
      <c r="E63" s="9">
        <v>20000</v>
      </c>
      <c r="F63" s="14" t="s">
        <v>75</v>
      </c>
      <c r="G63" s="15">
        <v>46045</v>
      </c>
      <c r="H63" s="15">
        <v>46047</v>
      </c>
      <c r="I63" s="14">
        <v>2</v>
      </c>
      <c r="J63" s="16">
        <v>11212.6</v>
      </c>
      <c r="K63" s="15">
        <v>45995</v>
      </c>
      <c r="L63" s="28" t="s">
        <v>8</v>
      </c>
    </row>
    <row r="64" spans="1:12" x14ac:dyDescent="0.3">
      <c r="A64" s="27" t="s">
        <v>102</v>
      </c>
      <c r="B64" s="14" t="s">
        <v>77</v>
      </c>
      <c r="C64" s="9">
        <v>0</v>
      </c>
      <c r="D64" s="9"/>
      <c r="E64" s="9">
        <v>0</v>
      </c>
      <c r="F64" s="14" t="s">
        <v>73</v>
      </c>
      <c r="G64" s="15">
        <v>46045</v>
      </c>
      <c r="H64" s="15">
        <v>46048</v>
      </c>
      <c r="I64" s="14">
        <v>3</v>
      </c>
      <c r="J64" s="16">
        <v>-915.76</v>
      </c>
      <c r="K64" s="15">
        <v>45836</v>
      </c>
      <c r="L64" s="28"/>
    </row>
    <row r="65" spans="1:12" x14ac:dyDescent="0.3">
      <c r="A65" s="27" t="s">
        <v>102</v>
      </c>
      <c r="B65" s="14" t="s">
        <v>77</v>
      </c>
      <c r="C65" s="9">
        <v>0</v>
      </c>
      <c r="D65" s="9"/>
      <c r="E65" s="9">
        <v>0</v>
      </c>
      <c r="F65" s="14" t="s">
        <v>73</v>
      </c>
      <c r="G65" s="15">
        <v>46045</v>
      </c>
      <c r="H65" s="15">
        <v>46048</v>
      </c>
      <c r="I65" s="14">
        <v>3</v>
      </c>
      <c r="J65" s="16">
        <v>-915.76</v>
      </c>
      <c r="K65" s="15">
        <v>45836</v>
      </c>
      <c r="L65" s="28"/>
    </row>
    <row r="66" spans="1:12" x14ac:dyDescent="0.3">
      <c r="A66" s="27" t="s">
        <v>102</v>
      </c>
      <c r="B66" s="14"/>
      <c r="C66" s="9"/>
      <c r="D66" s="9"/>
      <c r="E66" s="9"/>
      <c r="F66" s="14"/>
      <c r="G66" s="10">
        <v>46046</v>
      </c>
      <c r="H66" s="10">
        <v>46051</v>
      </c>
      <c r="I66" s="8">
        <v>5</v>
      </c>
      <c r="J66" s="16"/>
      <c r="K66" s="15"/>
      <c r="L66" s="28"/>
    </row>
    <row r="67" spans="1:12" x14ac:dyDescent="0.3">
      <c r="A67" s="27" t="s">
        <v>102</v>
      </c>
      <c r="B67" s="14" t="s">
        <v>77</v>
      </c>
      <c r="C67" s="9">
        <v>94816.14</v>
      </c>
      <c r="D67" s="9">
        <v>23705</v>
      </c>
      <c r="E67" s="9">
        <v>71111.14</v>
      </c>
      <c r="F67" s="14" t="s">
        <v>72</v>
      </c>
      <c r="G67" s="15">
        <v>46046</v>
      </c>
      <c r="H67" s="15">
        <v>46052</v>
      </c>
      <c r="I67" s="14">
        <v>6</v>
      </c>
      <c r="J67" s="16">
        <v>54224.76</v>
      </c>
      <c r="K67" s="15">
        <v>45954</v>
      </c>
      <c r="L67" s="28" t="s">
        <v>25</v>
      </c>
    </row>
    <row r="68" spans="1:12" x14ac:dyDescent="0.3">
      <c r="A68" s="27" t="s">
        <v>102</v>
      </c>
      <c r="B68" s="14" t="s">
        <v>77</v>
      </c>
      <c r="C68" s="9">
        <v>0</v>
      </c>
      <c r="D68" s="9"/>
      <c r="E68" s="9">
        <v>0</v>
      </c>
      <c r="F68" s="14" t="s">
        <v>74</v>
      </c>
      <c r="G68" s="15">
        <v>46046</v>
      </c>
      <c r="H68" s="15">
        <v>46051</v>
      </c>
      <c r="I68" s="14">
        <v>5</v>
      </c>
      <c r="J68" s="16">
        <v>13345</v>
      </c>
      <c r="K68" s="15">
        <v>46001</v>
      </c>
      <c r="L68" s="28" t="s">
        <v>31</v>
      </c>
    </row>
    <row r="69" spans="1:12" x14ac:dyDescent="0.3">
      <c r="A69" s="27" t="s">
        <v>102</v>
      </c>
      <c r="B69" s="14" t="s">
        <v>77</v>
      </c>
      <c r="C69" s="9">
        <v>11008.94</v>
      </c>
      <c r="D69" s="9"/>
      <c r="E69" s="9">
        <v>11008.94</v>
      </c>
      <c r="F69" s="14" t="s">
        <v>80</v>
      </c>
      <c r="G69" s="15">
        <v>46046</v>
      </c>
      <c r="H69" s="15">
        <v>46049</v>
      </c>
      <c r="I69" s="14">
        <v>3</v>
      </c>
      <c r="J69" s="16">
        <v>6064.5</v>
      </c>
      <c r="K69" s="15">
        <v>45995</v>
      </c>
      <c r="L69" s="28" t="s">
        <v>32</v>
      </c>
    </row>
    <row r="70" spans="1:12" x14ac:dyDescent="0.3">
      <c r="A70" s="27" t="s">
        <v>102</v>
      </c>
      <c r="B70" s="14" t="s">
        <v>77</v>
      </c>
      <c r="C70" s="9">
        <v>302</v>
      </c>
      <c r="D70" s="9"/>
      <c r="E70" s="9">
        <v>302</v>
      </c>
      <c r="F70" s="14" t="s">
        <v>82</v>
      </c>
      <c r="G70" s="15">
        <v>46046</v>
      </c>
      <c r="H70" s="15">
        <v>46048</v>
      </c>
      <c r="I70" s="14">
        <v>2</v>
      </c>
      <c r="J70" s="16">
        <v>0</v>
      </c>
      <c r="K70" s="15">
        <v>45955</v>
      </c>
      <c r="L70" s="28" t="s">
        <v>31</v>
      </c>
    </row>
    <row r="71" spans="1:12" x14ac:dyDescent="0.3">
      <c r="A71" s="27" t="s">
        <v>102</v>
      </c>
      <c r="B71" s="14" t="s">
        <v>77</v>
      </c>
      <c r="C71" s="9">
        <v>1556</v>
      </c>
      <c r="D71" s="9"/>
      <c r="E71" s="9">
        <v>1556</v>
      </c>
      <c r="F71" s="14" t="s">
        <v>75</v>
      </c>
      <c r="G71" s="15">
        <v>46046</v>
      </c>
      <c r="H71" s="15">
        <v>46048</v>
      </c>
      <c r="I71" s="14">
        <v>2</v>
      </c>
      <c r="J71" s="16">
        <v>257.94</v>
      </c>
      <c r="K71" s="15">
        <v>45985</v>
      </c>
      <c r="L71" s="28" t="s">
        <v>31</v>
      </c>
    </row>
    <row r="72" spans="1:12" x14ac:dyDescent="0.3">
      <c r="A72" s="27" t="s">
        <v>102</v>
      </c>
      <c r="B72" s="14" t="s">
        <v>77</v>
      </c>
      <c r="C72" s="9">
        <v>15806.4</v>
      </c>
      <c r="D72" s="9">
        <v>3899.1</v>
      </c>
      <c r="E72" s="9">
        <v>11907.3</v>
      </c>
      <c r="F72" s="14" t="s">
        <v>72</v>
      </c>
      <c r="G72" s="15">
        <v>46047</v>
      </c>
      <c r="H72" s="15">
        <v>46052</v>
      </c>
      <c r="I72" s="14">
        <v>5</v>
      </c>
      <c r="J72" s="16">
        <v>8959.1</v>
      </c>
      <c r="K72" s="15">
        <v>45966</v>
      </c>
      <c r="L72" s="28" t="s">
        <v>9</v>
      </c>
    </row>
    <row r="73" spans="1:12" x14ac:dyDescent="0.3">
      <c r="A73" s="27" t="s">
        <v>102</v>
      </c>
      <c r="B73" s="14" t="s">
        <v>77</v>
      </c>
      <c r="C73" s="9">
        <v>24288.74</v>
      </c>
      <c r="D73" s="9"/>
      <c r="E73" s="9">
        <v>24288.74</v>
      </c>
      <c r="F73" s="14" t="s">
        <v>75</v>
      </c>
      <c r="G73" s="15">
        <v>46047</v>
      </c>
      <c r="H73" s="15">
        <v>46049</v>
      </c>
      <c r="I73" s="14">
        <v>2</v>
      </c>
      <c r="J73" s="16">
        <v>14485.46</v>
      </c>
      <c r="K73" s="15">
        <v>45995</v>
      </c>
      <c r="L73" s="28" t="s">
        <v>8</v>
      </c>
    </row>
    <row r="74" spans="1:12" x14ac:dyDescent="0.3">
      <c r="A74" s="27" t="s">
        <v>102</v>
      </c>
      <c r="B74" s="14" t="s">
        <v>77</v>
      </c>
      <c r="C74" s="9">
        <v>23790</v>
      </c>
      <c r="D74" s="9"/>
      <c r="E74" s="9">
        <v>23790</v>
      </c>
      <c r="F74" s="14" t="s">
        <v>75</v>
      </c>
      <c r="G74" s="15">
        <v>46047</v>
      </c>
      <c r="H74" s="15">
        <v>46052</v>
      </c>
      <c r="I74" s="14">
        <v>5</v>
      </c>
      <c r="J74" s="16">
        <v>15967.35</v>
      </c>
      <c r="K74" s="15">
        <v>45896</v>
      </c>
      <c r="L74" s="28" t="s">
        <v>15</v>
      </c>
    </row>
    <row r="75" spans="1:12" x14ac:dyDescent="0.3">
      <c r="A75" s="27" t="s">
        <v>102</v>
      </c>
      <c r="B75" s="14" t="s">
        <v>77</v>
      </c>
      <c r="C75" s="9">
        <v>12572</v>
      </c>
      <c r="D75" s="9"/>
      <c r="E75" s="9">
        <v>12572</v>
      </c>
      <c r="F75" s="14" t="s">
        <v>75</v>
      </c>
      <c r="G75" s="15">
        <v>46047</v>
      </c>
      <c r="H75" s="15">
        <v>46050</v>
      </c>
      <c r="I75" s="14">
        <v>3</v>
      </c>
      <c r="J75" s="16">
        <v>7389.27</v>
      </c>
      <c r="K75" s="15">
        <v>45976</v>
      </c>
      <c r="L75" s="28" t="s">
        <v>8</v>
      </c>
    </row>
    <row r="76" spans="1:12" x14ac:dyDescent="0.3">
      <c r="A76" s="27" t="s">
        <v>102</v>
      </c>
      <c r="B76" s="14" t="s">
        <v>77</v>
      </c>
      <c r="C76" s="9">
        <v>27122</v>
      </c>
      <c r="D76" s="9"/>
      <c r="E76" s="9">
        <v>27122</v>
      </c>
      <c r="F76" s="14" t="s">
        <v>75</v>
      </c>
      <c r="G76" s="15">
        <v>46047</v>
      </c>
      <c r="H76" s="15">
        <v>46056</v>
      </c>
      <c r="I76" s="14">
        <v>9</v>
      </c>
      <c r="J76" s="16">
        <v>16239.33</v>
      </c>
      <c r="K76" s="15">
        <v>45953</v>
      </c>
      <c r="L76" s="28" t="s">
        <v>31</v>
      </c>
    </row>
    <row r="77" spans="1:12" x14ac:dyDescent="0.3">
      <c r="A77" s="27" t="s">
        <v>102</v>
      </c>
      <c r="B77" s="14" t="s">
        <v>77</v>
      </c>
      <c r="C77" s="9">
        <v>8677</v>
      </c>
      <c r="D77" s="9">
        <v>4351</v>
      </c>
      <c r="E77" s="9">
        <v>4326</v>
      </c>
      <c r="F77" s="14" t="s">
        <v>72</v>
      </c>
      <c r="G77" s="15">
        <v>46047</v>
      </c>
      <c r="H77" s="15">
        <v>46049</v>
      </c>
      <c r="I77" s="14">
        <v>2</v>
      </c>
      <c r="J77" s="16">
        <v>2835.01</v>
      </c>
      <c r="K77" s="15">
        <v>45962</v>
      </c>
      <c r="L77" s="28" t="s">
        <v>31</v>
      </c>
    </row>
    <row r="78" spans="1:12" x14ac:dyDescent="0.3">
      <c r="A78" s="27" t="s">
        <v>102</v>
      </c>
      <c r="B78" s="14" t="s">
        <v>77</v>
      </c>
      <c r="C78" s="9">
        <v>24208</v>
      </c>
      <c r="D78" s="9"/>
      <c r="E78" s="9">
        <v>24208</v>
      </c>
      <c r="F78" s="14" t="s">
        <v>75</v>
      </c>
      <c r="G78" s="15">
        <v>46048</v>
      </c>
      <c r="H78" s="15">
        <v>46053</v>
      </c>
      <c r="I78" s="14">
        <v>5</v>
      </c>
      <c r="J78" s="16">
        <v>12027.95</v>
      </c>
      <c r="K78" s="15">
        <v>45668</v>
      </c>
      <c r="L78" s="28" t="s">
        <v>2</v>
      </c>
    </row>
    <row r="79" spans="1:12" x14ac:dyDescent="0.3">
      <c r="A79" s="27" t="s">
        <v>102</v>
      </c>
      <c r="B79" s="14" t="s">
        <v>77</v>
      </c>
      <c r="C79" s="9">
        <v>13113.26</v>
      </c>
      <c r="D79" s="9"/>
      <c r="E79" s="9">
        <v>13113.26</v>
      </c>
      <c r="F79" s="14" t="s">
        <v>75</v>
      </c>
      <c r="G79" s="15">
        <v>46048</v>
      </c>
      <c r="H79" s="15">
        <v>46051</v>
      </c>
      <c r="I79" s="14">
        <v>3</v>
      </c>
      <c r="J79" s="16">
        <v>9317.3700000000008</v>
      </c>
      <c r="K79" s="15">
        <v>45952</v>
      </c>
      <c r="L79" s="28" t="s">
        <v>38</v>
      </c>
    </row>
    <row r="80" spans="1:12" x14ac:dyDescent="0.3">
      <c r="A80" s="27" t="s">
        <v>102</v>
      </c>
      <c r="B80" s="14" t="s">
        <v>77</v>
      </c>
      <c r="C80" s="9">
        <v>33693.519999999997</v>
      </c>
      <c r="D80" s="9"/>
      <c r="E80" s="9">
        <v>33693.519999999997</v>
      </c>
      <c r="F80" s="14" t="s">
        <v>75</v>
      </c>
      <c r="G80" s="15">
        <v>46049</v>
      </c>
      <c r="H80" s="15">
        <v>46056</v>
      </c>
      <c r="I80" s="14">
        <v>7</v>
      </c>
      <c r="J80" s="16">
        <v>23605.54</v>
      </c>
      <c r="K80" s="15">
        <v>45888</v>
      </c>
      <c r="L80" s="28" t="s">
        <v>2</v>
      </c>
    </row>
    <row r="81" spans="1:12" x14ac:dyDescent="0.3">
      <c r="A81" s="27" t="s">
        <v>102</v>
      </c>
      <c r="B81" s="14" t="s">
        <v>77</v>
      </c>
      <c r="C81" s="9">
        <v>19162.64</v>
      </c>
      <c r="D81" s="9"/>
      <c r="E81" s="9">
        <v>19162.64</v>
      </c>
      <c r="F81" s="14" t="s">
        <v>75</v>
      </c>
      <c r="G81" s="15">
        <v>46049</v>
      </c>
      <c r="H81" s="15">
        <v>46052</v>
      </c>
      <c r="I81" s="14">
        <v>3</v>
      </c>
      <c r="J81" s="16">
        <v>12286.79</v>
      </c>
      <c r="K81" s="15">
        <v>45907</v>
      </c>
      <c r="L81" s="28" t="s">
        <v>16</v>
      </c>
    </row>
    <row r="82" spans="1:12" x14ac:dyDescent="0.3">
      <c r="A82" s="27" t="s">
        <v>102</v>
      </c>
      <c r="B82" s="14" t="s">
        <v>77</v>
      </c>
      <c r="C82" s="9">
        <v>8677</v>
      </c>
      <c r="D82" s="9"/>
      <c r="E82" s="9">
        <v>8677</v>
      </c>
      <c r="F82" s="14" t="s">
        <v>75</v>
      </c>
      <c r="G82" s="15">
        <v>46049</v>
      </c>
      <c r="H82" s="15">
        <v>46051</v>
      </c>
      <c r="I82" s="14">
        <v>2</v>
      </c>
      <c r="J82" s="16">
        <v>3063.94</v>
      </c>
      <c r="K82" s="15">
        <v>45962</v>
      </c>
      <c r="L82" s="28" t="s">
        <v>31</v>
      </c>
    </row>
    <row r="83" spans="1:12" x14ac:dyDescent="0.3">
      <c r="A83" s="27" t="s">
        <v>102</v>
      </c>
      <c r="B83" s="14" t="s">
        <v>77</v>
      </c>
      <c r="C83" s="9">
        <v>325</v>
      </c>
      <c r="D83" s="9"/>
      <c r="E83" s="9">
        <v>325</v>
      </c>
      <c r="F83" s="14" t="s">
        <v>82</v>
      </c>
      <c r="G83" s="15">
        <v>46050</v>
      </c>
      <c r="H83" s="15">
        <v>46052</v>
      </c>
      <c r="I83" s="14">
        <v>2</v>
      </c>
      <c r="J83" s="16">
        <v>0</v>
      </c>
      <c r="K83" s="15">
        <v>45981</v>
      </c>
      <c r="L83" s="28" t="s">
        <v>2</v>
      </c>
    </row>
    <row r="84" spans="1:12" x14ac:dyDescent="0.3">
      <c r="A84" s="27" t="s">
        <v>102</v>
      </c>
      <c r="B84" s="14" t="s">
        <v>77</v>
      </c>
      <c r="C84" s="9">
        <v>0</v>
      </c>
      <c r="D84" s="9"/>
      <c r="E84" s="9">
        <v>0</v>
      </c>
      <c r="F84" s="14" t="s">
        <v>73</v>
      </c>
      <c r="G84" s="15">
        <v>46050</v>
      </c>
      <c r="H84" s="15">
        <v>46052</v>
      </c>
      <c r="I84" s="14">
        <v>2</v>
      </c>
      <c r="J84" s="16">
        <v>0</v>
      </c>
      <c r="K84" s="15">
        <v>45939</v>
      </c>
      <c r="L84" s="28" t="s">
        <v>13</v>
      </c>
    </row>
    <row r="85" spans="1:12" x14ac:dyDescent="0.3">
      <c r="A85" s="27" t="s">
        <v>102</v>
      </c>
      <c r="B85" s="14" t="s">
        <v>77</v>
      </c>
      <c r="C85" s="9">
        <v>11232.35</v>
      </c>
      <c r="D85" s="9">
        <v>11232.35</v>
      </c>
      <c r="E85" s="9"/>
      <c r="F85" s="14" t="s">
        <v>70</v>
      </c>
      <c r="G85" s="15">
        <v>46050</v>
      </c>
      <c r="H85" s="15">
        <v>46053</v>
      </c>
      <c r="I85" s="14">
        <v>3</v>
      </c>
      <c r="J85" s="16">
        <v>6082.38</v>
      </c>
      <c r="K85" s="15">
        <v>45785</v>
      </c>
      <c r="L85" s="28" t="s">
        <v>12</v>
      </c>
    </row>
    <row r="86" spans="1:12" x14ac:dyDescent="0.3">
      <c r="A86" s="27" t="s">
        <v>102</v>
      </c>
      <c r="B86" s="14" t="s">
        <v>77</v>
      </c>
      <c r="C86" s="9">
        <v>33600</v>
      </c>
      <c r="D86" s="9"/>
      <c r="E86" s="9">
        <v>33600</v>
      </c>
      <c r="F86" s="14" t="s">
        <v>75</v>
      </c>
      <c r="G86" s="15">
        <v>46051</v>
      </c>
      <c r="H86" s="15">
        <v>46056</v>
      </c>
      <c r="I86" s="14">
        <v>5</v>
      </c>
      <c r="J86" s="16">
        <v>14786.3</v>
      </c>
      <c r="K86" s="15">
        <v>45689</v>
      </c>
      <c r="L86" s="28" t="s">
        <v>2</v>
      </c>
    </row>
    <row r="87" spans="1:12" x14ac:dyDescent="0.3">
      <c r="A87" s="27" t="s">
        <v>102</v>
      </c>
      <c r="B87" s="14" t="s">
        <v>77</v>
      </c>
      <c r="C87" s="9">
        <v>23747.599999999999</v>
      </c>
      <c r="D87" s="9">
        <v>5286.9</v>
      </c>
      <c r="E87" s="9">
        <v>18460.7</v>
      </c>
      <c r="F87" s="14" t="s">
        <v>72</v>
      </c>
      <c r="G87" s="15">
        <v>46051</v>
      </c>
      <c r="H87" s="15">
        <v>46056</v>
      </c>
      <c r="I87" s="14">
        <v>5</v>
      </c>
      <c r="J87" s="16">
        <v>12688.95</v>
      </c>
      <c r="K87" s="15">
        <v>45964</v>
      </c>
      <c r="L87" s="28" t="s">
        <v>32</v>
      </c>
    </row>
    <row r="88" spans="1:12" x14ac:dyDescent="0.3">
      <c r="A88" s="27" t="s">
        <v>102</v>
      </c>
      <c r="B88" s="14" t="s">
        <v>77</v>
      </c>
      <c r="C88" s="9">
        <v>15099.44</v>
      </c>
      <c r="D88" s="9">
        <v>3774.86</v>
      </c>
      <c r="E88" s="9">
        <v>11324.58</v>
      </c>
      <c r="F88" s="14" t="s">
        <v>72</v>
      </c>
      <c r="G88" s="15">
        <v>46051</v>
      </c>
      <c r="H88" s="15">
        <v>46055</v>
      </c>
      <c r="I88" s="14">
        <v>4</v>
      </c>
      <c r="J88" s="16">
        <v>10133.879999999999</v>
      </c>
      <c r="K88" s="15">
        <v>45955</v>
      </c>
      <c r="L88" s="28" t="s">
        <v>2</v>
      </c>
    </row>
    <row r="89" spans="1:12" x14ac:dyDescent="0.3">
      <c r="A89" s="27" t="s">
        <v>102</v>
      </c>
      <c r="B89" s="14" t="s">
        <v>77</v>
      </c>
      <c r="C89" s="9">
        <v>44593.66</v>
      </c>
      <c r="D89" s="9"/>
      <c r="E89" s="9">
        <v>44593.66</v>
      </c>
      <c r="F89" s="14" t="s">
        <v>75</v>
      </c>
      <c r="G89" s="15">
        <v>46051</v>
      </c>
      <c r="H89" s="15">
        <v>46068</v>
      </c>
      <c r="I89" s="14">
        <v>17</v>
      </c>
      <c r="J89" s="16">
        <v>29403.03</v>
      </c>
      <c r="K89" s="15">
        <v>45992</v>
      </c>
      <c r="L89" s="28" t="s">
        <v>37</v>
      </c>
    </row>
    <row r="90" spans="1:12" x14ac:dyDescent="0.3">
      <c r="A90" s="27" t="s">
        <v>102</v>
      </c>
      <c r="B90" s="14" t="s">
        <v>77</v>
      </c>
      <c r="C90" s="9">
        <v>29960.95</v>
      </c>
      <c r="D90" s="9">
        <v>7490.23</v>
      </c>
      <c r="E90" s="9">
        <v>22470.720000000001</v>
      </c>
      <c r="F90" s="14" t="s">
        <v>72</v>
      </c>
      <c r="G90" s="15">
        <v>46053</v>
      </c>
      <c r="H90" s="15">
        <v>46060</v>
      </c>
      <c r="I90" s="14">
        <v>7</v>
      </c>
      <c r="J90" s="16">
        <v>19283.39</v>
      </c>
      <c r="K90" s="15">
        <v>45971</v>
      </c>
      <c r="L90" s="28" t="s">
        <v>13</v>
      </c>
    </row>
    <row r="91" spans="1:12" x14ac:dyDescent="0.3">
      <c r="A91" s="27" t="s">
        <v>102</v>
      </c>
      <c r="B91" s="14" t="s">
        <v>77</v>
      </c>
      <c r="C91" s="9">
        <v>74312</v>
      </c>
      <c r="D91" s="9"/>
      <c r="E91" s="9">
        <v>74312</v>
      </c>
      <c r="F91" s="14" t="s">
        <v>75</v>
      </c>
      <c r="G91" s="15">
        <v>46053</v>
      </c>
      <c r="H91" s="15">
        <v>46069</v>
      </c>
      <c r="I91" s="14">
        <v>16</v>
      </c>
      <c r="J91" s="16">
        <v>52844.959999999999</v>
      </c>
      <c r="K91" s="15">
        <v>45850</v>
      </c>
      <c r="L91" s="28" t="s">
        <v>2</v>
      </c>
    </row>
    <row r="92" spans="1:12" x14ac:dyDescent="0.3">
      <c r="A92" s="27" t="s">
        <v>102</v>
      </c>
      <c r="B92" s="14" t="s">
        <v>77</v>
      </c>
      <c r="C92" s="9">
        <v>5720.95</v>
      </c>
      <c r="D92" s="9"/>
      <c r="E92" s="9">
        <v>5720.95</v>
      </c>
      <c r="F92" s="14" t="s">
        <v>75</v>
      </c>
      <c r="G92" s="15">
        <v>46053</v>
      </c>
      <c r="H92" s="15">
        <v>46054</v>
      </c>
      <c r="I92" s="14">
        <v>1</v>
      </c>
      <c r="J92" s="16">
        <v>2305.3200000000002</v>
      </c>
      <c r="K92" s="15">
        <v>45986</v>
      </c>
      <c r="L92" s="28" t="s">
        <v>31</v>
      </c>
    </row>
    <row r="93" spans="1:12" x14ac:dyDescent="0.3">
      <c r="A93" s="27" t="s">
        <v>102</v>
      </c>
      <c r="B93" s="14" t="s">
        <v>77</v>
      </c>
      <c r="C93" s="9">
        <v>2600</v>
      </c>
      <c r="D93" s="9"/>
      <c r="E93" s="9">
        <v>2600</v>
      </c>
      <c r="F93" s="14" t="s">
        <v>75</v>
      </c>
      <c r="G93" s="15">
        <v>46053</v>
      </c>
      <c r="H93" s="15">
        <v>46060</v>
      </c>
      <c r="I93" s="14">
        <v>7</v>
      </c>
      <c r="J93" s="16">
        <v>0</v>
      </c>
      <c r="K93" s="15">
        <v>45927</v>
      </c>
      <c r="L93" s="28" t="s">
        <v>24</v>
      </c>
    </row>
    <row r="94" spans="1:12" x14ac:dyDescent="0.3">
      <c r="A94" s="27" t="s">
        <v>102</v>
      </c>
      <c r="B94" s="14" t="s">
        <v>77</v>
      </c>
      <c r="C94" s="9">
        <v>9004</v>
      </c>
      <c r="D94" s="9"/>
      <c r="E94" s="9">
        <v>9004</v>
      </c>
      <c r="F94" s="14" t="s">
        <v>75</v>
      </c>
      <c r="G94" s="15">
        <v>46053</v>
      </c>
      <c r="H94" s="15">
        <v>46055</v>
      </c>
      <c r="I94" s="14">
        <v>2</v>
      </c>
      <c r="J94" s="16">
        <v>0</v>
      </c>
      <c r="K94" s="15">
        <v>45985</v>
      </c>
      <c r="L94" s="28" t="s">
        <v>31</v>
      </c>
    </row>
    <row r="95" spans="1:12" x14ac:dyDescent="0.3">
      <c r="A95" s="27" t="s">
        <v>102</v>
      </c>
      <c r="B95" s="14" t="s">
        <v>77</v>
      </c>
      <c r="C95" s="9">
        <v>5025</v>
      </c>
      <c r="D95" s="9"/>
      <c r="E95" s="9">
        <v>5025</v>
      </c>
      <c r="F95" s="14" t="s">
        <v>82</v>
      </c>
      <c r="G95" s="15">
        <v>46054</v>
      </c>
      <c r="H95" s="15">
        <v>46060</v>
      </c>
      <c r="I95" s="14">
        <v>6</v>
      </c>
      <c r="J95" s="16">
        <v>-482.28</v>
      </c>
      <c r="K95" s="15">
        <v>45847</v>
      </c>
      <c r="L95" s="28" t="s">
        <v>2</v>
      </c>
    </row>
    <row r="96" spans="1:12" x14ac:dyDescent="0.3">
      <c r="A96" s="27" t="s">
        <v>102</v>
      </c>
      <c r="B96" s="14" t="s">
        <v>77</v>
      </c>
      <c r="C96" s="9">
        <v>20779.52</v>
      </c>
      <c r="D96" s="9">
        <v>20779.52</v>
      </c>
      <c r="E96" s="9"/>
      <c r="F96" s="14" t="s">
        <v>70</v>
      </c>
      <c r="G96" s="15">
        <v>46054</v>
      </c>
      <c r="H96" s="15">
        <v>46058</v>
      </c>
      <c r="I96" s="14">
        <v>4</v>
      </c>
      <c r="J96" s="16">
        <v>13329.9</v>
      </c>
      <c r="K96" s="15">
        <v>45895</v>
      </c>
      <c r="L96" s="28" t="s">
        <v>38</v>
      </c>
    </row>
    <row r="97" spans="1:12" x14ac:dyDescent="0.3">
      <c r="A97" s="27" t="s">
        <v>102</v>
      </c>
      <c r="B97" s="14" t="s">
        <v>77</v>
      </c>
      <c r="C97" s="9">
        <v>19942</v>
      </c>
      <c r="D97" s="9">
        <v>4570.5</v>
      </c>
      <c r="E97" s="9">
        <v>15371.5</v>
      </c>
      <c r="F97" s="14" t="s">
        <v>72</v>
      </c>
      <c r="G97" s="15">
        <v>46054</v>
      </c>
      <c r="H97" s="15">
        <v>46058</v>
      </c>
      <c r="I97" s="14">
        <v>4</v>
      </c>
      <c r="J97" s="16">
        <v>6982.61</v>
      </c>
      <c r="K97" s="15">
        <v>45973</v>
      </c>
      <c r="L97" s="28" t="s">
        <v>31</v>
      </c>
    </row>
    <row r="98" spans="1:12" x14ac:dyDescent="0.3">
      <c r="A98" s="27" t="s">
        <v>102</v>
      </c>
      <c r="B98" s="14" t="s">
        <v>77</v>
      </c>
      <c r="C98" s="9">
        <v>26038.28</v>
      </c>
      <c r="D98" s="9">
        <v>6509.57</v>
      </c>
      <c r="E98" s="9">
        <v>19528.71</v>
      </c>
      <c r="F98" s="14" t="s">
        <v>72</v>
      </c>
      <c r="G98" s="15">
        <v>46055</v>
      </c>
      <c r="H98" s="15">
        <v>46061</v>
      </c>
      <c r="I98" s="14">
        <v>6</v>
      </c>
      <c r="J98" s="16">
        <v>13747.14</v>
      </c>
      <c r="K98" s="15">
        <v>45992</v>
      </c>
      <c r="L98" s="28" t="s">
        <v>5</v>
      </c>
    </row>
    <row r="99" spans="1:12" x14ac:dyDescent="0.3">
      <c r="A99" s="27" t="s">
        <v>102</v>
      </c>
      <c r="B99" s="14" t="s">
        <v>77</v>
      </c>
      <c r="C99" s="9">
        <v>13506</v>
      </c>
      <c r="D99" s="9"/>
      <c r="E99" s="9">
        <v>13506</v>
      </c>
      <c r="F99" s="14" t="s">
        <v>75</v>
      </c>
      <c r="G99" s="15">
        <v>46055</v>
      </c>
      <c r="H99" s="15">
        <v>46058</v>
      </c>
      <c r="I99" s="14">
        <v>3</v>
      </c>
      <c r="J99" s="16">
        <v>5366.31</v>
      </c>
      <c r="K99" s="15">
        <v>45984</v>
      </c>
      <c r="L99" s="28" t="s">
        <v>31</v>
      </c>
    </row>
    <row r="100" spans="1:12" x14ac:dyDescent="0.3">
      <c r="A100" s="27" t="s">
        <v>102</v>
      </c>
      <c r="B100" s="14" t="s">
        <v>77</v>
      </c>
      <c r="C100" s="9">
        <v>15496</v>
      </c>
      <c r="D100" s="9">
        <v>3874</v>
      </c>
      <c r="E100" s="9">
        <v>11622</v>
      </c>
      <c r="F100" s="14" t="s">
        <v>72</v>
      </c>
      <c r="G100" s="15">
        <v>46057</v>
      </c>
      <c r="H100" s="15">
        <v>46061</v>
      </c>
      <c r="I100" s="14">
        <v>4</v>
      </c>
      <c r="J100" s="16">
        <v>7615.99</v>
      </c>
      <c r="K100" s="15">
        <v>45993</v>
      </c>
      <c r="L100" s="28" t="s">
        <v>31</v>
      </c>
    </row>
    <row r="101" spans="1:12" x14ac:dyDescent="0.3">
      <c r="A101" s="27" t="s">
        <v>102</v>
      </c>
      <c r="B101" s="14" t="s">
        <v>77</v>
      </c>
      <c r="C101" s="9">
        <v>17815.400000000001</v>
      </c>
      <c r="D101" s="9">
        <v>3803.85</v>
      </c>
      <c r="E101" s="9">
        <v>14011.55</v>
      </c>
      <c r="F101" s="14" t="s">
        <v>72</v>
      </c>
      <c r="G101" s="15">
        <v>46057</v>
      </c>
      <c r="H101" s="15">
        <v>46061</v>
      </c>
      <c r="I101" s="14">
        <v>4</v>
      </c>
      <c r="J101" s="16">
        <v>11141.16</v>
      </c>
      <c r="K101" s="15">
        <v>45958</v>
      </c>
      <c r="L101" s="28" t="s">
        <v>5</v>
      </c>
    </row>
    <row r="102" spans="1:12" x14ac:dyDescent="0.3">
      <c r="A102" s="27" t="s">
        <v>102</v>
      </c>
      <c r="B102" s="14" t="s">
        <v>77</v>
      </c>
      <c r="C102" s="9">
        <v>10397</v>
      </c>
      <c r="D102" s="9"/>
      <c r="E102" s="9">
        <v>10397</v>
      </c>
      <c r="F102" s="14" t="s">
        <v>75</v>
      </c>
      <c r="G102" s="15">
        <v>46057</v>
      </c>
      <c r="H102" s="15">
        <v>46058</v>
      </c>
      <c r="I102" s="14">
        <v>1</v>
      </c>
      <c r="J102" s="16">
        <v>5260.3</v>
      </c>
      <c r="K102" s="15">
        <v>45947</v>
      </c>
      <c r="L102" s="28" t="s">
        <v>31</v>
      </c>
    </row>
    <row r="103" spans="1:12" x14ac:dyDescent="0.3">
      <c r="A103" s="27" t="s">
        <v>102</v>
      </c>
      <c r="B103" s="14" t="s">
        <v>77</v>
      </c>
      <c r="C103" s="9"/>
      <c r="D103" s="9"/>
      <c r="E103" s="9"/>
      <c r="F103" s="14" t="s">
        <v>74</v>
      </c>
      <c r="G103" s="15">
        <v>46058</v>
      </c>
      <c r="H103" s="15">
        <v>46068</v>
      </c>
      <c r="I103" s="14">
        <v>10</v>
      </c>
      <c r="J103" s="16">
        <v>3899.6</v>
      </c>
      <c r="K103" s="15">
        <v>46001</v>
      </c>
      <c r="L103" s="28" t="s">
        <v>33</v>
      </c>
    </row>
    <row r="104" spans="1:12" x14ac:dyDescent="0.3">
      <c r="A104" s="27" t="s">
        <v>102</v>
      </c>
      <c r="B104" s="14" t="s">
        <v>77</v>
      </c>
      <c r="C104" s="9"/>
      <c r="D104" s="9"/>
      <c r="E104" s="9"/>
      <c r="F104" s="14" t="s">
        <v>74</v>
      </c>
      <c r="G104" s="10">
        <v>46058</v>
      </c>
      <c r="H104" s="10">
        <v>46065</v>
      </c>
      <c r="I104" s="8">
        <v>7</v>
      </c>
      <c r="J104" s="8">
        <v>17767.12</v>
      </c>
      <c r="K104" s="15"/>
      <c r="L104" s="28" t="s">
        <v>31</v>
      </c>
    </row>
    <row r="105" spans="1:12" x14ac:dyDescent="0.3">
      <c r="A105" s="27" t="s">
        <v>102</v>
      </c>
      <c r="B105" s="14" t="s">
        <v>77</v>
      </c>
      <c r="C105" s="9"/>
      <c r="D105" s="9"/>
      <c r="E105" s="9"/>
      <c r="F105" s="14" t="s">
        <v>74</v>
      </c>
      <c r="G105" s="10">
        <v>46058</v>
      </c>
      <c r="H105" s="10">
        <v>46065</v>
      </c>
      <c r="I105" s="8">
        <v>7</v>
      </c>
      <c r="J105" s="8">
        <v>17767.12</v>
      </c>
      <c r="K105" s="15"/>
      <c r="L105" s="28" t="s">
        <v>31</v>
      </c>
    </row>
    <row r="106" spans="1:12" x14ac:dyDescent="0.3">
      <c r="A106" s="27" t="s">
        <v>102</v>
      </c>
      <c r="B106" s="14" t="s">
        <v>77</v>
      </c>
      <c r="C106" s="9"/>
      <c r="D106" s="9"/>
      <c r="E106" s="9"/>
      <c r="F106" s="14" t="s">
        <v>74</v>
      </c>
      <c r="G106" s="10">
        <v>46058</v>
      </c>
      <c r="H106" s="10">
        <v>46065</v>
      </c>
      <c r="I106" s="8">
        <v>7</v>
      </c>
      <c r="J106" s="8">
        <v>19647.46</v>
      </c>
      <c r="K106" s="15"/>
      <c r="L106" s="28" t="s">
        <v>31</v>
      </c>
    </row>
    <row r="107" spans="1:12" x14ac:dyDescent="0.3">
      <c r="A107" s="27" t="s">
        <v>102</v>
      </c>
      <c r="B107" s="14" t="s">
        <v>77</v>
      </c>
      <c r="C107" s="9">
        <v>21800</v>
      </c>
      <c r="D107" s="9"/>
      <c r="E107" s="9">
        <v>21800</v>
      </c>
      <c r="F107" s="14" t="s">
        <v>75</v>
      </c>
      <c r="G107" s="15">
        <v>46059</v>
      </c>
      <c r="H107" s="15">
        <v>46066</v>
      </c>
      <c r="I107" s="14">
        <v>7</v>
      </c>
      <c r="J107" s="16">
        <v>9610.7800000000007</v>
      </c>
      <c r="K107" s="15">
        <v>45975</v>
      </c>
      <c r="L107" s="28" t="s">
        <v>24</v>
      </c>
    </row>
    <row r="108" spans="1:12" x14ac:dyDescent="0.3">
      <c r="A108" s="27" t="s">
        <v>102</v>
      </c>
      <c r="B108" s="14" t="s">
        <v>77</v>
      </c>
      <c r="C108" s="9">
        <v>23850</v>
      </c>
      <c r="D108" s="9">
        <v>23850</v>
      </c>
      <c r="E108" s="9"/>
      <c r="F108" s="14" t="s">
        <v>70</v>
      </c>
      <c r="G108" s="15">
        <v>46060</v>
      </c>
      <c r="H108" s="15">
        <v>46067</v>
      </c>
      <c r="I108" s="14">
        <v>7</v>
      </c>
      <c r="J108" s="16">
        <v>10124.24</v>
      </c>
      <c r="K108" s="15">
        <v>45869</v>
      </c>
      <c r="L108" s="28" t="s">
        <v>24</v>
      </c>
    </row>
    <row r="109" spans="1:12" x14ac:dyDescent="0.3">
      <c r="A109" s="27" t="s">
        <v>102</v>
      </c>
      <c r="B109" s="14" t="s">
        <v>77</v>
      </c>
      <c r="C109" s="9">
        <v>14020</v>
      </c>
      <c r="D109" s="9"/>
      <c r="E109" s="9">
        <v>14020</v>
      </c>
      <c r="F109" s="14" t="s">
        <v>75</v>
      </c>
      <c r="G109" s="15">
        <v>46060</v>
      </c>
      <c r="H109" s="15">
        <v>46065</v>
      </c>
      <c r="I109" s="14">
        <v>5</v>
      </c>
      <c r="J109" s="16">
        <v>9615.4</v>
      </c>
      <c r="K109" s="15">
        <v>45959</v>
      </c>
      <c r="L109" s="28" t="s">
        <v>9</v>
      </c>
    </row>
    <row r="110" spans="1:12" x14ac:dyDescent="0.3">
      <c r="A110" s="27" t="s">
        <v>102</v>
      </c>
      <c r="B110" s="14" t="s">
        <v>77</v>
      </c>
      <c r="C110" s="9">
        <v>21074.84</v>
      </c>
      <c r="D110" s="9"/>
      <c r="E110" s="9">
        <v>21074.84</v>
      </c>
      <c r="F110" s="14" t="s">
        <v>75</v>
      </c>
      <c r="G110" s="15">
        <v>46060</v>
      </c>
      <c r="H110" s="15">
        <v>46064</v>
      </c>
      <c r="I110" s="14">
        <v>4</v>
      </c>
      <c r="J110" s="16">
        <v>12319</v>
      </c>
      <c r="K110" s="15">
        <v>45870</v>
      </c>
      <c r="L110" s="28" t="s">
        <v>18</v>
      </c>
    </row>
    <row r="111" spans="1:12" x14ac:dyDescent="0.3">
      <c r="A111" s="27" t="s">
        <v>102</v>
      </c>
      <c r="B111" s="14" t="s">
        <v>77</v>
      </c>
      <c r="C111" s="9">
        <v>21780</v>
      </c>
      <c r="D111" s="9">
        <v>5445</v>
      </c>
      <c r="E111" s="9">
        <v>16335</v>
      </c>
      <c r="F111" s="14" t="s">
        <v>72</v>
      </c>
      <c r="G111" s="15">
        <v>46060</v>
      </c>
      <c r="H111" s="15">
        <v>46065</v>
      </c>
      <c r="I111" s="14">
        <v>5</v>
      </c>
      <c r="J111" s="16">
        <v>9558.14</v>
      </c>
      <c r="K111" s="15">
        <v>45972</v>
      </c>
      <c r="L111" s="28" t="s">
        <v>31</v>
      </c>
    </row>
    <row r="112" spans="1:12" x14ac:dyDescent="0.3">
      <c r="A112" s="27" t="s">
        <v>102</v>
      </c>
      <c r="B112" s="14" t="s">
        <v>77</v>
      </c>
      <c r="C112" s="9">
        <v>33160</v>
      </c>
      <c r="D112" s="9">
        <v>8290</v>
      </c>
      <c r="E112" s="9">
        <v>24870</v>
      </c>
      <c r="F112" s="14" t="s">
        <v>72</v>
      </c>
      <c r="G112" s="15">
        <v>46061</v>
      </c>
      <c r="H112" s="15">
        <v>46070</v>
      </c>
      <c r="I112" s="14">
        <v>9</v>
      </c>
      <c r="J112" s="16">
        <v>21836.07</v>
      </c>
      <c r="K112" s="15">
        <v>45967</v>
      </c>
      <c r="L112" s="28" t="s">
        <v>15</v>
      </c>
    </row>
    <row r="113" spans="1:12" x14ac:dyDescent="0.3">
      <c r="A113" s="27" t="s">
        <v>102</v>
      </c>
      <c r="B113" s="14" t="s">
        <v>77</v>
      </c>
      <c r="C113" s="9">
        <v>15213.4</v>
      </c>
      <c r="D113" s="9"/>
      <c r="E113" s="9">
        <v>15213.4</v>
      </c>
      <c r="F113" s="14" t="s">
        <v>80</v>
      </c>
      <c r="G113" s="15">
        <v>46061</v>
      </c>
      <c r="H113" s="15">
        <v>46066</v>
      </c>
      <c r="I113" s="14">
        <v>5</v>
      </c>
      <c r="J113" s="16">
        <v>9038</v>
      </c>
      <c r="K113" s="15">
        <v>45993</v>
      </c>
      <c r="L113" s="28" t="s">
        <v>31</v>
      </c>
    </row>
    <row r="114" spans="1:12" x14ac:dyDescent="0.3">
      <c r="A114" s="27" t="s">
        <v>102</v>
      </c>
      <c r="B114" s="14" t="s">
        <v>77</v>
      </c>
      <c r="C114" s="9">
        <v>325</v>
      </c>
      <c r="D114" s="9"/>
      <c r="E114" s="9">
        <v>325</v>
      </c>
      <c r="F114" s="14" t="s">
        <v>82</v>
      </c>
      <c r="G114" s="15">
        <v>46061</v>
      </c>
      <c r="H114" s="15">
        <v>46063</v>
      </c>
      <c r="I114" s="14">
        <v>2</v>
      </c>
      <c r="J114" s="16">
        <v>0</v>
      </c>
      <c r="K114" s="15">
        <v>45869</v>
      </c>
      <c r="L114" s="28" t="s">
        <v>1</v>
      </c>
    </row>
    <row r="115" spans="1:12" x14ac:dyDescent="0.3">
      <c r="A115" s="27" t="s">
        <v>102</v>
      </c>
      <c r="B115" s="14" t="s">
        <v>77</v>
      </c>
      <c r="C115" s="9">
        <v>32974.769999999997</v>
      </c>
      <c r="D115" s="9"/>
      <c r="E115" s="9">
        <v>32974.769999999997</v>
      </c>
      <c r="F115" s="14" t="s">
        <v>75</v>
      </c>
      <c r="G115" s="15">
        <v>46061</v>
      </c>
      <c r="H115" s="15">
        <v>46069</v>
      </c>
      <c r="I115" s="14">
        <v>8</v>
      </c>
      <c r="J115" s="16">
        <v>22239.64</v>
      </c>
      <c r="K115" s="15">
        <v>45999</v>
      </c>
      <c r="L115" s="28" t="s">
        <v>40</v>
      </c>
    </row>
    <row r="116" spans="1:12" x14ac:dyDescent="0.3">
      <c r="A116" s="27" t="s">
        <v>102</v>
      </c>
      <c r="B116" s="14" t="s">
        <v>77</v>
      </c>
      <c r="C116" s="9">
        <v>32974.769999999997</v>
      </c>
      <c r="D116" s="9"/>
      <c r="E116" s="9">
        <v>32974.769999999997</v>
      </c>
      <c r="F116" s="14" t="s">
        <v>75</v>
      </c>
      <c r="G116" s="15">
        <v>46061</v>
      </c>
      <c r="H116" s="15">
        <v>46069</v>
      </c>
      <c r="I116" s="14">
        <v>8</v>
      </c>
      <c r="J116" s="16">
        <v>22239.64</v>
      </c>
      <c r="K116" s="15">
        <v>45999</v>
      </c>
      <c r="L116" s="28" t="s">
        <v>40</v>
      </c>
    </row>
    <row r="117" spans="1:12" x14ac:dyDescent="0.3">
      <c r="A117" s="27" t="s">
        <v>102</v>
      </c>
      <c r="B117" s="14" t="s">
        <v>77</v>
      </c>
      <c r="C117" s="9">
        <v>19530</v>
      </c>
      <c r="D117" s="9"/>
      <c r="E117" s="9">
        <v>19530</v>
      </c>
      <c r="F117" s="14" t="s">
        <v>75</v>
      </c>
      <c r="G117" s="15">
        <v>46061</v>
      </c>
      <c r="H117" s="15">
        <v>46064</v>
      </c>
      <c r="I117" s="14">
        <v>3</v>
      </c>
      <c r="J117" s="16">
        <v>3133.2</v>
      </c>
      <c r="K117" s="15">
        <v>45926</v>
      </c>
      <c r="L117" s="28" t="s">
        <v>24</v>
      </c>
    </row>
    <row r="118" spans="1:12" x14ac:dyDescent="0.3">
      <c r="A118" s="27" t="s">
        <v>102</v>
      </c>
      <c r="B118" s="14" t="s">
        <v>77</v>
      </c>
      <c r="C118" s="9">
        <v>20244</v>
      </c>
      <c r="D118" s="9"/>
      <c r="E118" s="9">
        <v>20244</v>
      </c>
      <c r="F118" s="14" t="s">
        <v>75</v>
      </c>
      <c r="G118" s="15">
        <v>46061</v>
      </c>
      <c r="H118" s="15">
        <v>46065</v>
      </c>
      <c r="I118" s="14">
        <v>4</v>
      </c>
      <c r="J118" s="16">
        <v>11981.36</v>
      </c>
      <c r="K118" s="15">
        <v>45902</v>
      </c>
      <c r="L118" s="28" t="s">
        <v>32</v>
      </c>
    </row>
    <row r="119" spans="1:12" x14ac:dyDescent="0.3">
      <c r="A119" s="27" t="s">
        <v>102</v>
      </c>
      <c r="B119" s="14" t="s">
        <v>77</v>
      </c>
      <c r="C119" s="9">
        <v>20740</v>
      </c>
      <c r="D119" s="9">
        <v>5185</v>
      </c>
      <c r="E119" s="9">
        <v>15555</v>
      </c>
      <c r="F119" s="14" t="s">
        <v>72</v>
      </c>
      <c r="G119" s="15">
        <v>46061</v>
      </c>
      <c r="H119" s="15">
        <v>46066</v>
      </c>
      <c r="I119" s="14">
        <v>5</v>
      </c>
      <c r="J119" s="16">
        <v>9729.86</v>
      </c>
      <c r="K119" s="15">
        <v>45982</v>
      </c>
      <c r="L119" s="28" t="s">
        <v>31</v>
      </c>
    </row>
    <row r="120" spans="1:12" x14ac:dyDescent="0.3">
      <c r="A120" s="27" t="s">
        <v>102</v>
      </c>
      <c r="B120" s="14" t="s">
        <v>77</v>
      </c>
      <c r="C120" s="9">
        <v>36542</v>
      </c>
      <c r="D120" s="9"/>
      <c r="E120" s="9">
        <v>36542</v>
      </c>
      <c r="F120" s="14" t="s">
        <v>75</v>
      </c>
      <c r="G120" s="15">
        <v>46062</v>
      </c>
      <c r="H120" s="15">
        <v>46066</v>
      </c>
      <c r="I120" s="14">
        <v>4</v>
      </c>
      <c r="J120" s="16">
        <v>0</v>
      </c>
      <c r="K120" s="15">
        <v>45998</v>
      </c>
      <c r="L120" s="28" t="s">
        <v>31</v>
      </c>
    </row>
    <row r="121" spans="1:12" x14ac:dyDescent="0.3">
      <c r="A121" s="27" t="s">
        <v>102</v>
      </c>
      <c r="B121" s="14" t="s">
        <v>77</v>
      </c>
      <c r="C121" s="9">
        <v>16661.599999999999</v>
      </c>
      <c r="D121" s="9">
        <v>3515.4</v>
      </c>
      <c r="E121" s="9">
        <v>13146.2</v>
      </c>
      <c r="F121" s="14" t="s">
        <v>72</v>
      </c>
      <c r="G121" s="15">
        <v>46062</v>
      </c>
      <c r="H121" s="15">
        <v>46066</v>
      </c>
      <c r="I121" s="14">
        <v>4</v>
      </c>
      <c r="J121" s="16">
        <v>10260.68</v>
      </c>
      <c r="K121" s="15">
        <v>45969</v>
      </c>
      <c r="L121" s="28" t="s">
        <v>14</v>
      </c>
    </row>
    <row r="122" spans="1:12" x14ac:dyDescent="0.3">
      <c r="A122" s="27" t="s">
        <v>102</v>
      </c>
      <c r="B122" s="14" t="s">
        <v>77</v>
      </c>
      <c r="C122" s="9">
        <v>48742.84</v>
      </c>
      <c r="D122" s="9">
        <v>12185.71</v>
      </c>
      <c r="E122" s="9">
        <v>36557.129999999997</v>
      </c>
      <c r="F122" s="14" t="s">
        <v>72</v>
      </c>
      <c r="G122" s="15">
        <v>46062</v>
      </c>
      <c r="H122" s="15">
        <v>46068</v>
      </c>
      <c r="I122" s="14">
        <v>6</v>
      </c>
      <c r="J122" s="16">
        <v>31818.42</v>
      </c>
      <c r="K122" s="15">
        <v>45999</v>
      </c>
      <c r="L122" s="28" t="s">
        <v>15</v>
      </c>
    </row>
    <row r="123" spans="1:12" x14ac:dyDescent="0.3">
      <c r="A123" s="27" t="s">
        <v>102</v>
      </c>
      <c r="B123" s="14" t="s">
        <v>77</v>
      </c>
      <c r="C123" s="9">
        <v>36838.400000000001</v>
      </c>
      <c r="D123" s="9"/>
      <c r="E123" s="9">
        <v>36838.400000000001</v>
      </c>
      <c r="F123" s="14" t="s">
        <v>75</v>
      </c>
      <c r="G123" s="15">
        <v>46062</v>
      </c>
      <c r="H123" s="15">
        <v>46069</v>
      </c>
      <c r="I123" s="14">
        <v>7</v>
      </c>
      <c r="J123" s="16">
        <v>25305.56</v>
      </c>
      <c r="K123" s="15">
        <v>45900</v>
      </c>
      <c r="L123" s="28" t="s">
        <v>18</v>
      </c>
    </row>
    <row r="124" spans="1:12" x14ac:dyDescent="0.3">
      <c r="A124" s="27" t="s">
        <v>102</v>
      </c>
      <c r="B124" s="14" t="s">
        <v>77</v>
      </c>
      <c r="C124" s="9">
        <v>17700</v>
      </c>
      <c r="D124" s="9">
        <v>4425</v>
      </c>
      <c r="E124" s="9">
        <v>13275</v>
      </c>
      <c r="F124" s="14" t="s">
        <v>72</v>
      </c>
      <c r="G124" s="15">
        <v>46062</v>
      </c>
      <c r="H124" s="15">
        <v>46066</v>
      </c>
      <c r="I124" s="14">
        <v>4</v>
      </c>
      <c r="J124" s="16">
        <v>4204.82</v>
      </c>
      <c r="K124" s="15">
        <v>45961</v>
      </c>
      <c r="L124" s="28" t="s">
        <v>31</v>
      </c>
    </row>
    <row r="125" spans="1:12" x14ac:dyDescent="0.3">
      <c r="A125" s="27" t="s">
        <v>102</v>
      </c>
      <c r="B125" s="14" t="s">
        <v>77</v>
      </c>
      <c r="C125" s="11">
        <v>28188.28</v>
      </c>
      <c r="D125" s="11">
        <v>28188.28</v>
      </c>
      <c r="E125" s="9"/>
      <c r="F125" s="14" t="s">
        <v>70</v>
      </c>
      <c r="G125" s="15">
        <v>46063</v>
      </c>
      <c r="H125" s="15">
        <v>46072</v>
      </c>
      <c r="I125" s="14">
        <v>9</v>
      </c>
      <c r="J125" s="16">
        <v>18469.349999999999</v>
      </c>
      <c r="K125" s="15">
        <v>45978</v>
      </c>
      <c r="L125" s="28"/>
    </row>
    <row r="126" spans="1:12" x14ac:dyDescent="0.3">
      <c r="A126" s="27" t="s">
        <v>102</v>
      </c>
      <c r="B126" s="14" t="s">
        <v>77</v>
      </c>
      <c r="C126" s="9">
        <v>16155</v>
      </c>
      <c r="D126" s="9"/>
      <c r="E126" s="9">
        <v>16155</v>
      </c>
      <c r="F126" s="14" t="s">
        <v>75</v>
      </c>
      <c r="G126" s="15">
        <v>46063</v>
      </c>
      <c r="H126" s="15">
        <v>46068</v>
      </c>
      <c r="I126" s="14">
        <v>5</v>
      </c>
      <c r="J126" s="16">
        <v>0</v>
      </c>
      <c r="K126" s="15">
        <v>45996</v>
      </c>
      <c r="L126" s="28" t="s">
        <v>1</v>
      </c>
    </row>
    <row r="127" spans="1:12" x14ac:dyDescent="0.3">
      <c r="A127" s="27" t="s">
        <v>102</v>
      </c>
      <c r="B127" s="14" t="s">
        <v>77</v>
      </c>
      <c r="C127" s="9">
        <v>22090</v>
      </c>
      <c r="D127" s="9"/>
      <c r="E127" s="9">
        <v>22090</v>
      </c>
      <c r="F127" s="14" t="s">
        <v>75</v>
      </c>
      <c r="G127" s="15">
        <v>46063</v>
      </c>
      <c r="H127" s="15">
        <v>46068</v>
      </c>
      <c r="I127" s="14">
        <v>5</v>
      </c>
      <c r="J127" s="16">
        <v>11523.2</v>
      </c>
      <c r="K127" s="15">
        <v>45969</v>
      </c>
      <c r="L127" s="28" t="s">
        <v>2</v>
      </c>
    </row>
    <row r="128" spans="1:12" x14ac:dyDescent="0.3">
      <c r="A128" s="27" t="s">
        <v>102</v>
      </c>
      <c r="B128" s="14" t="s">
        <v>77</v>
      </c>
      <c r="C128" s="9">
        <v>30200</v>
      </c>
      <c r="D128" s="9">
        <v>3000</v>
      </c>
      <c r="E128" s="9">
        <v>27200</v>
      </c>
      <c r="F128" s="14" t="s">
        <v>72</v>
      </c>
      <c r="G128" s="15">
        <v>46063</v>
      </c>
      <c r="H128" s="15">
        <v>46073</v>
      </c>
      <c r="I128" s="14">
        <v>10</v>
      </c>
      <c r="J128" s="16">
        <v>19887.099999999999</v>
      </c>
      <c r="K128" s="15">
        <v>45982</v>
      </c>
      <c r="L128" s="28" t="s">
        <v>12</v>
      </c>
    </row>
    <row r="129" spans="1:12" x14ac:dyDescent="0.3">
      <c r="A129" s="27" t="s">
        <v>102</v>
      </c>
      <c r="B129" s="14" t="s">
        <v>77</v>
      </c>
      <c r="C129" s="9">
        <v>3567.75</v>
      </c>
      <c r="D129" s="9"/>
      <c r="E129" s="9">
        <v>3567.75</v>
      </c>
      <c r="F129" s="14" t="s">
        <v>75</v>
      </c>
      <c r="G129" s="15">
        <v>46064</v>
      </c>
      <c r="H129" s="15">
        <v>46065</v>
      </c>
      <c r="I129" s="14">
        <v>1</v>
      </c>
      <c r="J129" s="16">
        <v>239.43</v>
      </c>
      <c r="K129" s="15">
        <v>45977</v>
      </c>
      <c r="L129" s="28" t="s">
        <v>31</v>
      </c>
    </row>
    <row r="130" spans="1:12" x14ac:dyDescent="0.3">
      <c r="A130" s="27" t="s">
        <v>102</v>
      </c>
      <c r="B130" s="14" t="s">
        <v>77</v>
      </c>
      <c r="C130" s="9">
        <v>17356</v>
      </c>
      <c r="D130" s="9">
        <v>4339</v>
      </c>
      <c r="E130" s="9">
        <v>13017</v>
      </c>
      <c r="F130" s="14" t="s">
        <v>72</v>
      </c>
      <c r="G130" s="15">
        <v>46064</v>
      </c>
      <c r="H130" s="15">
        <v>46068</v>
      </c>
      <c r="I130" s="14">
        <v>4</v>
      </c>
      <c r="J130" s="16">
        <v>9035.4</v>
      </c>
      <c r="K130" s="15">
        <v>45976</v>
      </c>
      <c r="L130" s="28" t="s">
        <v>31</v>
      </c>
    </row>
    <row r="131" spans="1:12" x14ac:dyDescent="0.3">
      <c r="A131" s="27" t="s">
        <v>102</v>
      </c>
      <c r="B131" s="14" t="s">
        <v>77</v>
      </c>
      <c r="C131" s="9">
        <v>48141.98</v>
      </c>
      <c r="D131" s="9"/>
      <c r="E131" s="9">
        <v>48141.98</v>
      </c>
      <c r="F131" s="14" t="s">
        <v>75</v>
      </c>
      <c r="G131" s="15">
        <v>46064</v>
      </c>
      <c r="H131" s="15">
        <v>46071</v>
      </c>
      <c r="I131" s="14">
        <v>7</v>
      </c>
      <c r="J131" s="16">
        <v>33760.65</v>
      </c>
      <c r="K131" s="15">
        <v>45786</v>
      </c>
      <c r="L131" s="28" t="s">
        <v>2</v>
      </c>
    </row>
    <row r="132" spans="1:12" x14ac:dyDescent="0.3">
      <c r="A132" s="27" t="s">
        <v>102</v>
      </c>
      <c r="B132" s="14" t="s">
        <v>77</v>
      </c>
      <c r="C132" s="9">
        <v>12881.13</v>
      </c>
      <c r="D132" s="9"/>
      <c r="E132" s="9">
        <v>12881.13</v>
      </c>
      <c r="F132" s="14" t="s">
        <v>75</v>
      </c>
      <c r="G132" s="15">
        <v>46064</v>
      </c>
      <c r="H132" s="15">
        <v>46067</v>
      </c>
      <c r="I132" s="14">
        <v>3</v>
      </c>
      <c r="J132" s="16">
        <v>9239.25</v>
      </c>
      <c r="K132" s="15">
        <v>45870</v>
      </c>
      <c r="L132" s="28" t="s">
        <v>18</v>
      </c>
    </row>
    <row r="133" spans="1:12" x14ac:dyDescent="0.3">
      <c r="A133" s="27" t="s">
        <v>102</v>
      </c>
      <c r="B133" s="14" t="s">
        <v>77</v>
      </c>
      <c r="C133" s="9"/>
      <c r="D133" s="9"/>
      <c r="E133" s="9"/>
      <c r="F133" s="14" t="s">
        <v>73</v>
      </c>
      <c r="G133" s="15">
        <v>46064</v>
      </c>
      <c r="H133" s="15">
        <v>46066</v>
      </c>
      <c r="I133" s="14">
        <v>2</v>
      </c>
      <c r="J133" s="16">
        <v>0</v>
      </c>
      <c r="K133" s="15">
        <v>45766</v>
      </c>
      <c r="L133" s="28" t="s">
        <v>26</v>
      </c>
    </row>
    <row r="134" spans="1:12" x14ac:dyDescent="0.3">
      <c r="A134" s="27" t="s">
        <v>102</v>
      </c>
      <c r="B134" s="14" t="s">
        <v>77</v>
      </c>
      <c r="C134" s="9"/>
      <c r="D134" s="9"/>
      <c r="E134" s="9"/>
      <c r="F134" s="14" t="s">
        <v>73</v>
      </c>
      <c r="G134" s="15">
        <v>46064</v>
      </c>
      <c r="H134" s="15">
        <v>46066</v>
      </c>
      <c r="I134" s="14">
        <v>2</v>
      </c>
      <c r="J134" s="16">
        <v>0</v>
      </c>
      <c r="K134" s="15">
        <v>45766</v>
      </c>
      <c r="L134" s="28" t="s">
        <v>26</v>
      </c>
    </row>
    <row r="135" spans="1:12" x14ac:dyDescent="0.3">
      <c r="A135" s="27" t="s">
        <v>102</v>
      </c>
      <c r="B135" s="14" t="s">
        <v>77</v>
      </c>
      <c r="C135" s="9"/>
      <c r="D135" s="9"/>
      <c r="E135" s="9"/>
      <c r="F135" s="14" t="s">
        <v>73</v>
      </c>
      <c r="G135" s="15">
        <v>46064</v>
      </c>
      <c r="H135" s="15">
        <v>46066</v>
      </c>
      <c r="I135" s="14">
        <v>2</v>
      </c>
      <c r="J135" s="16">
        <v>0</v>
      </c>
      <c r="K135" s="15">
        <v>45766</v>
      </c>
      <c r="L135" s="28" t="s">
        <v>26</v>
      </c>
    </row>
    <row r="136" spans="1:12" x14ac:dyDescent="0.3">
      <c r="A136" s="27" t="s">
        <v>102</v>
      </c>
      <c r="B136" s="14" t="s">
        <v>77</v>
      </c>
      <c r="C136" s="9"/>
      <c r="D136" s="9"/>
      <c r="E136" s="9"/>
      <c r="F136" s="14" t="s">
        <v>73</v>
      </c>
      <c r="G136" s="15">
        <v>46064</v>
      </c>
      <c r="H136" s="15">
        <v>46066</v>
      </c>
      <c r="I136" s="14">
        <v>2</v>
      </c>
      <c r="J136" s="16">
        <v>0</v>
      </c>
      <c r="K136" s="15">
        <v>45766</v>
      </c>
      <c r="L136" s="28" t="s">
        <v>26</v>
      </c>
    </row>
    <row r="137" spans="1:12" x14ac:dyDescent="0.3">
      <c r="A137" s="27" t="s">
        <v>102</v>
      </c>
      <c r="B137" s="14" t="s">
        <v>77</v>
      </c>
      <c r="C137" s="9">
        <v>19000</v>
      </c>
      <c r="D137" s="9"/>
      <c r="E137" s="9">
        <v>19000</v>
      </c>
      <c r="F137" s="14" t="s">
        <v>75</v>
      </c>
      <c r="G137" s="15">
        <v>46064</v>
      </c>
      <c r="H137" s="15">
        <v>46068</v>
      </c>
      <c r="I137" s="14">
        <v>4</v>
      </c>
      <c r="J137" s="16">
        <v>-478.64</v>
      </c>
      <c r="K137" s="15">
        <v>46001</v>
      </c>
      <c r="L137" s="28" t="s">
        <v>31</v>
      </c>
    </row>
    <row r="138" spans="1:12" x14ac:dyDescent="0.3">
      <c r="A138" s="27" t="s">
        <v>102</v>
      </c>
      <c r="B138" s="14" t="s">
        <v>77</v>
      </c>
      <c r="C138" s="9">
        <v>19000</v>
      </c>
      <c r="D138" s="9"/>
      <c r="E138" s="9">
        <v>19000</v>
      </c>
      <c r="F138" s="14" t="s">
        <v>75</v>
      </c>
      <c r="G138" s="15">
        <v>46064</v>
      </c>
      <c r="H138" s="15">
        <v>46068</v>
      </c>
      <c r="I138" s="14">
        <v>4</v>
      </c>
      <c r="J138" s="16">
        <v>-478.64</v>
      </c>
      <c r="K138" s="15">
        <v>46001</v>
      </c>
      <c r="L138" s="28" t="s">
        <v>31</v>
      </c>
    </row>
    <row r="139" spans="1:12" x14ac:dyDescent="0.3">
      <c r="A139" s="27" t="s">
        <v>102</v>
      </c>
      <c r="B139" s="14" t="s">
        <v>77</v>
      </c>
      <c r="C139" s="9">
        <v>19000</v>
      </c>
      <c r="D139" s="9"/>
      <c r="E139" s="9">
        <v>19000</v>
      </c>
      <c r="F139" s="14" t="s">
        <v>75</v>
      </c>
      <c r="G139" s="15">
        <v>46064</v>
      </c>
      <c r="H139" s="15">
        <v>46068</v>
      </c>
      <c r="I139" s="14">
        <v>4</v>
      </c>
      <c r="J139" s="16">
        <v>-478.64</v>
      </c>
      <c r="K139" s="15">
        <v>46001</v>
      </c>
      <c r="L139" s="28" t="s">
        <v>31</v>
      </c>
    </row>
    <row r="140" spans="1:12" x14ac:dyDescent="0.3">
      <c r="A140" s="27" t="s">
        <v>102</v>
      </c>
      <c r="B140" s="14" t="s">
        <v>77</v>
      </c>
      <c r="C140" s="9">
        <v>16942</v>
      </c>
      <c r="D140" s="9"/>
      <c r="E140" s="9">
        <v>16942</v>
      </c>
      <c r="F140" s="14" t="s">
        <v>75</v>
      </c>
      <c r="G140" s="15">
        <v>46064</v>
      </c>
      <c r="H140" s="15">
        <v>46068</v>
      </c>
      <c r="I140" s="14">
        <v>4</v>
      </c>
      <c r="J140" s="16">
        <v>7409.94</v>
      </c>
      <c r="K140" s="15">
        <v>45994</v>
      </c>
      <c r="L140" s="28" t="s">
        <v>31</v>
      </c>
    </row>
    <row r="141" spans="1:12" x14ac:dyDescent="0.3">
      <c r="A141" s="27" t="s">
        <v>102</v>
      </c>
      <c r="B141" s="14" t="s">
        <v>77</v>
      </c>
      <c r="C141" s="9">
        <v>2100</v>
      </c>
      <c r="D141" s="9">
        <v>2100</v>
      </c>
      <c r="E141" s="9"/>
      <c r="F141" s="14" t="s">
        <v>82</v>
      </c>
      <c r="G141" s="15">
        <v>46065</v>
      </c>
      <c r="H141" s="15">
        <v>46068</v>
      </c>
      <c r="I141" s="14">
        <v>3</v>
      </c>
      <c r="J141" s="16">
        <v>1485.04</v>
      </c>
      <c r="K141" s="15">
        <v>45841</v>
      </c>
      <c r="L141" s="28" t="s">
        <v>15</v>
      </c>
    </row>
    <row r="142" spans="1:12" x14ac:dyDescent="0.3">
      <c r="A142" s="27" t="s">
        <v>102</v>
      </c>
      <c r="B142" s="14" t="s">
        <v>77</v>
      </c>
      <c r="C142" s="9">
        <v>21826</v>
      </c>
      <c r="D142" s="9">
        <v>6734</v>
      </c>
      <c r="E142" s="9">
        <v>15092</v>
      </c>
      <c r="F142" s="14" t="s">
        <v>72</v>
      </c>
      <c r="G142" s="15">
        <v>46065</v>
      </c>
      <c r="H142" s="15">
        <v>46071</v>
      </c>
      <c r="I142" s="14">
        <v>6</v>
      </c>
      <c r="J142" s="16">
        <v>13232.58</v>
      </c>
      <c r="K142" s="15">
        <v>45983</v>
      </c>
      <c r="L142" s="28" t="s">
        <v>36</v>
      </c>
    </row>
    <row r="143" spans="1:12" x14ac:dyDescent="0.3">
      <c r="A143" s="27" t="s">
        <v>102</v>
      </c>
      <c r="B143" s="14" t="s">
        <v>77</v>
      </c>
      <c r="C143" s="9">
        <v>10703.25</v>
      </c>
      <c r="D143" s="9"/>
      <c r="E143" s="9">
        <v>10703.25</v>
      </c>
      <c r="F143" s="14" t="s">
        <v>75</v>
      </c>
      <c r="G143" s="15">
        <v>46065</v>
      </c>
      <c r="H143" s="15">
        <v>46068</v>
      </c>
      <c r="I143" s="14">
        <v>3</v>
      </c>
      <c r="J143" s="16">
        <v>6441.74</v>
      </c>
      <c r="K143" s="15">
        <v>45977</v>
      </c>
      <c r="L143" s="28" t="s">
        <v>31</v>
      </c>
    </row>
    <row r="144" spans="1:12" x14ac:dyDescent="0.3">
      <c r="A144" s="27" t="s">
        <v>102</v>
      </c>
      <c r="B144" s="14" t="s">
        <v>77</v>
      </c>
      <c r="C144" s="9">
        <v>33138.239999999998</v>
      </c>
      <c r="D144" s="9"/>
      <c r="E144" s="9">
        <v>33138.239999999998</v>
      </c>
      <c r="F144" s="14" t="s">
        <v>75</v>
      </c>
      <c r="G144" s="15">
        <v>46065</v>
      </c>
      <c r="H144" s="15">
        <v>46069</v>
      </c>
      <c r="I144" s="14">
        <v>4</v>
      </c>
      <c r="J144" s="16">
        <v>15203.16</v>
      </c>
      <c r="K144" s="15">
        <v>45928</v>
      </c>
      <c r="L144" s="28" t="s">
        <v>15</v>
      </c>
    </row>
    <row r="145" spans="1:12" x14ac:dyDescent="0.3">
      <c r="A145" s="27" t="s">
        <v>102</v>
      </c>
      <c r="B145" s="14" t="s">
        <v>77</v>
      </c>
      <c r="C145" s="9">
        <v>34161.300000000003</v>
      </c>
      <c r="D145" s="9">
        <v>2600</v>
      </c>
      <c r="E145" s="9">
        <v>31561.3</v>
      </c>
      <c r="F145" s="14" t="s">
        <v>80</v>
      </c>
      <c r="G145" s="15">
        <v>46065</v>
      </c>
      <c r="H145" s="15">
        <v>46075</v>
      </c>
      <c r="I145" s="14">
        <v>10</v>
      </c>
      <c r="J145" s="16">
        <v>22055.3</v>
      </c>
      <c r="K145" s="15">
        <v>45954</v>
      </c>
      <c r="L145" s="28" t="s">
        <v>32</v>
      </c>
    </row>
    <row r="146" spans="1:12" x14ac:dyDescent="0.3">
      <c r="A146" s="27" t="s">
        <v>102</v>
      </c>
      <c r="B146" s="14" t="s">
        <v>77</v>
      </c>
      <c r="C146" s="11">
        <v>16440.41</v>
      </c>
      <c r="D146" s="9"/>
      <c r="E146" s="11">
        <v>16440.41</v>
      </c>
      <c r="F146" s="14" t="s">
        <v>75</v>
      </c>
      <c r="G146" s="15">
        <v>46065</v>
      </c>
      <c r="H146" s="15">
        <v>46068</v>
      </c>
      <c r="I146" s="14">
        <v>3</v>
      </c>
      <c r="J146" s="16">
        <v>8492.3700000000008</v>
      </c>
      <c r="K146" s="15">
        <v>45987</v>
      </c>
      <c r="L146" s="28" t="s">
        <v>30</v>
      </c>
    </row>
    <row r="147" spans="1:12" x14ac:dyDescent="0.3">
      <c r="A147" s="27" t="s">
        <v>102</v>
      </c>
      <c r="B147" s="14" t="s">
        <v>77</v>
      </c>
      <c r="C147" s="9">
        <v>9821</v>
      </c>
      <c r="D147" s="9"/>
      <c r="E147" s="9">
        <v>9821</v>
      </c>
      <c r="F147" s="14" t="s">
        <v>75</v>
      </c>
      <c r="G147" s="15">
        <v>46065</v>
      </c>
      <c r="H147" s="15">
        <v>46067</v>
      </c>
      <c r="I147" s="14">
        <v>2</v>
      </c>
      <c r="J147" s="16">
        <v>4770.78</v>
      </c>
      <c r="K147" s="15">
        <v>45999</v>
      </c>
      <c r="L147" s="28" t="s">
        <v>31</v>
      </c>
    </row>
    <row r="148" spans="1:12" x14ac:dyDescent="0.3">
      <c r="A148" s="27" t="s">
        <v>102</v>
      </c>
      <c r="B148" s="14" t="s">
        <v>77</v>
      </c>
      <c r="C148" s="9">
        <v>13643.88</v>
      </c>
      <c r="D148" s="9"/>
      <c r="E148" s="9">
        <v>13643.88</v>
      </c>
      <c r="F148" s="14" t="s">
        <v>75</v>
      </c>
      <c r="G148" s="15">
        <v>46066</v>
      </c>
      <c r="H148" s="15">
        <v>46070</v>
      </c>
      <c r="I148" s="14">
        <v>4</v>
      </c>
      <c r="J148" s="16">
        <v>8102.48</v>
      </c>
      <c r="K148" s="15">
        <v>45980</v>
      </c>
      <c r="L148" s="28" t="s">
        <v>31</v>
      </c>
    </row>
    <row r="149" spans="1:12" x14ac:dyDescent="0.3">
      <c r="A149" s="27" t="s">
        <v>102</v>
      </c>
      <c r="B149" s="14" t="s">
        <v>77</v>
      </c>
      <c r="C149" s="9">
        <v>45117.84</v>
      </c>
      <c r="D149" s="9">
        <v>3796.78</v>
      </c>
      <c r="E149" s="9">
        <v>41321.06</v>
      </c>
      <c r="F149" s="14" t="s">
        <v>72</v>
      </c>
      <c r="G149" s="15">
        <v>46066</v>
      </c>
      <c r="H149" s="15">
        <v>46070</v>
      </c>
      <c r="I149" s="14">
        <v>4</v>
      </c>
      <c r="J149" s="16">
        <v>27557.88</v>
      </c>
      <c r="K149" s="15">
        <v>45992</v>
      </c>
      <c r="L149" s="28" t="s">
        <v>60</v>
      </c>
    </row>
    <row r="150" spans="1:12" x14ac:dyDescent="0.3">
      <c r="A150" s="27" t="s">
        <v>102</v>
      </c>
      <c r="B150" s="14" t="s">
        <v>77</v>
      </c>
      <c r="C150" s="9">
        <v>298</v>
      </c>
      <c r="D150" s="9">
        <v>298</v>
      </c>
      <c r="E150" s="9"/>
      <c r="F150" s="14" t="s">
        <v>82</v>
      </c>
      <c r="G150" s="15">
        <v>46066</v>
      </c>
      <c r="H150" s="15">
        <v>46068</v>
      </c>
      <c r="I150" s="14">
        <v>2</v>
      </c>
      <c r="J150" s="16">
        <v>0</v>
      </c>
      <c r="K150" s="15">
        <v>45925</v>
      </c>
      <c r="L150" s="28" t="s">
        <v>2</v>
      </c>
    </row>
    <row r="151" spans="1:12" x14ac:dyDescent="0.3">
      <c r="A151" s="27" t="s">
        <v>102</v>
      </c>
      <c r="B151" s="14" t="s">
        <v>77</v>
      </c>
      <c r="C151" s="9">
        <v>23692</v>
      </c>
      <c r="D151" s="9">
        <v>13472</v>
      </c>
      <c r="E151" s="9">
        <v>10220</v>
      </c>
      <c r="F151" s="14" t="s">
        <v>72</v>
      </c>
      <c r="G151" s="15">
        <v>46066</v>
      </c>
      <c r="H151" s="15">
        <v>46070</v>
      </c>
      <c r="I151" s="14">
        <v>4</v>
      </c>
      <c r="J151" s="16">
        <v>13022.52</v>
      </c>
      <c r="K151" s="15">
        <v>45883</v>
      </c>
      <c r="L151" s="28" t="s">
        <v>31</v>
      </c>
    </row>
    <row r="152" spans="1:12" x14ac:dyDescent="0.3">
      <c r="A152" s="27" t="s">
        <v>102</v>
      </c>
      <c r="B152" s="14" t="s">
        <v>77</v>
      </c>
      <c r="C152" s="9">
        <v>14890.08</v>
      </c>
      <c r="D152" s="9">
        <v>7904.75</v>
      </c>
      <c r="E152" s="9">
        <v>6985.33</v>
      </c>
      <c r="F152" s="14" t="s">
        <v>72</v>
      </c>
      <c r="G152" s="15">
        <v>46066</v>
      </c>
      <c r="H152" s="15">
        <v>46070</v>
      </c>
      <c r="I152" s="14">
        <v>4</v>
      </c>
      <c r="J152" s="16">
        <v>9888.64</v>
      </c>
      <c r="K152" s="15">
        <v>45968</v>
      </c>
      <c r="L152" s="28" t="s">
        <v>15</v>
      </c>
    </row>
    <row r="153" spans="1:12" x14ac:dyDescent="0.3">
      <c r="A153" s="27" t="s">
        <v>102</v>
      </c>
      <c r="B153" s="14" t="s">
        <v>77</v>
      </c>
      <c r="C153" s="9">
        <v>18528.88</v>
      </c>
      <c r="D153" s="9"/>
      <c r="E153" s="9">
        <v>18528.88</v>
      </c>
      <c r="F153" s="14" t="s">
        <v>75</v>
      </c>
      <c r="G153" s="15">
        <v>46066</v>
      </c>
      <c r="H153" s="15">
        <v>46070</v>
      </c>
      <c r="I153" s="14">
        <v>4</v>
      </c>
      <c r="J153" s="16">
        <v>9971.08</v>
      </c>
      <c r="K153" s="15">
        <v>45968</v>
      </c>
      <c r="L153" s="28" t="s">
        <v>15</v>
      </c>
    </row>
    <row r="154" spans="1:12" x14ac:dyDescent="0.3">
      <c r="A154" s="27" t="s">
        <v>102</v>
      </c>
      <c r="B154" s="14" t="s">
        <v>77</v>
      </c>
      <c r="C154" s="9">
        <v>27546</v>
      </c>
      <c r="D154" s="9">
        <v>6886.5</v>
      </c>
      <c r="E154" s="9">
        <v>20659.5</v>
      </c>
      <c r="F154" s="14" t="s">
        <v>72</v>
      </c>
      <c r="G154" s="15">
        <v>46066</v>
      </c>
      <c r="H154" s="15">
        <v>46073</v>
      </c>
      <c r="I154" s="14">
        <v>7</v>
      </c>
      <c r="J154" s="16">
        <v>12804.47</v>
      </c>
      <c r="K154" s="15">
        <v>45966</v>
      </c>
      <c r="L154" s="28" t="s">
        <v>2</v>
      </c>
    </row>
    <row r="155" spans="1:12" x14ac:dyDescent="0.3">
      <c r="A155" s="27" t="s">
        <v>102</v>
      </c>
      <c r="B155" s="14" t="s">
        <v>77</v>
      </c>
      <c r="C155" s="9">
        <v>21196</v>
      </c>
      <c r="D155" s="9"/>
      <c r="E155" s="9">
        <v>21196</v>
      </c>
      <c r="F155" s="14" t="s">
        <v>75</v>
      </c>
      <c r="G155" s="15">
        <v>46066</v>
      </c>
      <c r="H155" s="15">
        <v>46070</v>
      </c>
      <c r="I155" s="14">
        <v>4</v>
      </c>
      <c r="J155" s="16">
        <v>12416.48</v>
      </c>
      <c r="K155" s="15">
        <v>45888</v>
      </c>
      <c r="L155" s="28" t="s">
        <v>15</v>
      </c>
    </row>
    <row r="156" spans="1:12" x14ac:dyDescent="0.3">
      <c r="A156" s="27" t="s">
        <v>102</v>
      </c>
      <c r="B156" s="14" t="s">
        <v>77</v>
      </c>
      <c r="C156" s="9">
        <v>30550</v>
      </c>
      <c r="D156" s="9">
        <v>7637.5</v>
      </c>
      <c r="E156" s="9">
        <v>22912.5</v>
      </c>
      <c r="F156" s="14" t="s">
        <v>72</v>
      </c>
      <c r="G156" s="15">
        <v>46066</v>
      </c>
      <c r="H156" s="15">
        <v>46071</v>
      </c>
      <c r="I156" s="14">
        <v>5</v>
      </c>
      <c r="J156" s="16">
        <v>13202.07</v>
      </c>
      <c r="K156" s="15">
        <v>45972</v>
      </c>
      <c r="L156" s="28" t="s">
        <v>31</v>
      </c>
    </row>
    <row r="157" spans="1:12" x14ac:dyDescent="0.3">
      <c r="A157" s="27" t="s">
        <v>102</v>
      </c>
      <c r="B157" s="14" t="s">
        <v>77</v>
      </c>
      <c r="C157" s="9">
        <v>18204</v>
      </c>
      <c r="D157" s="9">
        <v>4551</v>
      </c>
      <c r="E157" s="9">
        <v>13653</v>
      </c>
      <c r="F157" s="14" t="s">
        <v>72</v>
      </c>
      <c r="G157" s="15">
        <v>46066</v>
      </c>
      <c r="H157" s="15">
        <v>46070</v>
      </c>
      <c r="I157" s="14">
        <v>4</v>
      </c>
      <c r="J157" s="16">
        <v>13504.28</v>
      </c>
      <c r="K157" s="15">
        <v>45958</v>
      </c>
      <c r="L157" s="28" t="s">
        <v>31</v>
      </c>
    </row>
    <row r="158" spans="1:12" x14ac:dyDescent="0.3">
      <c r="A158" s="27" t="s">
        <v>102</v>
      </c>
      <c r="B158" s="14" t="s">
        <v>77</v>
      </c>
      <c r="C158" s="9">
        <v>27850</v>
      </c>
      <c r="D158" s="9">
        <v>6962.5</v>
      </c>
      <c r="E158" s="9">
        <v>20887.5</v>
      </c>
      <c r="F158" s="14" t="s">
        <v>72</v>
      </c>
      <c r="G158" s="15">
        <v>46066</v>
      </c>
      <c r="H158" s="15">
        <v>46071</v>
      </c>
      <c r="I158" s="14">
        <v>5</v>
      </c>
      <c r="J158" s="16">
        <v>13495.87</v>
      </c>
      <c r="K158" s="15">
        <v>45972</v>
      </c>
      <c r="L158" s="28" t="s">
        <v>31</v>
      </c>
    </row>
    <row r="159" spans="1:12" x14ac:dyDescent="0.3">
      <c r="A159" s="27" t="s">
        <v>102</v>
      </c>
      <c r="B159" s="14" t="s">
        <v>77</v>
      </c>
      <c r="C159" s="9">
        <v>8162.08</v>
      </c>
      <c r="D159" s="9"/>
      <c r="E159" s="9">
        <v>8162.08</v>
      </c>
      <c r="F159" s="14" t="s">
        <v>75</v>
      </c>
      <c r="G159" s="15">
        <v>46066</v>
      </c>
      <c r="H159" s="15">
        <v>46068</v>
      </c>
      <c r="I159" s="14">
        <v>2</v>
      </c>
      <c r="J159" s="16">
        <v>5001.58</v>
      </c>
      <c r="K159" s="15">
        <v>45892</v>
      </c>
      <c r="L159" s="28" t="s">
        <v>15</v>
      </c>
    </row>
    <row r="160" spans="1:12" x14ac:dyDescent="0.3">
      <c r="A160" s="27" t="s">
        <v>102</v>
      </c>
      <c r="B160" s="14" t="s">
        <v>77</v>
      </c>
      <c r="C160" s="9">
        <v>65949.039999999994</v>
      </c>
      <c r="D160" s="9">
        <v>16475.259999999998</v>
      </c>
      <c r="E160" s="9">
        <v>49473.78</v>
      </c>
      <c r="F160" s="14" t="s">
        <v>72</v>
      </c>
      <c r="G160" s="15">
        <v>46066</v>
      </c>
      <c r="H160" s="15">
        <v>46074</v>
      </c>
      <c r="I160" s="14">
        <v>8</v>
      </c>
      <c r="J160" s="16">
        <v>43665.36</v>
      </c>
      <c r="K160" s="15">
        <v>45984</v>
      </c>
      <c r="L160" s="28" t="s">
        <v>5</v>
      </c>
    </row>
    <row r="161" spans="1:12" x14ac:dyDescent="0.3">
      <c r="A161" s="27" t="s">
        <v>102</v>
      </c>
      <c r="B161" s="14" t="s">
        <v>77</v>
      </c>
      <c r="C161" s="9">
        <v>10326.94</v>
      </c>
      <c r="D161" s="9">
        <v>1931.73</v>
      </c>
      <c r="E161" s="9">
        <v>8395.2099999999991</v>
      </c>
      <c r="F161" s="14" t="s">
        <v>72</v>
      </c>
      <c r="G161" s="15">
        <v>46066</v>
      </c>
      <c r="H161" s="15">
        <v>46068</v>
      </c>
      <c r="I161" s="14">
        <v>2</v>
      </c>
      <c r="J161" s="16">
        <v>5661.58</v>
      </c>
      <c r="K161" s="15">
        <v>45958</v>
      </c>
      <c r="L161" s="28" t="s">
        <v>15</v>
      </c>
    </row>
    <row r="162" spans="1:12" x14ac:dyDescent="0.3">
      <c r="A162" s="27" t="s">
        <v>102</v>
      </c>
      <c r="B162" s="14" t="s">
        <v>77</v>
      </c>
      <c r="C162" s="9"/>
      <c r="D162" s="9"/>
      <c r="E162" s="9"/>
      <c r="F162" s="14"/>
      <c r="G162" s="10">
        <v>46067</v>
      </c>
      <c r="H162" s="10">
        <v>46069</v>
      </c>
      <c r="I162" s="8">
        <v>2</v>
      </c>
      <c r="J162" s="16"/>
      <c r="K162" s="15"/>
      <c r="L162" s="28"/>
    </row>
    <row r="163" spans="1:12" x14ac:dyDescent="0.3">
      <c r="A163" s="27" t="s">
        <v>102</v>
      </c>
      <c r="B163" s="14" t="s">
        <v>77</v>
      </c>
      <c r="C163" s="9">
        <v>87731</v>
      </c>
      <c r="D163" s="9">
        <v>21932.75</v>
      </c>
      <c r="E163" s="9">
        <v>65798.25</v>
      </c>
      <c r="F163" s="14" t="s">
        <v>72</v>
      </c>
      <c r="G163" s="15">
        <v>46067</v>
      </c>
      <c r="H163" s="15">
        <v>46074</v>
      </c>
      <c r="I163" s="14">
        <v>7</v>
      </c>
      <c r="J163" s="16">
        <v>36250.97</v>
      </c>
      <c r="K163" s="15">
        <v>45950</v>
      </c>
      <c r="L163" s="28" t="s">
        <v>2</v>
      </c>
    </row>
    <row r="164" spans="1:12" x14ac:dyDescent="0.3">
      <c r="A164" s="27" t="s">
        <v>102</v>
      </c>
      <c r="B164" s="14" t="s">
        <v>77</v>
      </c>
      <c r="C164" s="9">
        <v>138817.97</v>
      </c>
      <c r="D164" s="9">
        <v>34704.49</v>
      </c>
      <c r="E164" s="9">
        <v>104113.48</v>
      </c>
      <c r="F164" s="14" t="s">
        <v>72</v>
      </c>
      <c r="G164" s="15">
        <v>46067</v>
      </c>
      <c r="H164" s="15">
        <v>46074</v>
      </c>
      <c r="I164" s="14">
        <v>7</v>
      </c>
      <c r="J164" s="16">
        <v>73612.63</v>
      </c>
      <c r="K164" s="15">
        <v>45963</v>
      </c>
      <c r="L164" s="28" t="s">
        <v>61</v>
      </c>
    </row>
    <row r="165" spans="1:12" x14ac:dyDescent="0.3">
      <c r="A165" s="27" t="s">
        <v>102</v>
      </c>
      <c r="B165" s="14" t="s">
        <v>77</v>
      </c>
      <c r="C165" s="9">
        <v>9552</v>
      </c>
      <c r="D165" s="9"/>
      <c r="E165" s="9">
        <v>9552</v>
      </c>
      <c r="F165" s="14" t="s">
        <v>75</v>
      </c>
      <c r="G165" s="15">
        <v>46067</v>
      </c>
      <c r="H165" s="15">
        <v>46069</v>
      </c>
      <c r="I165" s="14">
        <v>2</v>
      </c>
      <c r="J165" s="16">
        <v>12538.16</v>
      </c>
      <c r="K165" s="15">
        <v>46001</v>
      </c>
      <c r="L165" s="28" t="s">
        <v>31</v>
      </c>
    </row>
    <row r="166" spans="1:12" x14ac:dyDescent="0.3">
      <c r="A166" s="27" t="s">
        <v>102</v>
      </c>
      <c r="B166" s="14" t="s">
        <v>77</v>
      </c>
      <c r="C166" s="9">
        <v>15196</v>
      </c>
      <c r="D166" s="9">
        <v>3799</v>
      </c>
      <c r="E166" s="9">
        <v>11397</v>
      </c>
      <c r="F166" s="14" t="s">
        <v>72</v>
      </c>
      <c r="G166" s="15">
        <v>46067</v>
      </c>
      <c r="H166" s="15">
        <v>46071</v>
      </c>
      <c r="I166" s="14">
        <v>4</v>
      </c>
      <c r="J166" s="16">
        <v>11328.68</v>
      </c>
      <c r="K166" s="15">
        <v>45958</v>
      </c>
      <c r="L166" s="28" t="s">
        <v>31</v>
      </c>
    </row>
    <row r="167" spans="1:12" x14ac:dyDescent="0.3">
      <c r="A167" s="27" t="s">
        <v>102</v>
      </c>
      <c r="B167" s="14" t="s">
        <v>77</v>
      </c>
      <c r="C167" s="9">
        <v>0</v>
      </c>
      <c r="D167" s="9"/>
      <c r="E167" s="9">
        <v>0</v>
      </c>
      <c r="F167" s="14" t="s">
        <v>73</v>
      </c>
      <c r="G167" s="15">
        <v>46067</v>
      </c>
      <c r="H167" s="15">
        <v>46072</v>
      </c>
      <c r="I167" s="14">
        <v>5</v>
      </c>
      <c r="J167" s="16">
        <v>0</v>
      </c>
      <c r="K167" s="15">
        <v>45986</v>
      </c>
      <c r="L167" s="28" t="s">
        <v>9</v>
      </c>
    </row>
    <row r="168" spans="1:12" x14ac:dyDescent="0.3">
      <c r="A168" s="27" t="s">
        <v>102</v>
      </c>
      <c r="B168" s="14" t="s">
        <v>77</v>
      </c>
      <c r="C168" s="9">
        <v>9821</v>
      </c>
      <c r="D168" s="9"/>
      <c r="E168" s="9">
        <v>9821</v>
      </c>
      <c r="F168" s="14" t="s">
        <v>75</v>
      </c>
      <c r="G168" s="15">
        <v>46067</v>
      </c>
      <c r="H168" s="15">
        <v>46069</v>
      </c>
      <c r="I168" s="14">
        <v>2</v>
      </c>
      <c r="J168" s="16">
        <v>5236.9799999999996</v>
      </c>
      <c r="K168" s="15">
        <v>46000</v>
      </c>
      <c r="L168" s="28" t="s">
        <v>31</v>
      </c>
    </row>
    <row r="169" spans="1:12" x14ac:dyDescent="0.3">
      <c r="A169" s="27" t="s">
        <v>102</v>
      </c>
      <c r="B169" s="14" t="s">
        <v>77</v>
      </c>
      <c r="C169" s="9">
        <v>74156</v>
      </c>
      <c r="D169" s="9"/>
      <c r="E169" s="9">
        <v>74156</v>
      </c>
      <c r="F169" s="14" t="s">
        <v>75</v>
      </c>
      <c r="G169" s="15">
        <v>46067</v>
      </c>
      <c r="H169" s="15">
        <v>46076</v>
      </c>
      <c r="I169" s="14">
        <v>9</v>
      </c>
      <c r="J169" s="16">
        <v>0</v>
      </c>
      <c r="K169" s="15">
        <v>45939</v>
      </c>
      <c r="L169" s="28" t="s">
        <v>16</v>
      </c>
    </row>
    <row r="170" spans="1:12" x14ac:dyDescent="0.3">
      <c r="A170" s="27" t="s">
        <v>102</v>
      </c>
      <c r="B170" s="14" t="s">
        <v>77</v>
      </c>
      <c r="C170" s="18">
        <v>30871.25</v>
      </c>
      <c r="D170" s="11"/>
      <c r="E170" s="18">
        <v>30871.25</v>
      </c>
      <c r="F170" s="14" t="s">
        <v>75</v>
      </c>
      <c r="G170" s="15">
        <v>46067</v>
      </c>
      <c r="H170" s="15">
        <v>46070</v>
      </c>
      <c r="I170" s="14">
        <v>3</v>
      </c>
      <c r="J170" s="16">
        <v>18270.18</v>
      </c>
      <c r="K170" s="15">
        <v>45986</v>
      </c>
      <c r="L170" s="28" t="s">
        <v>33</v>
      </c>
    </row>
    <row r="171" spans="1:12" x14ac:dyDescent="0.3">
      <c r="A171" s="27" t="s">
        <v>102</v>
      </c>
      <c r="B171" s="14" t="s">
        <v>77</v>
      </c>
      <c r="C171" s="9">
        <v>97560</v>
      </c>
      <c r="D171" s="9">
        <v>92175.2</v>
      </c>
      <c r="E171" s="9">
        <v>5384.8</v>
      </c>
      <c r="F171" s="14" t="s">
        <v>72</v>
      </c>
      <c r="G171" s="15">
        <v>46067</v>
      </c>
      <c r="H171" s="15">
        <v>46074</v>
      </c>
      <c r="I171" s="14">
        <v>7</v>
      </c>
      <c r="J171" s="16">
        <v>68958.33</v>
      </c>
      <c r="K171" s="15">
        <v>45750</v>
      </c>
      <c r="L171" s="28" t="s">
        <v>15</v>
      </c>
    </row>
    <row r="172" spans="1:12" x14ac:dyDescent="0.3">
      <c r="A172" s="27" t="s">
        <v>102</v>
      </c>
      <c r="B172" s="14" t="s">
        <v>77</v>
      </c>
      <c r="C172" s="9">
        <v>10824.5</v>
      </c>
      <c r="D172" s="9">
        <v>3391.5</v>
      </c>
      <c r="E172" s="9">
        <v>7433</v>
      </c>
      <c r="F172" s="14" t="s">
        <v>72</v>
      </c>
      <c r="G172" s="15">
        <v>46067</v>
      </c>
      <c r="H172" s="15">
        <v>46070</v>
      </c>
      <c r="I172" s="14">
        <v>3</v>
      </c>
      <c r="J172" s="16">
        <v>6031.47</v>
      </c>
      <c r="K172" s="15">
        <v>45967</v>
      </c>
      <c r="L172" s="28" t="s">
        <v>31</v>
      </c>
    </row>
    <row r="173" spans="1:12" x14ac:dyDescent="0.3">
      <c r="A173" s="27" t="s">
        <v>102</v>
      </c>
      <c r="B173" s="14" t="s">
        <v>77</v>
      </c>
      <c r="C173" s="9">
        <v>12542</v>
      </c>
      <c r="D173" s="9">
        <v>3135.5</v>
      </c>
      <c r="E173" s="9">
        <v>9406.5</v>
      </c>
      <c r="F173" s="14" t="s">
        <v>72</v>
      </c>
      <c r="G173" s="15">
        <v>46067</v>
      </c>
      <c r="H173" s="15">
        <v>46071</v>
      </c>
      <c r="I173" s="14">
        <v>4</v>
      </c>
      <c r="J173" s="16">
        <v>7544.68</v>
      </c>
      <c r="K173" s="15">
        <v>45959</v>
      </c>
      <c r="L173" s="28" t="s">
        <v>31</v>
      </c>
    </row>
    <row r="174" spans="1:12" x14ac:dyDescent="0.3">
      <c r="A174" s="27" t="s">
        <v>102</v>
      </c>
      <c r="B174" s="14" t="s">
        <v>77</v>
      </c>
      <c r="C174" s="9">
        <v>93448.35</v>
      </c>
      <c r="D174" s="9">
        <v>93448.35</v>
      </c>
      <c r="E174" s="9"/>
      <c r="F174" s="14" t="s">
        <v>70</v>
      </c>
      <c r="G174" s="15">
        <v>46068</v>
      </c>
      <c r="H174" s="15">
        <v>46075</v>
      </c>
      <c r="I174" s="14">
        <v>7</v>
      </c>
      <c r="J174" s="16">
        <v>64781.22</v>
      </c>
      <c r="K174" s="15">
        <v>45796</v>
      </c>
      <c r="L174" s="28" t="s">
        <v>2</v>
      </c>
    </row>
    <row r="175" spans="1:12" x14ac:dyDescent="0.3">
      <c r="A175" s="27" t="s">
        <v>102</v>
      </c>
      <c r="B175" s="14" t="s">
        <v>77</v>
      </c>
      <c r="C175" s="9">
        <v>17711.400000000001</v>
      </c>
      <c r="D175" s="9">
        <v>17711.400000000001</v>
      </c>
      <c r="E175" s="9"/>
      <c r="F175" s="14" t="s">
        <v>70</v>
      </c>
      <c r="G175" s="15">
        <v>46068</v>
      </c>
      <c r="H175" s="15">
        <v>46072</v>
      </c>
      <c r="I175" s="14">
        <v>4</v>
      </c>
      <c r="J175" s="16">
        <v>10744.36</v>
      </c>
      <c r="K175" s="15">
        <v>45971</v>
      </c>
      <c r="L175" s="28" t="s">
        <v>15</v>
      </c>
    </row>
    <row r="176" spans="1:12" x14ac:dyDescent="0.3">
      <c r="A176" s="27" t="s">
        <v>102</v>
      </c>
      <c r="B176" s="14" t="s">
        <v>77</v>
      </c>
      <c r="C176" s="9">
        <v>24540</v>
      </c>
      <c r="D176" s="9">
        <v>5070</v>
      </c>
      <c r="E176" s="9">
        <v>19470</v>
      </c>
      <c r="F176" s="14" t="s">
        <v>72</v>
      </c>
      <c r="G176" s="15">
        <v>46068</v>
      </c>
      <c r="H176" s="15">
        <v>46073</v>
      </c>
      <c r="I176" s="14">
        <v>5</v>
      </c>
      <c r="J176" s="16">
        <v>11829.85</v>
      </c>
      <c r="K176" s="15">
        <v>45960</v>
      </c>
      <c r="L176" s="28" t="s">
        <v>44</v>
      </c>
    </row>
    <row r="177" spans="1:12" x14ac:dyDescent="0.3">
      <c r="A177" s="27" t="s">
        <v>102</v>
      </c>
      <c r="B177" s="14" t="s">
        <v>77</v>
      </c>
      <c r="C177" s="9">
        <v>15470</v>
      </c>
      <c r="D177" s="9">
        <v>7735</v>
      </c>
      <c r="E177" s="9">
        <v>7735</v>
      </c>
      <c r="F177" s="14" t="s">
        <v>72</v>
      </c>
      <c r="G177" s="15">
        <v>46068</v>
      </c>
      <c r="H177" s="15">
        <v>46073</v>
      </c>
      <c r="I177" s="14">
        <v>5</v>
      </c>
      <c r="J177" s="16">
        <v>9401.7000000000007</v>
      </c>
      <c r="K177" s="15">
        <v>45954</v>
      </c>
      <c r="L177" s="28" t="s">
        <v>31</v>
      </c>
    </row>
    <row r="178" spans="1:12" x14ac:dyDescent="0.3">
      <c r="A178" s="27" t="s">
        <v>102</v>
      </c>
      <c r="B178" s="14" t="s">
        <v>77</v>
      </c>
      <c r="C178" s="19">
        <v>20096.64</v>
      </c>
      <c r="D178" s="9">
        <v>9884</v>
      </c>
      <c r="E178" s="19">
        <v>10212.64</v>
      </c>
      <c r="F178" s="14" t="s">
        <v>72</v>
      </c>
      <c r="G178" s="15">
        <v>46068</v>
      </c>
      <c r="H178" s="15">
        <v>46070</v>
      </c>
      <c r="I178" s="14">
        <v>2</v>
      </c>
      <c r="J178" s="16">
        <v>12882.06</v>
      </c>
      <c r="K178" s="15">
        <v>45954</v>
      </c>
      <c r="L178" s="28" t="s">
        <v>13</v>
      </c>
    </row>
    <row r="179" spans="1:12" x14ac:dyDescent="0.3">
      <c r="A179" s="27" t="s">
        <v>102</v>
      </c>
      <c r="B179" s="14" t="s">
        <v>77</v>
      </c>
      <c r="C179" s="9">
        <v>25539.24</v>
      </c>
      <c r="D179" s="9">
        <v>6384.81</v>
      </c>
      <c r="E179" s="9">
        <v>19154.43</v>
      </c>
      <c r="F179" s="14" t="s">
        <v>72</v>
      </c>
      <c r="G179" s="15">
        <v>46068</v>
      </c>
      <c r="H179" s="15">
        <v>46073</v>
      </c>
      <c r="I179" s="14">
        <v>5</v>
      </c>
      <c r="J179" s="16">
        <v>13621.2</v>
      </c>
      <c r="K179" s="15">
        <v>45961</v>
      </c>
      <c r="L179" s="28" t="s">
        <v>15</v>
      </c>
    </row>
    <row r="180" spans="1:12" x14ac:dyDescent="0.3">
      <c r="A180" s="27" t="s">
        <v>102</v>
      </c>
      <c r="B180" s="14" t="s">
        <v>77</v>
      </c>
      <c r="C180" s="9">
        <v>16576</v>
      </c>
      <c r="D180" s="9">
        <v>4144</v>
      </c>
      <c r="E180" s="9">
        <v>12432</v>
      </c>
      <c r="F180" s="14" t="s">
        <v>72</v>
      </c>
      <c r="G180" s="15">
        <v>46068</v>
      </c>
      <c r="H180" s="15">
        <v>46072</v>
      </c>
      <c r="I180" s="14">
        <v>4</v>
      </c>
      <c r="J180" s="16">
        <v>8440.18</v>
      </c>
      <c r="K180" s="15">
        <v>45965</v>
      </c>
      <c r="L180" s="28" t="s">
        <v>30</v>
      </c>
    </row>
    <row r="181" spans="1:12" x14ac:dyDescent="0.3">
      <c r="A181" s="27" t="s">
        <v>102</v>
      </c>
      <c r="B181" s="14" t="s">
        <v>77</v>
      </c>
      <c r="C181" s="9">
        <v>12204</v>
      </c>
      <c r="D181" s="9"/>
      <c r="E181" s="9">
        <v>12204</v>
      </c>
      <c r="F181" s="14" t="s">
        <v>75</v>
      </c>
      <c r="G181" s="15">
        <v>46068</v>
      </c>
      <c r="H181" s="15">
        <v>46071</v>
      </c>
      <c r="I181" s="14">
        <v>3</v>
      </c>
      <c r="J181" s="16">
        <v>0</v>
      </c>
      <c r="K181" s="15">
        <v>45998</v>
      </c>
      <c r="L181" s="28" t="s">
        <v>31</v>
      </c>
    </row>
    <row r="182" spans="1:12" x14ac:dyDescent="0.3">
      <c r="A182" s="27" t="s">
        <v>102</v>
      </c>
      <c r="B182" s="14" t="s">
        <v>77</v>
      </c>
      <c r="C182" s="9">
        <v>15470</v>
      </c>
      <c r="D182" s="9"/>
      <c r="E182" s="9">
        <v>15470</v>
      </c>
      <c r="F182" s="14" t="s">
        <v>75</v>
      </c>
      <c r="G182" s="15">
        <v>46068</v>
      </c>
      <c r="H182" s="15">
        <v>46073</v>
      </c>
      <c r="I182" s="14">
        <v>5</v>
      </c>
      <c r="J182" s="16">
        <v>9401.7000000000007</v>
      </c>
      <c r="K182" s="15">
        <v>45954</v>
      </c>
      <c r="L182" s="28" t="s">
        <v>31</v>
      </c>
    </row>
    <row r="183" spans="1:12" x14ac:dyDescent="0.3">
      <c r="A183" s="27" t="s">
        <v>102</v>
      </c>
      <c r="B183" s="14" t="s">
        <v>77</v>
      </c>
      <c r="C183" s="9">
        <v>49923.360000000001</v>
      </c>
      <c r="D183" s="9">
        <v>49923.360000000001</v>
      </c>
      <c r="E183" s="9"/>
      <c r="F183" s="14" t="s">
        <v>70</v>
      </c>
      <c r="G183" s="15">
        <v>46068</v>
      </c>
      <c r="H183" s="15">
        <v>46075</v>
      </c>
      <c r="I183" s="14">
        <v>7</v>
      </c>
      <c r="J183" s="16">
        <v>31072.44</v>
      </c>
      <c r="K183" s="15">
        <v>45950</v>
      </c>
      <c r="L183" s="28" t="s">
        <v>2</v>
      </c>
    </row>
    <row r="184" spans="1:12" x14ac:dyDescent="0.3">
      <c r="A184" s="27" t="s">
        <v>102</v>
      </c>
      <c r="B184" s="14" t="s">
        <v>77</v>
      </c>
      <c r="C184" s="9">
        <v>86051.04</v>
      </c>
      <c r="D184" s="9">
        <v>86051.04</v>
      </c>
      <c r="E184" s="9"/>
      <c r="F184" s="14" t="s">
        <v>70</v>
      </c>
      <c r="G184" s="15">
        <v>46068</v>
      </c>
      <c r="H184" s="15">
        <v>46074</v>
      </c>
      <c r="I184" s="14">
        <v>6</v>
      </c>
      <c r="J184" s="16">
        <v>57600</v>
      </c>
      <c r="K184" s="15">
        <v>45992</v>
      </c>
      <c r="L184" s="28" t="s">
        <v>2</v>
      </c>
    </row>
    <row r="185" spans="1:12" x14ac:dyDescent="0.3">
      <c r="A185" s="27" t="s">
        <v>102</v>
      </c>
      <c r="B185" s="14" t="s">
        <v>77</v>
      </c>
      <c r="C185" s="9">
        <v>36392.370000000003</v>
      </c>
      <c r="D185" s="9">
        <v>35098.089999999997</v>
      </c>
      <c r="E185" s="9">
        <v>1294.28</v>
      </c>
      <c r="F185" s="14" t="s">
        <v>72</v>
      </c>
      <c r="G185" s="15">
        <v>46068</v>
      </c>
      <c r="H185" s="15">
        <v>46074</v>
      </c>
      <c r="I185" s="14">
        <v>6</v>
      </c>
      <c r="J185" s="16">
        <v>24348.54</v>
      </c>
      <c r="K185" s="15">
        <v>45756</v>
      </c>
      <c r="L185" s="28" t="s">
        <v>5</v>
      </c>
    </row>
    <row r="186" spans="1:12" x14ac:dyDescent="0.3">
      <c r="A186" s="27" t="s">
        <v>102</v>
      </c>
      <c r="B186" s="14" t="s">
        <v>77</v>
      </c>
      <c r="C186" s="9">
        <v>16124</v>
      </c>
      <c r="D186" s="9">
        <v>4031</v>
      </c>
      <c r="E186" s="9">
        <v>12093</v>
      </c>
      <c r="F186" s="14" t="s">
        <v>72</v>
      </c>
      <c r="G186" s="15">
        <v>46068</v>
      </c>
      <c r="H186" s="15">
        <v>46072</v>
      </c>
      <c r="I186" s="14">
        <v>4</v>
      </c>
      <c r="J186" s="16">
        <v>8890.41</v>
      </c>
      <c r="K186" s="15">
        <v>45965</v>
      </c>
      <c r="L186" s="28" t="s">
        <v>30</v>
      </c>
    </row>
    <row r="187" spans="1:12" x14ac:dyDescent="0.3">
      <c r="A187" s="27" t="s">
        <v>102</v>
      </c>
      <c r="B187" s="14" t="s">
        <v>77</v>
      </c>
      <c r="C187" s="9">
        <v>15136</v>
      </c>
      <c r="D187" s="9">
        <v>3799</v>
      </c>
      <c r="E187" s="9">
        <v>11337</v>
      </c>
      <c r="F187" s="14" t="s">
        <v>72</v>
      </c>
      <c r="G187" s="15">
        <v>46068</v>
      </c>
      <c r="H187" s="15">
        <v>46072</v>
      </c>
      <c r="I187" s="14">
        <v>4</v>
      </c>
      <c r="J187" s="16">
        <v>11328.68</v>
      </c>
      <c r="K187" s="15">
        <v>45958</v>
      </c>
      <c r="L187" s="28" t="s">
        <v>31</v>
      </c>
    </row>
    <row r="188" spans="1:12" x14ac:dyDescent="0.3">
      <c r="A188" s="27" t="s">
        <v>102</v>
      </c>
      <c r="B188" s="14" t="s">
        <v>77</v>
      </c>
      <c r="C188" s="9">
        <v>15656</v>
      </c>
      <c r="D188" s="9">
        <v>3944</v>
      </c>
      <c r="E188" s="9">
        <v>11712</v>
      </c>
      <c r="F188" s="14" t="s">
        <v>72</v>
      </c>
      <c r="G188" s="15">
        <v>46068</v>
      </c>
      <c r="H188" s="15">
        <v>46072</v>
      </c>
      <c r="I188" s="14">
        <v>4</v>
      </c>
      <c r="J188" s="16">
        <v>9665.8799999999992</v>
      </c>
      <c r="K188" s="15">
        <v>45961</v>
      </c>
      <c r="L188" s="28" t="s">
        <v>44</v>
      </c>
    </row>
    <row r="189" spans="1:12" x14ac:dyDescent="0.3">
      <c r="A189" s="27" t="s">
        <v>102</v>
      </c>
      <c r="B189" s="14" t="s">
        <v>77</v>
      </c>
      <c r="C189" s="11">
        <v>16529</v>
      </c>
      <c r="D189" s="11">
        <v>4132.25</v>
      </c>
      <c r="E189" s="11">
        <v>12396.75</v>
      </c>
      <c r="F189" s="14" t="s">
        <v>72</v>
      </c>
      <c r="G189" s="15">
        <v>46068</v>
      </c>
      <c r="H189" s="15">
        <v>46072</v>
      </c>
      <c r="I189" s="14">
        <v>4</v>
      </c>
      <c r="J189" s="16">
        <v>8417.27</v>
      </c>
      <c r="K189" s="15">
        <v>45982</v>
      </c>
      <c r="L189" s="28" t="s">
        <v>31</v>
      </c>
    </row>
    <row r="190" spans="1:12" x14ac:dyDescent="0.3">
      <c r="A190" s="27" t="s">
        <v>102</v>
      </c>
      <c r="B190" s="14" t="s">
        <v>77</v>
      </c>
      <c r="C190" s="11">
        <v>19302</v>
      </c>
      <c r="D190" s="11">
        <v>4825.5</v>
      </c>
      <c r="E190" s="11">
        <v>14476.5</v>
      </c>
      <c r="F190" s="14" t="s">
        <v>72</v>
      </c>
      <c r="G190" s="15">
        <v>46068</v>
      </c>
      <c r="H190" s="15">
        <v>46072</v>
      </c>
      <c r="I190" s="14">
        <v>4</v>
      </c>
      <c r="J190" s="16">
        <v>9210.93</v>
      </c>
      <c r="K190" s="15">
        <v>45986</v>
      </c>
      <c r="L190" s="28" t="s">
        <v>31</v>
      </c>
    </row>
    <row r="191" spans="1:12" x14ac:dyDescent="0.3">
      <c r="A191" s="27" t="s">
        <v>102</v>
      </c>
      <c r="B191" s="14" t="s">
        <v>77</v>
      </c>
      <c r="C191" s="9">
        <v>17004</v>
      </c>
      <c r="D191" s="9">
        <v>4251</v>
      </c>
      <c r="E191" s="9">
        <v>12753</v>
      </c>
      <c r="F191" s="14" t="s">
        <v>72</v>
      </c>
      <c r="G191" s="15">
        <v>46068</v>
      </c>
      <c r="H191" s="15">
        <v>46072</v>
      </c>
      <c r="I191" s="14">
        <v>4</v>
      </c>
      <c r="J191" s="16">
        <v>9463.8799999999992</v>
      </c>
      <c r="K191" s="15">
        <v>45961</v>
      </c>
      <c r="L191" s="28" t="s">
        <v>44</v>
      </c>
    </row>
    <row r="192" spans="1:12" x14ac:dyDescent="0.3">
      <c r="A192" s="27" t="s">
        <v>102</v>
      </c>
      <c r="B192" s="14" t="s">
        <v>77</v>
      </c>
      <c r="C192" s="9"/>
      <c r="D192" s="9"/>
      <c r="E192" s="9"/>
      <c r="F192" s="14" t="s">
        <v>73</v>
      </c>
      <c r="G192" s="15">
        <v>46069</v>
      </c>
      <c r="H192" s="15">
        <v>46071</v>
      </c>
      <c r="I192" s="14">
        <v>2</v>
      </c>
      <c r="J192" s="16">
        <v>0</v>
      </c>
      <c r="K192" s="15">
        <v>46001</v>
      </c>
      <c r="L192" s="28" t="s">
        <v>43</v>
      </c>
    </row>
    <row r="193" spans="1:12" x14ac:dyDescent="0.3">
      <c r="A193" s="27" t="s">
        <v>102</v>
      </c>
      <c r="B193" s="14" t="s">
        <v>77</v>
      </c>
      <c r="C193" s="9">
        <v>35527.480000000003</v>
      </c>
      <c r="D193" s="9">
        <v>20302.400000000001</v>
      </c>
      <c r="E193" s="9">
        <v>15225.08</v>
      </c>
      <c r="F193" s="14" t="s">
        <v>72</v>
      </c>
      <c r="G193" s="15">
        <v>46069</v>
      </c>
      <c r="H193" s="15">
        <v>46073</v>
      </c>
      <c r="I193" s="14">
        <v>4</v>
      </c>
      <c r="J193" s="16">
        <v>11150.4</v>
      </c>
      <c r="K193" s="15">
        <v>45979</v>
      </c>
      <c r="L193" s="28" t="s">
        <v>44</v>
      </c>
    </row>
    <row r="194" spans="1:12" x14ac:dyDescent="0.3">
      <c r="A194" s="27" t="s">
        <v>102</v>
      </c>
      <c r="B194" s="14" t="s">
        <v>77</v>
      </c>
      <c r="C194" s="9">
        <v>14328</v>
      </c>
      <c r="D194" s="9"/>
      <c r="E194" s="9">
        <v>14328</v>
      </c>
      <c r="F194" s="14" t="s">
        <v>75</v>
      </c>
      <c r="G194" s="15">
        <v>46069</v>
      </c>
      <c r="H194" s="15">
        <v>46072</v>
      </c>
      <c r="I194" s="14">
        <v>3</v>
      </c>
      <c r="J194" s="16">
        <v>9741.2999999999993</v>
      </c>
      <c r="K194" s="15">
        <v>46001</v>
      </c>
      <c r="L194" s="28" t="s">
        <v>31</v>
      </c>
    </row>
    <row r="195" spans="1:12" x14ac:dyDescent="0.3">
      <c r="A195" s="27" t="s">
        <v>102</v>
      </c>
      <c r="B195" s="14" t="s">
        <v>77</v>
      </c>
      <c r="C195" s="9">
        <v>15227.48</v>
      </c>
      <c r="D195" s="9"/>
      <c r="E195" s="9">
        <v>15227.48</v>
      </c>
      <c r="F195" s="14" t="s">
        <v>75</v>
      </c>
      <c r="G195" s="15">
        <v>46069</v>
      </c>
      <c r="H195" s="15">
        <v>46073</v>
      </c>
      <c r="I195" s="14">
        <v>4</v>
      </c>
      <c r="J195" s="16">
        <v>10832.92</v>
      </c>
      <c r="K195" s="15">
        <v>45979</v>
      </c>
      <c r="L195" s="28" t="s">
        <v>44</v>
      </c>
    </row>
    <row r="196" spans="1:12" x14ac:dyDescent="0.3">
      <c r="A196" s="27" t="s">
        <v>102</v>
      </c>
      <c r="B196" s="14" t="s">
        <v>77</v>
      </c>
      <c r="C196" s="9">
        <v>15227.48</v>
      </c>
      <c r="D196" s="9"/>
      <c r="E196" s="9">
        <v>15227.48</v>
      </c>
      <c r="F196" s="14" t="s">
        <v>75</v>
      </c>
      <c r="G196" s="15">
        <v>46069</v>
      </c>
      <c r="H196" s="15">
        <v>46073</v>
      </c>
      <c r="I196" s="14">
        <v>4</v>
      </c>
      <c r="J196" s="16">
        <v>11385.44</v>
      </c>
      <c r="K196" s="15">
        <v>45979</v>
      </c>
      <c r="L196" s="28" t="s">
        <v>44</v>
      </c>
    </row>
    <row r="197" spans="1:12" x14ac:dyDescent="0.3">
      <c r="A197" s="27" t="s">
        <v>102</v>
      </c>
      <c r="B197" s="14" t="s">
        <v>77</v>
      </c>
      <c r="C197" s="9">
        <v>57021.75</v>
      </c>
      <c r="D197" s="9"/>
      <c r="E197" s="9">
        <v>57021.75</v>
      </c>
      <c r="F197" s="14" t="s">
        <v>75</v>
      </c>
      <c r="G197" s="15">
        <v>46069</v>
      </c>
      <c r="H197" s="15">
        <v>46074</v>
      </c>
      <c r="I197" s="14">
        <v>5</v>
      </c>
      <c r="J197" s="16">
        <v>31403.95</v>
      </c>
      <c r="K197" s="15">
        <v>45874</v>
      </c>
      <c r="L197" s="28" t="s">
        <v>14</v>
      </c>
    </row>
    <row r="198" spans="1:12" x14ac:dyDescent="0.3">
      <c r="A198" s="27" t="s">
        <v>102</v>
      </c>
      <c r="B198" s="14" t="s">
        <v>77</v>
      </c>
      <c r="C198" s="9">
        <v>15227.48</v>
      </c>
      <c r="D198" s="9"/>
      <c r="E198" s="9">
        <v>15227.48</v>
      </c>
      <c r="F198" s="14" t="s">
        <v>75</v>
      </c>
      <c r="G198" s="15">
        <v>46069</v>
      </c>
      <c r="H198" s="15">
        <v>46073</v>
      </c>
      <c r="I198" s="14">
        <v>4</v>
      </c>
      <c r="J198" s="16">
        <v>10832.92</v>
      </c>
      <c r="K198" s="15">
        <v>45979</v>
      </c>
      <c r="L198" s="28" t="s">
        <v>44</v>
      </c>
    </row>
    <row r="199" spans="1:12" x14ac:dyDescent="0.3">
      <c r="A199" s="27" t="s">
        <v>102</v>
      </c>
      <c r="B199" s="14" t="s">
        <v>77</v>
      </c>
      <c r="C199" s="9">
        <v>38176</v>
      </c>
      <c r="D199" s="9">
        <v>4550</v>
      </c>
      <c r="E199" s="9">
        <v>33626</v>
      </c>
      <c r="F199" s="14" t="s">
        <v>72</v>
      </c>
      <c r="G199" s="15">
        <v>46069</v>
      </c>
      <c r="H199" s="15">
        <v>46074</v>
      </c>
      <c r="I199" s="14">
        <v>5</v>
      </c>
      <c r="J199" s="16">
        <v>24581.05</v>
      </c>
      <c r="K199" s="15">
        <v>45951</v>
      </c>
      <c r="L199" s="28" t="s">
        <v>31</v>
      </c>
    </row>
    <row r="200" spans="1:12" x14ac:dyDescent="0.3">
      <c r="A200" s="27" t="s">
        <v>102</v>
      </c>
      <c r="B200" s="14" t="s">
        <v>77</v>
      </c>
      <c r="C200" s="18">
        <v>42048</v>
      </c>
      <c r="D200" s="18"/>
      <c r="E200" s="18">
        <v>42048</v>
      </c>
      <c r="F200" s="14" t="s">
        <v>75</v>
      </c>
      <c r="G200" s="15">
        <v>46069</v>
      </c>
      <c r="H200" s="15">
        <v>46073</v>
      </c>
      <c r="I200" s="14">
        <v>4</v>
      </c>
      <c r="J200" s="16">
        <v>0</v>
      </c>
      <c r="K200" s="15">
        <v>45980</v>
      </c>
      <c r="L200" s="28" t="s">
        <v>31</v>
      </c>
    </row>
    <row r="201" spans="1:12" x14ac:dyDescent="0.3">
      <c r="A201" s="27" t="s">
        <v>102</v>
      </c>
      <c r="B201" s="14" t="s">
        <v>77</v>
      </c>
      <c r="C201" s="9">
        <v>17316</v>
      </c>
      <c r="D201" s="9">
        <v>8808</v>
      </c>
      <c r="E201" s="9">
        <v>8508</v>
      </c>
      <c r="F201" s="14" t="s">
        <v>72</v>
      </c>
      <c r="G201" s="15">
        <v>46070</v>
      </c>
      <c r="H201" s="15">
        <v>46076</v>
      </c>
      <c r="I201" s="14">
        <v>6</v>
      </c>
      <c r="J201" s="16">
        <v>11804.22</v>
      </c>
      <c r="K201" s="15">
        <v>45954</v>
      </c>
      <c r="L201" s="28" t="s">
        <v>31</v>
      </c>
    </row>
    <row r="202" spans="1:12" x14ac:dyDescent="0.3">
      <c r="A202" s="27" t="s">
        <v>102</v>
      </c>
      <c r="B202" s="14" t="s">
        <v>77</v>
      </c>
      <c r="C202" s="9">
        <v>17916</v>
      </c>
      <c r="D202" s="9"/>
      <c r="E202" s="9">
        <v>17916</v>
      </c>
      <c r="F202" s="14" t="s">
        <v>75</v>
      </c>
      <c r="G202" s="15">
        <v>46070</v>
      </c>
      <c r="H202" s="15">
        <v>46076</v>
      </c>
      <c r="I202" s="14">
        <v>6</v>
      </c>
      <c r="J202" s="16">
        <v>11319.36</v>
      </c>
      <c r="K202" s="15">
        <v>45954</v>
      </c>
      <c r="L202" s="28" t="s">
        <v>31</v>
      </c>
    </row>
    <row r="203" spans="1:12" x14ac:dyDescent="0.3">
      <c r="A203" s="27" t="s">
        <v>102</v>
      </c>
      <c r="B203" s="14" t="s">
        <v>77</v>
      </c>
      <c r="C203" s="9">
        <v>20186</v>
      </c>
      <c r="D203" s="9">
        <v>20186</v>
      </c>
      <c r="E203" s="9"/>
      <c r="F203" s="14" t="s">
        <v>70</v>
      </c>
      <c r="G203" s="15">
        <v>46070</v>
      </c>
      <c r="H203" s="15">
        <v>46072</v>
      </c>
      <c r="I203" s="14">
        <v>2</v>
      </c>
      <c r="J203" s="16">
        <v>12609.9</v>
      </c>
      <c r="K203" s="15">
        <v>45793</v>
      </c>
      <c r="L203" s="28" t="s">
        <v>14</v>
      </c>
    </row>
    <row r="204" spans="1:12" x14ac:dyDescent="0.3">
      <c r="A204" s="27" t="s">
        <v>102</v>
      </c>
      <c r="B204" s="14" t="s">
        <v>77</v>
      </c>
      <c r="C204" s="9">
        <v>27240</v>
      </c>
      <c r="D204" s="9">
        <v>6810</v>
      </c>
      <c r="E204" s="9">
        <v>20430</v>
      </c>
      <c r="F204" s="14" t="s">
        <v>72</v>
      </c>
      <c r="G204" s="15">
        <v>46070</v>
      </c>
      <c r="H204" s="15">
        <v>46075</v>
      </c>
      <c r="I204" s="14">
        <v>5</v>
      </c>
      <c r="J204" s="16">
        <v>15186.5</v>
      </c>
      <c r="K204" s="15">
        <v>45815</v>
      </c>
      <c r="L204" s="28" t="s">
        <v>2</v>
      </c>
    </row>
    <row r="205" spans="1:12" x14ac:dyDescent="0.3">
      <c r="A205" s="27" t="s">
        <v>102</v>
      </c>
      <c r="B205" s="14" t="s">
        <v>77</v>
      </c>
      <c r="C205" s="9">
        <v>58366</v>
      </c>
      <c r="D205" s="9"/>
      <c r="E205" s="9">
        <v>58366</v>
      </c>
      <c r="F205" s="14" t="s">
        <v>75</v>
      </c>
      <c r="G205" s="15">
        <v>46070</v>
      </c>
      <c r="H205" s="15">
        <v>46074</v>
      </c>
      <c r="I205" s="14">
        <v>4</v>
      </c>
      <c r="J205" s="16">
        <v>36416.480000000003</v>
      </c>
      <c r="K205" s="15">
        <v>45818</v>
      </c>
      <c r="L205" s="28" t="s">
        <v>40</v>
      </c>
    </row>
    <row r="206" spans="1:12" x14ac:dyDescent="0.3">
      <c r="A206" s="27" t="s">
        <v>102</v>
      </c>
      <c r="B206" s="14" t="s">
        <v>77</v>
      </c>
      <c r="C206" s="9">
        <v>51204</v>
      </c>
      <c r="D206" s="9">
        <v>12801</v>
      </c>
      <c r="E206" s="9">
        <v>38403</v>
      </c>
      <c r="F206" s="14" t="s">
        <v>72</v>
      </c>
      <c r="G206" s="15">
        <v>46070</v>
      </c>
      <c r="H206" s="15">
        <v>46074</v>
      </c>
      <c r="I206" s="14">
        <v>4</v>
      </c>
      <c r="J206" s="16">
        <v>24603.17</v>
      </c>
      <c r="K206" s="15">
        <v>45968</v>
      </c>
      <c r="L206" s="28" t="s">
        <v>31</v>
      </c>
    </row>
    <row r="207" spans="1:12" x14ac:dyDescent="0.3">
      <c r="A207" s="27" t="s">
        <v>102</v>
      </c>
      <c r="B207" s="14" t="s">
        <v>77</v>
      </c>
      <c r="C207" s="9">
        <v>23564</v>
      </c>
      <c r="D207" s="9"/>
      <c r="E207" s="9">
        <v>23564</v>
      </c>
      <c r="F207" s="14" t="s">
        <v>75</v>
      </c>
      <c r="G207" s="15">
        <v>46070</v>
      </c>
      <c r="H207" s="15">
        <v>46076</v>
      </c>
      <c r="I207" s="14">
        <v>6</v>
      </c>
      <c r="J207" s="16">
        <v>0</v>
      </c>
      <c r="K207" s="15">
        <v>45998</v>
      </c>
      <c r="L207" s="28" t="s">
        <v>15</v>
      </c>
    </row>
    <row r="208" spans="1:12" x14ac:dyDescent="0.3">
      <c r="A208" s="27" t="s">
        <v>102</v>
      </c>
      <c r="B208" s="14" t="s">
        <v>77</v>
      </c>
      <c r="C208" s="9">
        <v>36396</v>
      </c>
      <c r="D208" s="9"/>
      <c r="E208" s="9">
        <v>36396</v>
      </c>
      <c r="F208" s="14" t="s">
        <v>75</v>
      </c>
      <c r="G208" s="15">
        <v>46070</v>
      </c>
      <c r="H208" s="15">
        <v>46074</v>
      </c>
      <c r="I208" s="14">
        <v>4</v>
      </c>
      <c r="J208" s="16">
        <v>0</v>
      </c>
      <c r="K208" s="15">
        <v>45988</v>
      </c>
      <c r="L208" s="28" t="s">
        <v>62</v>
      </c>
    </row>
    <row r="209" spans="1:12" x14ac:dyDescent="0.3">
      <c r="A209" s="27" t="s">
        <v>102</v>
      </c>
      <c r="B209" s="14" t="s">
        <v>77</v>
      </c>
      <c r="C209" s="9">
        <v>2741.5</v>
      </c>
      <c r="D209" s="9"/>
      <c r="E209" s="9">
        <v>2741.5</v>
      </c>
      <c r="F209" s="14" t="s">
        <v>75</v>
      </c>
      <c r="G209" s="15">
        <v>46070</v>
      </c>
      <c r="H209" s="15">
        <v>46071</v>
      </c>
      <c r="I209" s="14">
        <v>1</v>
      </c>
      <c r="J209" s="16">
        <v>2010.49</v>
      </c>
      <c r="K209" s="15">
        <v>45964</v>
      </c>
      <c r="L209" s="28" t="s">
        <v>31</v>
      </c>
    </row>
    <row r="210" spans="1:12" x14ac:dyDescent="0.3">
      <c r="A210" s="27" t="s">
        <v>102</v>
      </c>
      <c r="B210" s="14" t="s">
        <v>77</v>
      </c>
      <c r="C210" s="9"/>
      <c r="D210" s="9"/>
      <c r="E210" s="9"/>
      <c r="F210" s="14"/>
      <c r="G210" s="10">
        <v>46071</v>
      </c>
      <c r="H210" s="10">
        <v>46075</v>
      </c>
      <c r="I210" s="8">
        <v>4</v>
      </c>
      <c r="J210" s="16"/>
      <c r="K210" s="15"/>
      <c r="L210" s="28"/>
    </row>
    <row r="211" spans="1:12" x14ac:dyDescent="0.3">
      <c r="A211" s="27" t="s">
        <v>102</v>
      </c>
      <c r="B211" s="14" t="s">
        <v>77</v>
      </c>
      <c r="C211" s="9">
        <v>8136</v>
      </c>
      <c r="D211" s="9"/>
      <c r="E211" s="9">
        <v>8136</v>
      </c>
      <c r="F211" s="14" t="s">
        <v>75</v>
      </c>
      <c r="G211" s="15">
        <v>46071</v>
      </c>
      <c r="H211" s="15">
        <v>46073</v>
      </c>
      <c r="I211" s="14">
        <v>2</v>
      </c>
      <c r="J211" s="16">
        <v>4368.13</v>
      </c>
      <c r="K211" s="15">
        <v>45996</v>
      </c>
      <c r="L211" s="28" t="s">
        <v>31</v>
      </c>
    </row>
    <row r="212" spans="1:12" x14ac:dyDescent="0.3">
      <c r="A212" s="27" t="s">
        <v>102</v>
      </c>
      <c r="B212" s="14" t="s">
        <v>77</v>
      </c>
      <c r="C212" s="9">
        <v>15920</v>
      </c>
      <c r="D212" s="9">
        <v>3980</v>
      </c>
      <c r="E212" s="9">
        <v>11940</v>
      </c>
      <c r="F212" s="14" t="s">
        <v>72</v>
      </c>
      <c r="G212" s="15">
        <v>46071</v>
      </c>
      <c r="H212" s="15">
        <v>46076</v>
      </c>
      <c r="I212" s="14">
        <v>5</v>
      </c>
      <c r="J212" s="16">
        <v>9751.35</v>
      </c>
      <c r="K212" s="15">
        <v>45916</v>
      </c>
      <c r="L212" s="28" t="s">
        <v>31</v>
      </c>
    </row>
    <row r="213" spans="1:12" x14ac:dyDescent="0.3">
      <c r="A213" s="27" t="s">
        <v>102</v>
      </c>
      <c r="B213" s="14" t="s">
        <v>77</v>
      </c>
      <c r="C213" s="9"/>
      <c r="D213" s="9"/>
      <c r="E213" s="9"/>
      <c r="F213" s="14"/>
      <c r="G213" s="15">
        <v>46071</v>
      </c>
      <c r="H213" s="15">
        <v>46075</v>
      </c>
      <c r="I213" s="14">
        <v>4</v>
      </c>
      <c r="J213" s="16">
        <v>30884.48</v>
      </c>
      <c r="K213" s="15">
        <v>45811</v>
      </c>
      <c r="L213" s="28" t="s">
        <v>60</v>
      </c>
    </row>
    <row r="214" spans="1:12" x14ac:dyDescent="0.3">
      <c r="A214" s="27" t="s">
        <v>102</v>
      </c>
      <c r="B214" s="14" t="s">
        <v>77</v>
      </c>
      <c r="C214" s="9">
        <v>5112</v>
      </c>
      <c r="D214" s="9"/>
      <c r="E214" s="9">
        <v>5112</v>
      </c>
      <c r="F214" s="14" t="s">
        <v>75</v>
      </c>
      <c r="G214" s="15">
        <v>46071</v>
      </c>
      <c r="H214" s="15">
        <v>46073</v>
      </c>
      <c r="I214" s="14">
        <v>2</v>
      </c>
      <c r="J214" s="16">
        <v>3586.7</v>
      </c>
      <c r="K214" s="15">
        <v>45983</v>
      </c>
      <c r="L214" s="28" t="s">
        <v>36</v>
      </c>
    </row>
    <row r="215" spans="1:12" x14ac:dyDescent="0.3">
      <c r="A215" s="27" t="s">
        <v>102</v>
      </c>
      <c r="B215" s="14" t="s">
        <v>77</v>
      </c>
      <c r="C215" s="9">
        <v>51760.72</v>
      </c>
      <c r="D215" s="9">
        <v>51760.72</v>
      </c>
      <c r="E215" s="9"/>
      <c r="F215" s="14" t="s">
        <v>70</v>
      </c>
      <c r="G215" s="15">
        <v>46071</v>
      </c>
      <c r="H215" s="15">
        <v>46073</v>
      </c>
      <c r="I215" s="14">
        <v>2</v>
      </c>
      <c r="J215" s="16">
        <v>2744.2</v>
      </c>
      <c r="K215" s="15">
        <v>45995</v>
      </c>
      <c r="L215" s="28" t="s">
        <v>31</v>
      </c>
    </row>
    <row r="216" spans="1:12" x14ac:dyDescent="0.3">
      <c r="A216" s="27" t="s">
        <v>102</v>
      </c>
      <c r="B216" s="14" t="s">
        <v>77</v>
      </c>
      <c r="C216" s="9">
        <v>7848</v>
      </c>
      <c r="D216" s="9"/>
      <c r="E216" s="9">
        <v>7848</v>
      </c>
      <c r="F216" s="14" t="s">
        <v>75</v>
      </c>
      <c r="G216" s="15">
        <v>46071</v>
      </c>
      <c r="H216" s="15">
        <v>46073</v>
      </c>
      <c r="I216" s="14">
        <v>2</v>
      </c>
      <c r="J216" s="16">
        <v>4926.18</v>
      </c>
      <c r="K216" s="15">
        <v>45979</v>
      </c>
      <c r="L216" s="28" t="s">
        <v>31</v>
      </c>
    </row>
    <row r="217" spans="1:12" x14ac:dyDescent="0.3">
      <c r="A217" s="27" t="s">
        <v>102</v>
      </c>
      <c r="B217" s="14" t="s">
        <v>77</v>
      </c>
      <c r="C217" s="9">
        <v>14876</v>
      </c>
      <c r="D217" s="9">
        <v>3719</v>
      </c>
      <c r="E217" s="9">
        <v>11157</v>
      </c>
      <c r="F217" s="14" t="s">
        <v>72</v>
      </c>
      <c r="G217" s="15">
        <v>46071</v>
      </c>
      <c r="H217" s="15">
        <v>46075</v>
      </c>
      <c r="I217" s="14">
        <v>4</v>
      </c>
      <c r="J217" s="16">
        <v>10147.64</v>
      </c>
      <c r="K217" s="15">
        <v>45959</v>
      </c>
      <c r="L217" s="28" t="s">
        <v>31</v>
      </c>
    </row>
    <row r="218" spans="1:12" x14ac:dyDescent="0.3">
      <c r="A218" s="27" t="s">
        <v>102</v>
      </c>
      <c r="B218" s="14" t="s">
        <v>77</v>
      </c>
      <c r="C218" s="9">
        <v>14876</v>
      </c>
      <c r="D218" s="9">
        <v>3719</v>
      </c>
      <c r="E218" s="9">
        <v>11157</v>
      </c>
      <c r="F218" s="14" t="s">
        <v>72</v>
      </c>
      <c r="G218" s="15">
        <v>46071</v>
      </c>
      <c r="H218" s="15">
        <v>46075</v>
      </c>
      <c r="I218" s="14">
        <v>4</v>
      </c>
      <c r="J218" s="16">
        <v>10147.64</v>
      </c>
      <c r="K218" s="15">
        <v>45959</v>
      </c>
      <c r="L218" s="28" t="s">
        <v>31</v>
      </c>
    </row>
    <row r="219" spans="1:12" x14ac:dyDescent="0.3">
      <c r="A219" s="27" t="s">
        <v>102</v>
      </c>
      <c r="B219" s="14" t="s">
        <v>77</v>
      </c>
      <c r="C219" s="9">
        <v>23750</v>
      </c>
      <c r="D219" s="9">
        <v>5937.5</v>
      </c>
      <c r="E219" s="9">
        <v>17812.5</v>
      </c>
      <c r="F219" s="14" t="s">
        <v>72</v>
      </c>
      <c r="G219" s="15">
        <v>46071</v>
      </c>
      <c r="H219" s="15">
        <v>46075</v>
      </c>
      <c r="I219" s="14">
        <v>4</v>
      </c>
      <c r="J219" s="16">
        <v>10500.61</v>
      </c>
      <c r="K219" s="15">
        <v>45974</v>
      </c>
      <c r="L219" s="28" t="s">
        <v>31</v>
      </c>
    </row>
    <row r="220" spans="1:12" x14ac:dyDescent="0.3">
      <c r="A220" s="27" t="s">
        <v>102</v>
      </c>
      <c r="B220" s="14" t="s">
        <v>77</v>
      </c>
      <c r="C220" s="9">
        <v>11436</v>
      </c>
      <c r="D220" s="9">
        <v>2859</v>
      </c>
      <c r="E220" s="9">
        <v>8577</v>
      </c>
      <c r="F220" s="14" t="s">
        <v>72</v>
      </c>
      <c r="G220" s="15">
        <v>46071</v>
      </c>
      <c r="H220" s="15">
        <v>46075</v>
      </c>
      <c r="I220" s="14">
        <v>4</v>
      </c>
      <c r="J220" s="16">
        <v>7474.76</v>
      </c>
      <c r="K220" s="15">
        <v>45954</v>
      </c>
      <c r="L220" s="28" t="s">
        <v>31</v>
      </c>
    </row>
    <row r="221" spans="1:12" x14ac:dyDescent="0.3">
      <c r="A221" s="27" t="s">
        <v>102</v>
      </c>
      <c r="B221" s="14" t="s">
        <v>77</v>
      </c>
      <c r="C221" s="20">
        <v>21865</v>
      </c>
      <c r="D221" s="11">
        <v>5466.25</v>
      </c>
      <c r="E221" s="20">
        <v>16398.75</v>
      </c>
      <c r="F221" s="14" t="s">
        <v>72</v>
      </c>
      <c r="G221" s="15">
        <v>46071</v>
      </c>
      <c r="H221" s="15">
        <v>46075</v>
      </c>
      <c r="I221" s="14">
        <v>4</v>
      </c>
      <c r="J221" s="16">
        <v>7539.67</v>
      </c>
      <c r="K221" s="15">
        <v>45985</v>
      </c>
      <c r="L221" s="28" t="s">
        <v>31</v>
      </c>
    </row>
    <row r="222" spans="1:12" x14ac:dyDescent="0.3">
      <c r="A222" s="27" t="s">
        <v>102</v>
      </c>
      <c r="B222" s="14" t="s">
        <v>77</v>
      </c>
      <c r="C222" s="9">
        <v>21649.88</v>
      </c>
      <c r="D222" s="9">
        <v>6699</v>
      </c>
      <c r="E222" s="9">
        <v>14950.88</v>
      </c>
      <c r="F222" s="14" t="s">
        <v>72</v>
      </c>
      <c r="G222" s="15">
        <v>46072</v>
      </c>
      <c r="H222" s="15">
        <v>46076</v>
      </c>
      <c r="I222" s="14">
        <v>4</v>
      </c>
      <c r="J222" s="16">
        <v>12757.84</v>
      </c>
      <c r="K222" s="15">
        <v>45991</v>
      </c>
      <c r="L222" s="28" t="s">
        <v>5</v>
      </c>
    </row>
    <row r="223" spans="1:12" x14ac:dyDescent="0.3">
      <c r="A223" s="27" t="s">
        <v>102</v>
      </c>
      <c r="B223" s="14" t="s">
        <v>77</v>
      </c>
      <c r="C223" s="9">
        <v>23628</v>
      </c>
      <c r="D223" s="9">
        <v>5907</v>
      </c>
      <c r="E223" s="9">
        <v>17721</v>
      </c>
      <c r="F223" s="14" t="s">
        <v>72</v>
      </c>
      <c r="G223" s="15">
        <v>46072</v>
      </c>
      <c r="H223" s="15">
        <v>46075</v>
      </c>
      <c r="I223" s="14">
        <v>3</v>
      </c>
      <c r="J223" s="16">
        <v>15785.25</v>
      </c>
      <c r="K223" s="15">
        <v>45994</v>
      </c>
      <c r="L223" s="28" t="s">
        <v>31</v>
      </c>
    </row>
    <row r="224" spans="1:12" x14ac:dyDescent="0.3">
      <c r="A224" s="27" t="s">
        <v>102</v>
      </c>
      <c r="B224" s="14" t="s">
        <v>77</v>
      </c>
      <c r="C224" s="9">
        <v>27308</v>
      </c>
      <c r="D224" s="9">
        <v>6827</v>
      </c>
      <c r="E224" s="9">
        <v>20481</v>
      </c>
      <c r="F224" s="14" t="s">
        <v>72</v>
      </c>
      <c r="G224" s="15">
        <v>46072</v>
      </c>
      <c r="H224" s="15">
        <v>46078</v>
      </c>
      <c r="I224" s="14">
        <v>6</v>
      </c>
      <c r="J224" s="16">
        <v>18235.650000000001</v>
      </c>
      <c r="K224" s="15">
        <v>45973</v>
      </c>
      <c r="L224" s="28" t="s">
        <v>31</v>
      </c>
    </row>
    <row r="225" spans="1:12" x14ac:dyDescent="0.3">
      <c r="A225" s="27" t="s">
        <v>102</v>
      </c>
      <c r="B225" s="14" t="s">
        <v>77</v>
      </c>
      <c r="C225" s="9">
        <v>23256.36</v>
      </c>
      <c r="D225" s="9"/>
      <c r="E225" s="9">
        <v>23256.36</v>
      </c>
      <c r="F225" s="14" t="s">
        <v>80</v>
      </c>
      <c r="G225" s="15">
        <v>46072</v>
      </c>
      <c r="H225" s="15">
        <v>46076</v>
      </c>
      <c r="I225" s="14">
        <v>4</v>
      </c>
      <c r="J225" s="16">
        <v>15058.28</v>
      </c>
      <c r="K225" s="15">
        <v>45941</v>
      </c>
      <c r="L225" s="28" t="s">
        <v>31</v>
      </c>
    </row>
    <row r="226" spans="1:12" x14ac:dyDescent="0.3">
      <c r="A226" s="27" t="s">
        <v>102</v>
      </c>
      <c r="B226" s="14" t="s">
        <v>77</v>
      </c>
      <c r="C226" s="9">
        <v>39110.959999999999</v>
      </c>
      <c r="D226" s="9">
        <v>14095.9</v>
      </c>
      <c r="E226" s="9">
        <v>25014.99</v>
      </c>
      <c r="F226" s="14" t="s">
        <v>72</v>
      </c>
      <c r="G226" s="15">
        <v>46073</v>
      </c>
      <c r="H226" s="15">
        <v>46080</v>
      </c>
      <c r="I226" s="14">
        <v>7</v>
      </c>
      <c r="J226" s="16">
        <v>21235.41</v>
      </c>
      <c r="K226" s="15">
        <v>45952</v>
      </c>
      <c r="L226" s="28" t="s">
        <v>2</v>
      </c>
    </row>
    <row r="227" spans="1:12" x14ac:dyDescent="0.3">
      <c r="A227" s="27" t="s">
        <v>102</v>
      </c>
      <c r="B227" s="14" t="s">
        <v>77</v>
      </c>
      <c r="C227" s="9">
        <v>15271.49</v>
      </c>
      <c r="D227" s="9"/>
      <c r="E227" s="9">
        <v>15271.49</v>
      </c>
      <c r="F227" s="14" t="s">
        <v>75</v>
      </c>
      <c r="G227" s="15">
        <v>46073</v>
      </c>
      <c r="H227" s="15">
        <v>46076</v>
      </c>
      <c r="I227" s="14">
        <v>3</v>
      </c>
      <c r="J227" s="16">
        <v>6984.9</v>
      </c>
      <c r="K227" s="15">
        <v>46001</v>
      </c>
      <c r="L227" s="28"/>
    </row>
    <row r="228" spans="1:12" x14ac:dyDescent="0.3">
      <c r="A228" s="27" t="s">
        <v>102</v>
      </c>
      <c r="B228" s="14" t="s">
        <v>77</v>
      </c>
      <c r="C228" s="9"/>
      <c r="D228" s="9"/>
      <c r="E228" s="9"/>
      <c r="F228" s="14" t="s">
        <v>74</v>
      </c>
      <c r="G228" s="15">
        <v>46073</v>
      </c>
      <c r="H228" s="15">
        <v>46077</v>
      </c>
      <c r="I228" s="14">
        <v>4</v>
      </c>
      <c r="J228" s="16">
        <v>12622.12</v>
      </c>
      <c r="K228" s="15">
        <v>46001</v>
      </c>
      <c r="L228" s="28" t="s">
        <v>31</v>
      </c>
    </row>
    <row r="229" spans="1:12" x14ac:dyDescent="0.3">
      <c r="A229" s="27" t="s">
        <v>102</v>
      </c>
      <c r="B229" s="14" t="s">
        <v>77</v>
      </c>
      <c r="C229" s="9">
        <v>9908</v>
      </c>
      <c r="D229" s="9"/>
      <c r="E229" s="9">
        <v>9908</v>
      </c>
      <c r="F229" s="14" t="s">
        <v>75</v>
      </c>
      <c r="G229" s="15">
        <v>46073</v>
      </c>
      <c r="H229" s="15">
        <v>46075</v>
      </c>
      <c r="I229" s="14">
        <v>2</v>
      </c>
      <c r="J229" s="16">
        <v>6063.8</v>
      </c>
      <c r="K229" s="15">
        <v>45995</v>
      </c>
      <c r="L229" s="28" t="s">
        <v>31</v>
      </c>
    </row>
    <row r="230" spans="1:12" x14ac:dyDescent="0.3">
      <c r="A230" s="27" t="s">
        <v>102</v>
      </c>
      <c r="B230" s="14" t="s">
        <v>77</v>
      </c>
      <c r="C230" s="9">
        <v>22902</v>
      </c>
      <c r="D230" s="9"/>
      <c r="E230" s="9">
        <v>22902</v>
      </c>
      <c r="F230" s="14" t="s">
        <v>75</v>
      </c>
      <c r="G230" s="15">
        <v>46073</v>
      </c>
      <c r="H230" s="15">
        <v>46077</v>
      </c>
      <c r="I230" s="14">
        <v>4</v>
      </c>
      <c r="J230" s="16">
        <v>10508.25</v>
      </c>
      <c r="K230" s="15">
        <v>45990</v>
      </c>
      <c r="L230" s="28" t="s">
        <v>31</v>
      </c>
    </row>
    <row r="231" spans="1:12" x14ac:dyDescent="0.3">
      <c r="A231" s="27" t="s">
        <v>102</v>
      </c>
      <c r="B231" s="14" t="s">
        <v>77</v>
      </c>
      <c r="C231" s="9">
        <v>19922</v>
      </c>
      <c r="D231" s="9">
        <v>4980.5</v>
      </c>
      <c r="E231" s="9">
        <v>14941.5</v>
      </c>
      <c r="F231" s="14" t="s">
        <v>72</v>
      </c>
      <c r="G231" s="15">
        <v>46073</v>
      </c>
      <c r="H231" s="15">
        <v>46077</v>
      </c>
      <c r="I231" s="14">
        <v>4</v>
      </c>
      <c r="J231" s="16">
        <v>9684.06</v>
      </c>
      <c r="K231" s="15">
        <v>45986</v>
      </c>
      <c r="L231" s="28" t="s">
        <v>31</v>
      </c>
    </row>
    <row r="232" spans="1:12" x14ac:dyDescent="0.3">
      <c r="A232" s="27" t="s">
        <v>102</v>
      </c>
      <c r="B232" s="14" t="s">
        <v>77</v>
      </c>
      <c r="C232" s="9">
        <v>27120</v>
      </c>
      <c r="D232" s="9"/>
      <c r="E232" s="9">
        <v>27120</v>
      </c>
      <c r="F232" s="14" t="s">
        <v>75</v>
      </c>
      <c r="G232" s="15">
        <v>46074</v>
      </c>
      <c r="H232" s="15">
        <v>46079</v>
      </c>
      <c r="I232" s="14">
        <v>5</v>
      </c>
      <c r="J232" s="16">
        <v>18453.75</v>
      </c>
      <c r="K232" s="15">
        <v>45899</v>
      </c>
      <c r="L232" s="28" t="s">
        <v>15</v>
      </c>
    </row>
    <row r="233" spans="1:12" x14ac:dyDescent="0.3">
      <c r="A233" s="27" t="s">
        <v>102</v>
      </c>
      <c r="B233" s="14" t="s">
        <v>77</v>
      </c>
      <c r="C233" s="9">
        <v>30773.279999999999</v>
      </c>
      <c r="D233" s="9">
        <v>30773.279999999999</v>
      </c>
      <c r="E233" s="9"/>
      <c r="F233" s="14"/>
      <c r="G233" s="15">
        <v>46074</v>
      </c>
      <c r="H233" s="15">
        <v>46078</v>
      </c>
      <c r="I233" s="14">
        <v>4</v>
      </c>
      <c r="J233" s="16">
        <v>15999.44</v>
      </c>
      <c r="K233" s="15">
        <v>45950</v>
      </c>
      <c r="L233" s="28" t="s">
        <v>31</v>
      </c>
    </row>
    <row r="234" spans="1:12" x14ac:dyDescent="0.3">
      <c r="A234" s="27" t="s">
        <v>102</v>
      </c>
      <c r="B234" s="14" t="s">
        <v>77</v>
      </c>
      <c r="C234" s="9">
        <v>20770.66</v>
      </c>
      <c r="D234" s="9"/>
      <c r="E234" s="9">
        <v>20770.66</v>
      </c>
      <c r="F234" s="14" t="s">
        <v>75</v>
      </c>
      <c r="G234" s="15">
        <v>46074</v>
      </c>
      <c r="H234" s="15">
        <v>46076</v>
      </c>
      <c r="I234" s="14">
        <v>2</v>
      </c>
      <c r="J234" s="16">
        <v>6051.32</v>
      </c>
      <c r="K234" s="15">
        <v>45963</v>
      </c>
      <c r="L234" s="28" t="s">
        <v>59</v>
      </c>
    </row>
    <row r="235" spans="1:12" x14ac:dyDescent="0.3">
      <c r="A235" s="27" t="s">
        <v>102</v>
      </c>
      <c r="B235" s="14" t="s">
        <v>77</v>
      </c>
      <c r="C235" s="9">
        <v>3704</v>
      </c>
      <c r="D235" s="9"/>
      <c r="E235" s="9">
        <v>3704</v>
      </c>
      <c r="F235" s="14" t="s">
        <v>75</v>
      </c>
      <c r="G235" s="15">
        <v>46075</v>
      </c>
      <c r="H235" s="15">
        <v>46083</v>
      </c>
      <c r="I235" s="14">
        <v>8</v>
      </c>
      <c r="J235" s="16">
        <v>1971.92</v>
      </c>
      <c r="K235" s="15">
        <v>45966</v>
      </c>
      <c r="L235" s="28" t="s">
        <v>63</v>
      </c>
    </row>
    <row r="236" spans="1:12" x14ac:dyDescent="0.3">
      <c r="A236" s="27" t="s">
        <v>102</v>
      </c>
      <c r="B236" s="14" t="s">
        <v>77</v>
      </c>
      <c r="C236" s="9">
        <v>7732.72</v>
      </c>
      <c r="D236" s="9"/>
      <c r="E236" s="9">
        <v>7732.72</v>
      </c>
      <c r="F236" s="14" t="s">
        <v>75</v>
      </c>
      <c r="G236" s="15">
        <v>46076</v>
      </c>
      <c r="H236" s="15">
        <v>46078</v>
      </c>
      <c r="I236" s="14">
        <v>2</v>
      </c>
      <c r="J236" s="16">
        <v>5649.36</v>
      </c>
      <c r="K236" s="15">
        <v>45968</v>
      </c>
      <c r="L236" s="28" t="s">
        <v>31</v>
      </c>
    </row>
    <row r="237" spans="1:12" x14ac:dyDescent="0.3">
      <c r="A237" s="27" t="s">
        <v>102</v>
      </c>
      <c r="B237" s="14" t="s">
        <v>77</v>
      </c>
      <c r="C237" s="9">
        <v>18124</v>
      </c>
      <c r="D237" s="9"/>
      <c r="E237" s="9">
        <v>18124</v>
      </c>
      <c r="F237" s="14" t="s">
        <v>75</v>
      </c>
      <c r="G237" s="15">
        <v>46076</v>
      </c>
      <c r="H237" s="15">
        <v>46081</v>
      </c>
      <c r="I237" s="14">
        <v>5</v>
      </c>
      <c r="J237" s="16">
        <v>8115.1</v>
      </c>
      <c r="K237" s="15">
        <v>45959</v>
      </c>
      <c r="L237" s="28" t="s">
        <v>26</v>
      </c>
    </row>
    <row r="238" spans="1:12" x14ac:dyDescent="0.3">
      <c r="A238" s="27" t="s">
        <v>102</v>
      </c>
      <c r="B238" s="14" t="s">
        <v>77</v>
      </c>
      <c r="C238" s="9">
        <v>16294</v>
      </c>
      <c r="D238" s="9">
        <v>4073.5</v>
      </c>
      <c r="E238" s="9">
        <v>12220.5</v>
      </c>
      <c r="F238" s="14" t="s">
        <v>72</v>
      </c>
      <c r="G238" s="15">
        <v>46076</v>
      </c>
      <c r="H238" s="15">
        <v>46080</v>
      </c>
      <c r="I238" s="14">
        <v>4</v>
      </c>
      <c r="J238" s="16">
        <v>7570.22</v>
      </c>
      <c r="K238" s="15">
        <v>45995</v>
      </c>
      <c r="L238" s="28" t="s">
        <v>31</v>
      </c>
    </row>
    <row r="239" spans="1:12" x14ac:dyDescent="0.3">
      <c r="A239" s="27" t="s">
        <v>102</v>
      </c>
      <c r="B239" s="14" t="s">
        <v>77</v>
      </c>
      <c r="C239" s="9">
        <v>16294</v>
      </c>
      <c r="D239" s="9">
        <v>4073.5</v>
      </c>
      <c r="E239" s="9">
        <v>12220.5</v>
      </c>
      <c r="F239" s="14" t="s">
        <v>72</v>
      </c>
      <c r="G239" s="15">
        <v>46078</v>
      </c>
      <c r="H239" s="15">
        <v>46082</v>
      </c>
      <c r="I239" s="14">
        <v>4</v>
      </c>
      <c r="J239" s="16">
        <v>7570.22</v>
      </c>
      <c r="K239" s="15">
        <v>45980</v>
      </c>
      <c r="L239" s="28" t="s">
        <v>31</v>
      </c>
    </row>
    <row r="240" spans="1:12" x14ac:dyDescent="0.3">
      <c r="A240" s="27" t="s">
        <v>102</v>
      </c>
      <c r="B240" s="14" t="s">
        <v>77</v>
      </c>
      <c r="C240" s="9">
        <v>45890.74</v>
      </c>
      <c r="D240" s="9">
        <v>33515.72</v>
      </c>
      <c r="E240" s="9">
        <v>12375.02</v>
      </c>
      <c r="F240" s="14" t="s">
        <v>72</v>
      </c>
      <c r="G240" s="15">
        <v>46078</v>
      </c>
      <c r="H240" s="15">
        <v>46085</v>
      </c>
      <c r="I240" s="14">
        <v>7</v>
      </c>
      <c r="J240" s="16">
        <v>27999.02</v>
      </c>
      <c r="K240" s="15">
        <v>45950</v>
      </c>
      <c r="L240" s="28" t="s">
        <v>31</v>
      </c>
    </row>
    <row r="241" spans="1:12" x14ac:dyDescent="0.3">
      <c r="A241" s="27" t="s">
        <v>102</v>
      </c>
      <c r="B241" s="14" t="s">
        <v>77</v>
      </c>
      <c r="C241" s="9">
        <v>14472</v>
      </c>
      <c r="D241" s="9">
        <v>3698</v>
      </c>
      <c r="E241" s="9">
        <v>10774</v>
      </c>
      <c r="F241" s="14" t="s">
        <v>72</v>
      </c>
      <c r="G241" s="15">
        <v>46078</v>
      </c>
      <c r="H241" s="15">
        <v>46082</v>
      </c>
      <c r="I241" s="14">
        <v>4</v>
      </c>
      <c r="J241" s="16">
        <v>4395.6099999999997</v>
      </c>
      <c r="K241" s="15">
        <v>45977</v>
      </c>
      <c r="L241" s="28" t="s">
        <v>31</v>
      </c>
    </row>
    <row r="242" spans="1:12" x14ac:dyDescent="0.3">
      <c r="A242" s="27" t="s">
        <v>102</v>
      </c>
      <c r="B242" s="14" t="s">
        <v>77</v>
      </c>
      <c r="C242" s="9">
        <v>16345</v>
      </c>
      <c r="D242" s="9"/>
      <c r="E242" s="9">
        <v>16345</v>
      </c>
      <c r="F242" s="14" t="s">
        <v>75</v>
      </c>
      <c r="G242" s="15">
        <v>46078</v>
      </c>
      <c r="H242" s="15">
        <v>46084</v>
      </c>
      <c r="I242" s="14">
        <v>6</v>
      </c>
      <c r="J242" s="16">
        <v>6245.4</v>
      </c>
      <c r="K242" s="15">
        <v>45735</v>
      </c>
      <c r="L242" s="28" t="s">
        <v>2</v>
      </c>
    </row>
    <row r="243" spans="1:12" x14ac:dyDescent="0.3">
      <c r="A243" s="27" t="s">
        <v>102</v>
      </c>
      <c r="B243" s="14" t="s">
        <v>77</v>
      </c>
      <c r="C243" s="9">
        <v>25400</v>
      </c>
      <c r="D243" s="9">
        <v>6350</v>
      </c>
      <c r="E243" s="9">
        <v>19050</v>
      </c>
      <c r="F243" s="14" t="s">
        <v>72</v>
      </c>
      <c r="G243" s="15">
        <v>46078</v>
      </c>
      <c r="H243" s="15">
        <v>46083</v>
      </c>
      <c r="I243" s="14">
        <v>5</v>
      </c>
      <c r="J243" s="16">
        <v>17117.349999999999</v>
      </c>
      <c r="K243" s="15">
        <v>45636</v>
      </c>
      <c r="L243" s="28" t="s">
        <v>2</v>
      </c>
    </row>
    <row r="244" spans="1:12" x14ac:dyDescent="0.3">
      <c r="A244" s="27" t="s">
        <v>102</v>
      </c>
      <c r="B244" s="14" t="s">
        <v>77</v>
      </c>
      <c r="C244" s="9">
        <v>5187.22</v>
      </c>
      <c r="D244" s="9">
        <v>5187.22</v>
      </c>
      <c r="E244" s="9"/>
      <c r="F244" s="14" t="s">
        <v>70</v>
      </c>
      <c r="G244" s="15">
        <v>46078</v>
      </c>
      <c r="H244" s="15">
        <v>46079</v>
      </c>
      <c r="I244" s="14">
        <v>1</v>
      </c>
      <c r="J244" s="16">
        <v>2556.79</v>
      </c>
      <c r="K244" s="15">
        <v>45998</v>
      </c>
      <c r="L244" s="28" t="s">
        <v>26</v>
      </c>
    </row>
    <row r="245" spans="1:12" x14ac:dyDescent="0.3">
      <c r="A245" s="27" t="s">
        <v>102</v>
      </c>
      <c r="B245" s="14" t="s">
        <v>77</v>
      </c>
      <c r="C245" s="9">
        <v>15296</v>
      </c>
      <c r="D245" s="9"/>
      <c r="E245" s="9">
        <v>15296</v>
      </c>
      <c r="F245" s="14" t="s">
        <v>75</v>
      </c>
      <c r="G245" s="15">
        <v>46078</v>
      </c>
      <c r="H245" s="15">
        <v>46082</v>
      </c>
      <c r="I245" s="14">
        <v>4</v>
      </c>
      <c r="J245" s="16">
        <v>7463.38</v>
      </c>
      <c r="K245" s="15">
        <v>45986</v>
      </c>
      <c r="L245" s="28" t="s">
        <v>31</v>
      </c>
    </row>
    <row r="246" spans="1:12" x14ac:dyDescent="0.3">
      <c r="A246" s="27" t="s">
        <v>102</v>
      </c>
      <c r="B246" s="14" t="s">
        <v>77</v>
      </c>
      <c r="C246" s="9">
        <v>17142</v>
      </c>
      <c r="D246" s="9"/>
      <c r="E246" s="9">
        <v>17142</v>
      </c>
      <c r="F246" s="14" t="s">
        <v>75</v>
      </c>
      <c r="G246" s="15">
        <v>46078</v>
      </c>
      <c r="H246" s="15">
        <v>46082</v>
      </c>
      <c r="I246" s="14">
        <v>4</v>
      </c>
      <c r="J246" s="16">
        <v>7562.58</v>
      </c>
      <c r="K246" s="15">
        <v>45980</v>
      </c>
      <c r="L246" s="28" t="s">
        <v>31</v>
      </c>
    </row>
    <row r="247" spans="1:12" x14ac:dyDescent="0.3">
      <c r="A247" s="27" t="s">
        <v>102</v>
      </c>
      <c r="B247" s="14" t="s">
        <v>77</v>
      </c>
      <c r="C247" s="9"/>
      <c r="D247" s="9"/>
      <c r="E247" s="9"/>
      <c r="F247" s="14"/>
      <c r="G247" s="10">
        <v>46078</v>
      </c>
      <c r="H247" s="10">
        <v>46085</v>
      </c>
      <c r="I247" s="8">
        <v>7</v>
      </c>
      <c r="J247" s="8">
        <v>14151.41</v>
      </c>
      <c r="K247" s="15"/>
      <c r="L247" s="28"/>
    </row>
    <row r="248" spans="1:12" x14ac:dyDescent="0.3">
      <c r="A248" s="27" t="s">
        <v>102</v>
      </c>
      <c r="B248" s="14" t="s">
        <v>77</v>
      </c>
      <c r="C248" s="9">
        <v>65133.599999999999</v>
      </c>
      <c r="D248" s="9">
        <v>65133.599999999999</v>
      </c>
      <c r="E248" s="9"/>
      <c r="F248" s="14" t="s">
        <v>70</v>
      </c>
      <c r="G248" s="15">
        <v>46079</v>
      </c>
      <c r="H248" s="15">
        <v>46083</v>
      </c>
      <c r="I248" s="14">
        <v>4</v>
      </c>
      <c r="J248" s="16">
        <v>43487.199999999997</v>
      </c>
      <c r="K248" s="15">
        <v>45866</v>
      </c>
      <c r="L248" s="28" t="s">
        <v>5</v>
      </c>
    </row>
    <row r="249" spans="1:12" x14ac:dyDescent="0.3">
      <c r="A249" s="27" t="s">
        <v>102</v>
      </c>
      <c r="B249" s="14" t="s">
        <v>77</v>
      </c>
      <c r="C249" s="9">
        <v>34119.25</v>
      </c>
      <c r="D249" s="9">
        <v>8529.81</v>
      </c>
      <c r="E249" s="9">
        <v>25589.439999999999</v>
      </c>
      <c r="F249" s="14" t="s">
        <v>72</v>
      </c>
      <c r="G249" s="15">
        <v>46079</v>
      </c>
      <c r="H249" s="15">
        <v>46084</v>
      </c>
      <c r="I249" s="14">
        <v>5</v>
      </c>
      <c r="J249" s="16">
        <v>14018.05</v>
      </c>
      <c r="K249" s="15">
        <v>45953</v>
      </c>
      <c r="L249" s="28" t="s">
        <v>15</v>
      </c>
    </row>
    <row r="250" spans="1:12" x14ac:dyDescent="0.3">
      <c r="A250" s="27" t="s">
        <v>102</v>
      </c>
      <c r="B250" s="14" t="s">
        <v>77</v>
      </c>
      <c r="C250" s="9">
        <v>13461.68</v>
      </c>
      <c r="D250" s="9">
        <v>13461.68</v>
      </c>
      <c r="E250" s="9"/>
      <c r="F250" s="14" t="s">
        <v>73</v>
      </c>
      <c r="G250" s="15">
        <v>46079</v>
      </c>
      <c r="H250" s="15">
        <v>46083</v>
      </c>
      <c r="I250" s="14">
        <v>4</v>
      </c>
      <c r="J250" s="16">
        <v>3725.34</v>
      </c>
      <c r="K250" s="15">
        <v>45958</v>
      </c>
      <c r="L250" s="28" t="s">
        <v>13</v>
      </c>
    </row>
    <row r="251" spans="1:12" x14ac:dyDescent="0.3">
      <c r="A251" s="27" t="s">
        <v>102</v>
      </c>
      <c r="B251" s="14" t="s">
        <v>77</v>
      </c>
      <c r="C251" s="9"/>
      <c r="D251" s="9"/>
      <c r="E251" s="9"/>
      <c r="F251" s="14"/>
      <c r="G251" s="10">
        <v>46079</v>
      </c>
      <c r="H251" s="10">
        <v>46081</v>
      </c>
      <c r="I251" s="8">
        <v>2</v>
      </c>
      <c r="J251" s="16"/>
      <c r="K251" s="15"/>
      <c r="L251" s="28"/>
    </row>
    <row r="252" spans="1:12" x14ac:dyDescent="0.3">
      <c r="A252" s="27" t="s">
        <v>102</v>
      </c>
      <c r="B252" s="14" t="s">
        <v>77</v>
      </c>
      <c r="C252" s="9"/>
      <c r="D252" s="9"/>
      <c r="E252" s="9"/>
      <c r="F252" s="14"/>
      <c r="G252" s="10">
        <v>46081</v>
      </c>
      <c r="H252" s="10">
        <v>46083</v>
      </c>
      <c r="I252" s="8">
        <v>2</v>
      </c>
      <c r="J252" s="16"/>
      <c r="K252" s="15"/>
      <c r="L252" s="28"/>
    </row>
    <row r="253" spans="1:12" x14ac:dyDescent="0.3">
      <c r="A253" s="27" t="s">
        <v>102</v>
      </c>
      <c r="B253" s="14" t="s">
        <v>77</v>
      </c>
      <c r="C253" s="9">
        <v>31024.639999999999</v>
      </c>
      <c r="D253" s="9">
        <v>7756.16</v>
      </c>
      <c r="E253" s="9">
        <v>23268.48</v>
      </c>
      <c r="F253" s="14" t="s">
        <v>72</v>
      </c>
      <c r="G253" s="15">
        <v>46080</v>
      </c>
      <c r="H253" s="15">
        <v>46085</v>
      </c>
      <c r="I253" s="14">
        <v>5</v>
      </c>
      <c r="J253" s="16">
        <v>21030.74</v>
      </c>
      <c r="K253" s="15">
        <v>45952</v>
      </c>
      <c r="L253" s="28" t="s">
        <v>12</v>
      </c>
    </row>
    <row r="254" spans="1:12" x14ac:dyDescent="0.3">
      <c r="A254" s="27" t="s">
        <v>102</v>
      </c>
      <c r="B254" s="14" t="s">
        <v>77</v>
      </c>
      <c r="C254" s="9">
        <v>11976</v>
      </c>
      <c r="D254" s="9"/>
      <c r="E254" s="9">
        <v>11976</v>
      </c>
      <c r="F254" s="14" t="s">
        <v>75</v>
      </c>
      <c r="G254" s="15">
        <v>46080</v>
      </c>
      <c r="H254" s="15">
        <v>46084</v>
      </c>
      <c r="I254" s="14">
        <v>4</v>
      </c>
      <c r="J254" s="16">
        <v>6806.52</v>
      </c>
      <c r="K254" s="15">
        <v>45930</v>
      </c>
      <c r="L254" s="28" t="s">
        <v>13</v>
      </c>
    </row>
    <row r="255" spans="1:12" x14ac:dyDescent="0.3">
      <c r="A255" s="27" t="s">
        <v>102</v>
      </c>
      <c r="B255" s="14" t="s">
        <v>77</v>
      </c>
      <c r="C255" s="9">
        <v>288</v>
      </c>
      <c r="D255" s="9"/>
      <c r="E255" s="9">
        <v>288</v>
      </c>
      <c r="F255" s="14" t="s">
        <v>82</v>
      </c>
      <c r="G255" s="15">
        <v>46081</v>
      </c>
      <c r="H255" s="15">
        <v>46085</v>
      </c>
      <c r="I255" s="14">
        <v>4</v>
      </c>
      <c r="J255" s="16">
        <v>0</v>
      </c>
      <c r="K255" s="15">
        <v>45968</v>
      </c>
      <c r="L255" s="28" t="s">
        <v>24</v>
      </c>
    </row>
    <row r="256" spans="1:12" x14ac:dyDescent="0.3">
      <c r="A256" s="27" t="s">
        <v>102</v>
      </c>
      <c r="B256" s="14" t="s">
        <v>77</v>
      </c>
      <c r="C256" s="20">
        <v>24537.81</v>
      </c>
      <c r="D256" s="9">
        <v>24537.81</v>
      </c>
      <c r="E256" s="9"/>
      <c r="F256" s="14" t="s">
        <v>70</v>
      </c>
      <c r="G256" s="15">
        <v>46081</v>
      </c>
      <c r="H256" s="15">
        <v>46088</v>
      </c>
      <c r="I256" s="14">
        <v>7</v>
      </c>
      <c r="J256" s="16">
        <v>15918.63</v>
      </c>
      <c r="K256" s="15">
        <v>45989</v>
      </c>
      <c r="L256" s="28" t="s">
        <v>40</v>
      </c>
    </row>
    <row r="257" spans="1:12" x14ac:dyDescent="0.3">
      <c r="A257" s="27" t="s">
        <v>102</v>
      </c>
      <c r="B257" s="14" t="s">
        <v>77</v>
      </c>
      <c r="C257" s="9">
        <v>35847.14</v>
      </c>
      <c r="D257" s="9"/>
      <c r="E257" s="9">
        <v>35847.14</v>
      </c>
      <c r="F257" s="14" t="s">
        <v>75</v>
      </c>
      <c r="G257" s="15">
        <v>46082</v>
      </c>
      <c r="H257" s="15">
        <v>46089</v>
      </c>
      <c r="I257" s="14">
        <v>7</v>
      </c>
      <c r="J257" s="16">
        <v>23001.5</v>
      </c>
      <c r="K257" s="15">
        <v>45993</v>
      </c>
      <c r="L257" s="28" t="s">
        <v>34</v>
      </c>
    </row>
    <row r="258" spans="1:12" x14ac:dyDescent="0.3">
      <c r="A258" s="27" t="s">
        <v>102</v>
      </c>
      <c r="B258" s="14" t="s">
        <v>77</v>
      </c>
      <c r="C258" s="9">
        <v>36538.28</v>
      </c>
      <c r="D258" s="9"/>
      <c r="E258" s="9">
        <v>36538.28</v>
      </c>
      <c r="F258" s="14" t="s">
        <v>75</v>
      </c>
      <c r="G258" s="15">
        <v>46083</v>
      </c>
      <c r="H258" s="15">
        <v>46089</v>
      </c>
      <c r="I258" s="14">
        <v>6</v>
      </c>
      <c r="J258" s="16">
        <v>13747.14</v>
      </c>
      <c r="K258" s="15">
        <v>46001</v>
      </c>
      <c r="L258" s="28" t="s">
        <v>2</v>
      </c>
    </row>
    <row r="259" spans="1:12" x14ac:dyDescent="0.3">
      <c r="A259" s="27" t="s">
        <v>102</v>
      </c>
      <c r="B259" s="14" t="s">
        <v>77</v>
      </c>
      <c r="C259" s="9">
        <v>0</v>
      </c>
      <c r="D259" s="9"/>
      <c r="E259" s="9">
        <v>0</v>
      </c>
      <c r="F259" s="14" t="s">
        <v>73</v>
      </c>
      <c r="G259" s="15">
        <v>46085</v>
      </c>
      <c r="H259" s="15">
        <v>46087</v>
      </c>
      <c r="I259" s="14">
        <v>2</v>
      </c>
      <c r="J259" s="16">
        <v>0</v>
      </c>
      <c r="K259" s="15">
        <v>45961</v>
      </c>
      <c r="L259" s="28" t="s">
        <v>31</v>
      </c>
    </row>
    <row r="260" spans="1:12" x14ac:dyDescent="0.3">
      <c r="A260" s="27" t="s">
        <v>102</v>
      </c>
      <c r="B260" s="14" t="s">
        <v>77</v>
      </c>
      <c r="C260" s="9">
        <v>14190.41</v>
      </c>
      <c r="D260" s="9"/>
      <c r="E260" s="9">
        <v>14190.41</v>
      </c>
      <c r="F260" s="14" t="s">
        <v>75</v>
      </c>
      <c r="G260" s="15">
        <v>46085</v>
      </c>
      <c r="H260" s="15">
        <v>46088</v>
      </c>
      <c r="I260" s="14">
        <v>3</v>
      </c>
      <c r="J260" s="16">
        <v>8492.3700000000008</v>
      </c>
      <c r="K260" s="15">
        <v>45993</v>
      </c>
      <c r="L260" s="28" t="s">
        <v>15</v>
      </c>
    </row>
    <row r="261" spans="1:12" x14ac:dyDescent="0.3">
      <c r="A261" s="27" t="s">
        <v>102</v>
      </c>
      <c r="B261" s="14" t="s">
        <v>77</v>
      </c>
      <c r="C261" s="9">
        <v>21619.25</v>
      </c>
      <c r="D261" s="9">
        <v>5404.81</v>
      </c>
      <c r="E261" s="9">
        <v>16214.44</v>
      </c>
      <c r="F261" s="14" t="s">
        <v>72</v>
      </c>
      <c r="G261" s="15">
        <v>46086</v>
      </c>
      <c r="H261" s="15">
        <v>46091</v>
      </c>
      <c r="I261" s="14">
        <v>5</v>
      </c>
      <c r="J261" s="16">
        <v>13926.45</v>
      </c>
      <c r="K261" s="15">
        <v>45991</v>
      </c>
      <c r="L261" s="28" t="s">
        <v>16</v>
      </c>
    </row>
    <row r="262" spans="1:12" x14ac:dyDescent="0.3">
      <c r="A262" s="27" t="s">
        <v>102</v>
      </c>
      <c r="B262" s="14" t="s">
        <v>77</v>
      </c>
      <c r="C262" s="9">
        <v>11172</v>
      </c>
      <c r="D262" s="9"/>
      <c r="E262" s="9">
        <v>11172</v>
      </c>
      <c r="F262" s="14" t="s">
        <v>75</v>
      </c>
      <c r="G262" s="15">
        <v>46086</v>
      </c>
      <c r="H262" s="15">
        <v>46089</v>
      </c>
      <c r="I262" s="14">
        <v>3</v>
      </c>
      <c r="J262" s="16">
        <v>5990.67</v>
      </c>
      <c r="K262" s="15">
        <v>45996</v>
      </c>
      <c r="L262" s="28" t="s">
        <v>14</v>
      </c>
    </row>
    <row r="263" spans="1:12" x14ac:dyDescent="0.3">
      <c r="A263" s="27" t="s">
        <v>102</v>
      </c>
      <c r="B263" s="14" t="s">
        <v>77</v>
      </c>
      <c r="C263" s="9">
        <v>122505.82</v>
      </c>
      <c r="D263" s="9"/>
      <c r="E263" s="9">
        <v>122505.82</v>
      </c>
      <c r="F263" s="14" t="s">
        <v>75</v>
      </c>
      <c r="G263" s="15">
        <v>46086</v>
      </c>
      <c r="H263" s="15">
        <v>46096</v>
      </c>
      <c r="I263" s="14">
        <v>10</v>
      </c>
      <c r="J263" s="16">
        <v>0</v>
      </c>
      <c r="K263" s="15">
        <v>45896</v>
      </c>
      <c r="L263" s="28"/>
    </row>
    <row r="264" spans="1:12" x14ac:dyDescent="0.3">
      <c r="A264" s="27" t="s">
        <v>102</v>
      </c>
      <c r="B264" s="14" t="s">
        <v>77</v>
      </c>
      <c r="C264" s="9">
        <v>0</v>
      </c>
      <c r="D264" s="9"/>
      <c r="E264" s="9">
        <v>0</v>
      </c>
      <c r="F264" s="14" t="s">
        <v>73</v>
      </c>
      <c r="G264" s="15">
        <v>46086</v>
      </c>
      <c r="H264" s="15">
        <v>46088</v>
      </c>
      <c r="I264" s="14">
        <v>2</v>
      </c>
      <c r="J264" s="16">
        <v>0</v>
      </c>
      <c r="K264" s="15">
        <v>45993</v>
      </c>
      <c r="L264" s="28" t="s">
        <v>15</v>
      </c>
    </row>
    <row r="265" spans="1:12" x14ac:dyDescent="0.3">
      <c r="A265" s="27" t="s">
        <v>102</v>
      </c>
      <c r="B265" s="14" t="s">
        <v>77</v>
      </c>
      <c r="C265" s="9">
        <v>27879.68</v>
      </c>
      <c r="D265" s="9"/>
      <c r="E265" s="9">
        <v>27879.68</v>
      </c>
      <c r="F265" s="14" t="s">
        <v>75</v>
      </c>
      <c r="G265" s="15">
        <v>46086</v>
      </c>
      <c r="H265" s="15">
        <v>46091</v>
      </c>
      <c r="I265" s="14">
        <v>5</v>
      </c>
      <c r="J265" s="16">
        <v>0</v>
      </c>
      <c r="K265" s="15">
        <v>45926</v>
      </c>
      <c r="L265" s="28" t="s">
        <v>15</v>
      </c>
    </row>
    <row r="266" spans="1:12" x14ac:dyDescent="0.3">
      <c r="A266" s="27" t="s">
        <v>102</v>
      </c>
      <c r="B266" s="14" t="s">
        <v>77</v>
      </c>
      <c r="C266" s="9">
        <v>16696</v>
      </c>
      <c r="D266" s="9"/>
      <c r="E266" s="9">
        <v>16696</v>
      </c>
      <c r="F266" s="14" t="s">
        <v>75</v>
      </c>
      <c r="G266" s="15">
        <v>46087</v>
      </c>
      <c r="H266" s="15">
        <v>46091</v>
      </c>
      <c r="I266" s="14">
        <v>4</v>
      </c>
      <c r="J266" s="16">
        <v>8458.48</v>
      </c>
      <c r="K266" s="15">
        <v>45971</v>
      </c>
      <c r="L266" s="28" t="s">
        <v>31</v>
      </c>
    </row>
    <row r="267" spans="1:12" x14ac:dyDescent="0.3">
      <c r="A267" s="27" t="s">
        <v>102</v>
      </c>
      <c r="B267" s="14" t="s">
        <v>77</v>
      </c>
      <c r="C267" s="9">
        <v>52716.32</v>
      </c>
      <c r="D267" s="9"/>
      <c r="E267" s="9">
        <v>52716.32</v>
      </c>
      <c r="F267" s="14" t="s">
        <v>75</v>
      </c>
      <c r="G267" s="15">
        <v>46087</v>
      </c>
      <c r="H267" s="15">
        <v>46095</v>
      </c>
      <c r="I267" s="14">
        <v>8</v>
      </c>
      <c r="J267" s="16">
        <v>21202.959999999999</v>
      </c>
      <c r="K267" s="15">
        <v>45791</v>
      </c>
      <c r="L267" s="28" t="s">
        <v>2</v>
      </c>
    </row>
    <row r="268" spans="1:12" x14ac:dyDescent="0.3">
      <c r="A268" s="27" t="s">
        <v>102</v>
      </c>
      <c r="B268" s="14" t="s">
        <v>77</v>
      </c>
      <c r="C268" s="9">
        <v>37768</v>
      </c>
      <c r="D268" s="9"/>
      <c r="E268" s="9">
        <v>37768</v>
      </c>
      <c r="F268" s="14" t="s">
        <v>75</v>
      </c>
      <c r="G268" s="15">
        <v>46088</v>
      </c>
      <c r="H268" s="15">
        <v>46094</v>
      </c>
      <c r="I268" s="14">
        <v>6</v>
      </c>
      <c r="J268" s="16">
        <v>16876.439999999999</v>
      </c>
      <c r="K268" s="15">
        <v>45905</v>
      </c>
      <c r="L268" s="28" t="s">
        <v>2</v>
      </c>
    </row>
    <row r="269" spans="1:12" x14ac:dyDescent="0.3">
      <c r="A269" s="27" t="s">
        <v>102</v>
      </c>
      <c r="B269" s="14" t="s">
        <v>77</v>
      </c>
      <c r="C269" s="9">
        <v>0</v>
      </c>
      <c r="D269" s="9"/>
      <c r="E269" s="9">
        <v>0</v>
      </c>
      <c r="F269" s="14" t="s">
        <v>73</v>
      </c>
      <c r="G269" s="15">
        <v>46088</v>
      </c>
      <c r="H269" s="15">
        <v>46095</v>
      </c>
      <c r="I269" s="14">
        <v>7</v>
      </c>
      <c r="J269" s="16">
        <v>0</v>
      </c>
      <c r="K269" s="15">
        <v>45815</v>
      </c>
      <c r="L269" s="28" t="s">
        <v>2</v>
      </c>
    </row>
    <row r="270" spans="1:12" x14ac:dyDescent="0.3">
      <c r="A270" s="27" t="s">
        <v>102</v>
      </c>
      <c r="B270" s="14" t="s">
        <v>77</v>
      </c>
      <c r="C270" s="9">
        <v>22378.799999999999</v>
      </c>
      <c r="D270" s="9"/>
      <c r="E270" s="9">
        <v>22378.799999999999</v>
      </c>
      <c r="F270" s="14" t="s">
        <v>75</v>
      </c>
      <c r="G270" s="15">
        <v>46088</v>
      </c>
      <c r="H270" s="15">
        <v>46093</v>
      </c>
      <c r="I270" s="14">
        <v>5</v>
      </c>
      <c r="J270" s="16">
        <v>12548.55</v>
      </c>
      <c r="K270" s="15">
        <v>45904</v>
      </c>
      <c r="L270" s="28" t="s">
        <v>2</v>
      </c>
    </row>
    <row r="271" spans="1:12" x14ac:dyDescent="0.3">
      <c r="A271" s="27" t="s">
        <v>102</v>
      </c>
      <c r="B271" s="14" t="s">
        <v>77</v>
      </c>
      <c r="C271" s="9">
        <v>35254.400000000001</v>
      </c>
      <c r="D271" s="9"/>
      <c r="E271" s="9">
        <v>35254.400000000001</v>
      </c>
      <c r="F271" s="14" t="s">
        <v>75</v>
      </c>
      <c r="G271" s="15">
        <v>46090</v>
      </c>
      <c r="H271" s="15">
        <v>46097</v>
      </c>
      <c r="I271" s="14">
        <v>7</v>
      </c>
      <c r="J271" s="16">
        <v>20239.66</v>
      </c>
      <c r="K271" s="15">
        <v>45863</v>
      </c>
      <c r="L271" s="28" t="s">
        <v>27</v>
      </c>
    </row>
    <row r="272" spans="1:12" x14ac:dyDescent="0.3">
      <c r="A272" s="27" t="s">
        <v>102</v>
      </c>
      <c r="B272" s="14" t="s">
        <v>77</v>
      </c>
      <c r="C272" s="11">
        <v>30340</v>
      </c>
      <c r="D272" s="9"/>
      <c r="E272" s="11">
        <v>30340</v>
      </c>
      <c r="F272" s="14" t="s">
        <v>75</v>
      </c>
      <c r="G272" s="15">
        <v>46090</v>
      </c>
      <c r="H272" s="15">
        <v>46094</v>
      </c>
      <c r="I272" s="14">
        <v>4</v>
      </c>
      <c r="J272" s="16">
        <v>5490.27</v>
      </c>
      <c r="K272" s="15">
        <v>45995</v>
      </c>
      <c r="L272" s="28" t="s">
        <v>14</v>
      </c>
    </row>
    <row r="273" spans="1:12" x14ac:dyDescent="0.3">
      <c r="A273" s="27" t="s">
        <v>102</v>
      </c>
      <c r="B273" s="14" t="s">
        <v>77</v>
      </c>
      <c r="C273" s="9">
        <v>10972</v>
      </c>
      <c r="D273" s="9"/>
      <c r="E273" s="9">
        <v>10972</v>
      </c>
      <c r="F273" s="14" t="s">
        <v>75</v>
      </c>
      <c r="G273" s="15">
        <v>46092</v>
      </c>
      <c r="H273" s="15">
        <v>46096</v>
      </c>
      <c r="I273" s="14">
        <v>4</v>
      </c>
      <c r="J273" s="16">
        <v>6910.88</v>
      </c>
      <c r="K273" s="15">
        <v>45991</v>
      </c>
      <c r="L273" s="28" t="s">
        <v>2</v>
      </c>
    </row>
    <row r="274" spans="1:12" x14ac:dyDescent="0.3">
      <c r="A274" s="27" t="s">
        <v>102</v>
      </c>
      <c r="B274" s="14" t="s">
        <v>77</v>
      </c>
      <c r="C274" s="9">
        <v>2600</v>
      </c>
      <c r="D274" s="9"/>
      <c r="E274" s="9">
        <v>2600</v>
      </c>
      <c r="F274" s="14" t="s">
        <v>82</v>
      </c>
      <c r="G274" s="15">
        <v>46092</v>
      </c>
      <c r="H274" s="15">
        <v>46097</v>
      </c>
      <c r="I274" s="14">
        <v>5</v>
      </c>
      <c r="J274" s="16">
        <v>0</v>
      </c>
      <c r="K274" s="15">
        <v>45995</v>
      </c>
      <c r="L274" s="28" t="s">
        <v>24</v>
      </c>
    </row>
    <row r="275" spans="1:12" x14ac:dyDescent="0.3">
      <c r="A275" s="27" t="s">
        <v>102</v>
      </c>
      <c r="B275" s="14" t="s">
        <v>77</v>
      </c>
      <c r="C275" s="9">
        <v>0</v>
      </c>
      <c r="D275" s="9"/>
      <c r="E275" s="9">
        <v>0</v>
      </c>
      <c r="F275" s="14" t="s">
        <v>73</v>
      </c>
      <c r="G275" s="15">
        <v>46094</v>
      </c>
      <c r="H275" s="15">
        <v>46100</v>
      </c>
      <c r="I275" s="14">
        <v>6</v>
      </c>
      <c r="J275" s="16">
        <v>0</v>
      </c>
      <c r="K275" s="15">
        <v>45978</v>
      </c>
      <c r="L275" s="28" t="s">
        <v>33</v>
      </c>
    </row>
    <row r="276" spans="1:12" x14ac:dyDescent="0.3">
      <c r="A276" s="27" t="s">
        <v>102</v>
      </c>
      <c r="B276" s="14" t="s">
        <v>77</v>
      </c>
      <c r="C276" s="9">
        <v>24296</v>
      </c>
      <c r="D276" s="9"/>
      <c r="E276" s="9">
        <v>24296</v>
      </c>
      <c r="F276" s="14" t="s">
        <v>75</v>
      </c>
      <c r="G276" s="15">
        <v>46094</v>
      </c>
      <c r="H276" s="15">
        <v>46098</v>
      </c>
      <c r="I276" s="14">
        <v>4</v>
      </c>
      <c r="J276" s="16">
        <v>8609.16</v>
      </c>
      <c r="K276" s="15">
        <v>45995</v>
      </c>
      <c r="L276" s="28" t="s">
        <v>14</v>
      </c>
    </row>
    <row r="277" spans="1:12" x14ac:dyDescent="0.3">
      <c r="A277" s="27" t="s">
        <v>102</v>
      </c>
      <c r="B277" s="14" t="s">
        <v>77</v>
      </c>
      <c r="C277" s="9">
        <v>325</v>
      </c>
      <c r="D277" s="9"/>
      <c r="E277" s="9">
        <v>325</v>
      </c>
      <c r="F277" s="14" t="s">
        <v>82</v>
      </c>
      <c r="G277" s="15">
        <v>46095</v>
      </c>
      <c r="H277" s="15">
        <v>46097</v>
      </c>
      <c r="I277" s="14">
        <v>2</v>
      </c>
      <c r="J277" s="16">
        <v>0</v>
      </c>
      <c r="K277" s="15">
        <v>45968</v>
      </c>
      <c r="L277" s="28" t="s">
        <v>15</v>
      </c>
    </row>
    <row r="278" spans="1:12" x14ac:dyDescent="0.3">
      <c r="A278" s="27" t="s">
        <v>102</v>
      </c>
      <c r="B278" s="14" t="s">
        <v>77</v>
      </c>
      <c r="C278" s="9">
        <v>19500</v>
      </c>
      <c r="D278" s="9">
        <v>4875</v>
      </c>
      <c r="E278" s="9">
        <v>14625</v>
      </c>
      <c r="F278" s="14" t="s">
        <v>72</v>
      </c>
      <c r="G278" s="15">
        <v>46095</v>
      </c>
      <c r="H278" s="15">
        <v>46100</v>
      </c>
      <c r="I278" s="14">
        <v>5</v>
      </c>
      <c r="J278" s="16">
        <v>9447.5</v>
      </c>
      <c r="K278" s="15">
        <v>45984</v>
      </c>
      <c r="L278" s="28" t="s">
        <v>8</v>
      </c>
    </row>
    <row r="279" spans="1:12" x14ac:dyDescent="0.3">
      <c r="A279" s="27" t="s">
        <v>102</v>
      </c>
      <c r="B279" s="14" t="s">
        <v>77</v>
      </c>
      <c r="C279" s="9">
        <v>34717.75</v>
      </c>
      <c r="D279" s="9">
        <v>34717.75</v>
      </c>
      <c r="E279" s="9"/>
      <c r="F279" s="14" t="s">
        <v>70</v>
      </c>
      <c r="G279" s="15">
        <v>46095</v>
      </c>
      <c r="H279" s="15">
        <v>46102</v>
      </c>
      <c r="I279" s="14">
        <v>7</v>
      </c>
      <c r="J279" s="16">
        <v>23687.23</v>
      </c>
      <c r="K279" s="15">
        <v>45703</v>
      </c>
      <c r="L279" s="28" t="s">
        <v>15</v>
      </c>
    </row>
    <row r="280" spans="1:12" x14ac:dyDescent="0.3">
      <c r="A280" s="27" t="s">
        <v>102</v>
      </c>
      <c r="B280" s="14" t="s">
        <v>77</v>
      </c>
      <c r="C280" s="9">
        <v>9564</v>
      </c>
      <c r="D280" s="9"/>
      <c r="E280" s="9">
        <v>9564</v>
      </c>
      <c r="F280" s="14" t="s">
        <v>75</v>
      </c>
      <c r="G280" s="15">
        <v>46095</v>
      </c>
      <c r="H280" s="15">
        <v>46098</v>
      </c>
      <c r="I280" s="14">
        <v>3</v>
      </c>
      <c r="J280" s="16">
        <v>5219.79</v>
      </c>
      <c r="K280" s="15">
        <v>45924</v>
      </c>
      <c r="L280" s="28" t="s">
        <v>9</v>
      </c>
    </row>
    <row r="281" spans="1:12" x14ac:dyDescent="0.3">
      <c r="A281" s="27" t="s">
        <v>102</v>
      </c>
      <c r="B281" s="14" t="s">
        <v>77</v>
      </c>
      <c r="C281" s="9">
        <v>14568</v>
      </c>
      <c r="D281" s="9">
        <v>7737.51</v>
      </c>
      <c r="E281" s="9">
        <v>6830.49</v>
      </c>
      <c r="F281" s="14" t="s">
        <v>72</v>
      </c>
      <c r="G281" s="15">
        <v>46095</v>
      </c>
      <c r="H281" s="15">
        <v>46098</v>
      </c>
      <c r="I281" s="14">
        <v>3</v>
      </c>
      <c r="J281" s="16">
        <v>9202.7999999999993</v>
      </c>
      <c r="K281" s="15">
        <v>45773</v>
      </c>
      <c r="L281" s="28" t="s">
        <v>16</v>
      </c>
    </row>
    <row r="282" spans="1:12" x14ac:dyDescent="0.3">
      <c r="A282" s="27" t="s">
        <v>102</v>
      </c>
      <c r="B282" s="14" t="s">
        <v>77</v>
      </c>
      <c r="C282" s="9">
        <v>96377.45</v>
      </c>
      <c r="D282" s="9"/>
      <c r="E282" s="9">
        <v>96377.45</v>
      </c>
      <c r="F282" s="14" t="s">
        <v>75</v>
      </c>
      <c r="G282" s="15">
        <v>46095</v>
      </c>
      <c r="H282" s="15">
        <v>46102</v>
      </c>
      <c r="I282" s="14">
        <v>7</v>
      </c>
      <c r="J282" s="16">
        <v>32533.9</v>
      </c>
      <c r="K282" s="15">
        <v>45791</v>
      </c>
      <c r="L282" s="28" t="s">
        <v>2</v>
      </c>
    </row>
    <row r="283" spans="1:12" x14ac:dyDescent="0.3">
      <c r="A283" s="27" t="s">
        <v>102</v>
      </c>
      <c r="B283" s="14" t="s">
        <v>77</v>
      </c>
      <c r="C283" s="9">
        <v>4550</v>
      </c>
      <c r="D283" s="9"/>
      <c r="E283" s="9">
        <v>4550</v>
      </c>
      <c r="F283" s="14" t="s">
        <v>82</v>
      </c>
      <c r="G283" s="15">
        <v>46096</v>
      </c>
      <c r="H283" s="15">
        <v>46101</v>
      </c>
      <c r="I283" s="14">
        <v>5</v>
      </c>
      <c r="J283" s="16">
        <v>0</v>
      </c>
      <c r="K283" s="15">
        <v>45928</v>
      </c>
      <c r="L283" s="28" t="s">
        <v>18</v>
      </c>
    </row>
    <row r="284" spans="1:12" x14ac:dyDescent="0.3">
      <c r="A284" s="27" t="s">
        <v>102</v>
      </c>
      <c r="B284" s="14" t="s">
        <v>77</v>
      </c>
      <c r="C284" s="9">
        <v>26789.25</v>
      </c>
      <c r="D284" s="9">
        <v>4784.8</v>
      </c>
      <c r="E284" s="9">
        <v>22004.45</v>
      </c>
      <c r="F284" s="14" t="s">
        <v>72</v>
      </c>
      <c r="G284" s="15">
        <v>46096</v>
      </c>
      <c r="H284" s="15">
        <v>46101</v>
      </c>
      <c r="I284" s="14">
        <v>5</v>
      </c>
      <c r="J284" s="16">
        <v>13621.2</v>
      </c>
      <c r="K284" s="15">
        <v>45972</v>
      </c>
      <c r="L284" s="28" t="s">
        <v>15</v>
      </c>
    </row>
    <row r="285" spans="1:12" x14ac:dyDescent="0.3">
      <c r="A285" s="27" t="s">
        <v>102</v>
      </c>
      <c r="B285" s="14" t="s">
        <v>77</v>
      </c>
      <c r="C285" s="9"/>
      <c r="D285" s="9"/>
      <c r="E285" s="9"/>
      <c r="F285" s="14" t="s">
        <v>73</v>
      </c>
      <c r="G285" s="15">
        <v>46096</v>
      </c>
      <c r="H285" s="15">
        <v>46098</v>
      </c>
      <c r="I285" s="14">
        <v>2</v>
      </c>
      <c r="J285" s="16">
        <v>0</v>
      </c>
      <c r="K285" s="15">
        <v>45799</v>
      </c>
      <c r="L285" s="28" t="s">
        <v>15</v>
      </c>
    </row>
    <row r="286" spans="1:12" x14ac:dyDescent="0.3">
      <c r="A286" s="27" t="s">
        <v>102</v>
      </c>
      <c r="B286" s="14" t="s">
        <v>77</v>
      </c>
      <c r="C286" s="9">
        <v>49260</v>
      </c>
      <c r="D286" s="9"/>
      <c r="E286" s="9">
        <v>49260</v>
      </c>
      <c r="F286" s="14" t="s">
        <v>75</v>
      </c>
      <c r="G286" s="15">
        <v>46096</v>
      </c>
      <c r="H286" s="15">
        <v>46101</v>
      </c>
      <c r="I286" s="14">
        <v>5</v>
      </c>
      <c r="J286" s="16">
        <v>32448.1</v>
      </c>
      <c r="K286" s="15">
        <v>45828</v>
      </c>
      <c r="L286" s="28" t="s">
        <v>15</v>
      </c>
    </row>
    <row r="287" spans="1:12" x14ac:dyDescent="0.3">
      <c r="A287" s="27" t="s">
        <v>102</v>
      </c>
      <c r="B287" s="14" t="s">
        <v>77</v>
      </c>
      <c r="C287" s="9">
        <v>19997.599999999999</v>
      </c>
      <c r="D287" s="9">
        <v>4349.3999999999996</v>
      </c>
      <c r="E287" s="9">
        <v>15648.2</v>
      </c>
      <c r="F287" s="14" t="s">
        <v>72</v>
      </c>
      <c r="G287" s="15">
        <v>46096</v>
      </c>
      <c r="H287" s="15">
        <v>46101</v>
      </c>
      <c r="I287" s="14">
        <v>5</v>
      </c>
      <c r="J287" s="16">
        <v>12688.95</v>
      </c>
      <c r="K287" s="15">
        <v>45971</v>
      </c>
      <c r="L287" s="28" t="s">
        <v>15</v>
      </c>
    </row>
    <row r="288" spans="1:12" x14ac:dyDescent="0.3">
      <c r="A288" s="27" t="s">
        <v>102</v>
      </c>
      <c r="B288" s="14" t="s">
        <v>77</v>
      </c>
      <c r="C288" s="9"/>
      <c r="D288" s="9"/>
      <c r="E288" s="9"/>
      <c r="F288" s="14" t="s">
        <v>73</v>
      </c>
      <c r="G288" s="15">
        <v>46097</v>
      </c>
      <c r="H288" s="15">
        <v>46099</v>
      </c>
      <c r="I288" s="14">
        <v>2</v>
      </c>
      <c r="J288" s="16">
        <v>0</v>
      </c>
      <c r="K288" s="15">
        <v>45951</v>
      </c>
      <c r="L288" s="28" t="s">
        <v>31</v>
      </c>
    </row>
    <row r="289" spans="1:12" x14ac:dyDescent="0.3">
      <c r="A289" s="27" t="s">
        <v>102</v>
      </c>
      <c r="B289" s="14" t="s">
        <v>77</v>
      </c>
      <c r="C289" s="9">
        <v>39447.51</v>
      </c>
      <c r="D289" s="9">
        <v>7579.37</v>
      </c>
      <c r="E289" s="9">
        <v>31868.11</v>
      </c>
      <c r="F289" s="14" t="s">
        <v>72</v>
      </c>
      <c r="G289" s="15">
        <v>46097</v>
      </c>
      <c r="H289" s="15">
        <v>46101</v>
      </c>
      <c r="I289" s="14">
        <v>4</v>
      </c>
      <c r="J289" s="16">
        <v>23313.08</v>
      </c>
      <c r="K289" s="15">
        <v>45951</v>
      </c>
      <c r="L289" s="28" t="s">
        <v>15</v>
      </c>
    </row>
    <row r="290" spans="1:12" x14ac:dyDescent="0.3">
      <c r="A290" s="27" t="s">
        <v>102</v>
      </c>
      <c r="B290" s="14" t="s">
        <v>77</v>
      </c>
      <c r="C290" s="9">
        <v>38133.17</v>
      </c>
      <c r="D290" s="9">
        <v>1120</v>
      </c>
      <c r="E290" s="9">
        <v>37013.17</v>
      </c>
      <c r="F290" s="14" t="s">
        <v>72</v>
      </c>
      <c r="G290" s="15">
        <v>46097</v>
      </c>
      <c r="H290" s="15">
        <v>46104</v>
      </c>
      <c r="I290" s="14">
        <v>7</v>
      </c>
      <c r="J290" s="16">
        <v>25438.91</v>
      </c>
      <c r="K290" s="15">
        <v>45801</v>
      </c>
      <c r="L290" s="28" t="s">
        <v>2</v>
      </c>
    </row>
    <row r="291" spans="1:12" x14ac:dyDescent="0.3">
      <c r="A291" s="27" t="s">
        <v>102</v>
      </c>
      <c r="B291" s="14" t="s">
        <v>77</v>
      </c>
      <c r="C291" s="9"/>
      <c r="D291" s="9"/>
      <c r="E291" s="9"/>
      <c r="F291" s="14" t="s">
        <v>73</v>
      </c>
      <c r="G291" s="15">
        <v>46097</v>
      </c>
      <c r="H291" s="15">
        <v>46099</v>
      </c>
      <c r="I291" s="14">
        <v>2</v>
      </c>
      <c r="J291" s="16">
        <v>0</v>
      </c>
      <c r="K291" s="15">
        <v>45951</v>
      </c>
      <c r="L291" s="28" t="s">
        <v>31</v>
      </c>
    </row>
    <row r="292" spans="1:12" x14ac:dyDescent="0.3">
      <c r="A292" s="27" t="s">
        <v>102</v>
      </c>
      <c r="B292" s="14" t="s">
        <v>77</v>
      </c>
      <c r="C292" s="9"/>
      <c r="D292" s="9"/>
      <c r="E292" s="9"/>
      <c r="F292" s="14" t="s">
        <v>73</v>
      </c>
      <c r="G292" s="15">
        <v>46099</v>
      </c>
      <c r="H292" s="15">
        <v>46101</v>
      </c>
      <c r="I292" s="14">
        <v>2</v>
      </c>
      <c r="J292" s="16">
        <v>0</v>
      </c>
      <c r="K292" s="15">
        <v>45961</v>
      </c>
      <c r="L292" s="28" t="s">
        <v>31</v>
      </c>
    </row>
    <row r="293" spans="1:12" x14ac:dyDescent="0.3">
      <c r="A293" s="27" t="s">
        <v>102</v>
      </c>
      <c r="B293" s="14" t="s">
        <v>77</v>
      </c>
      <c r="C293" s="9">
        <v>10168.08</v>
      </c>
      <c r="D293" s="9"/>
      <c r="E293" s="9">
        <v>10168.08</v>
      </c>
      <c r="F293" s="14" t="s">
        <v>80</v>
      </c>
      <c r="G293" s="15">
        <v>46100</v>
      </c>
      <c r="H293" s="15">
        <v>46104</v>
      </c>
      <c r="I293" s="14">
        <v>4</v>
      </c>
      <c r="J293" s="16">
        <v>5540.36</v>
      </c>
      <c r="K293" s="15">
        <v>45987</v>
      </c>
      <c r="L293" s="28" t="s">
        <v>9</v>
      </c>
    </row>
    <row r="294" spans="1:12" x14ac:dyDescent="0.3">
      <c r="A294" s="27" t="s">
        <v>102</v>
      </c>
      <c r="B294" s="14" t="s">
        <v>77</v>
      </c>
      <c r="C294" s="9">
        <v>10168.08</v>
      </c>
      <c r="D294" s="9"/>
      <c r="E294" s="9">
        <v>10168.08</v>
      </c>
      <c r="F294" s="14" t="s">
        <v>80</v>
      </c>
      <c r="G294" s="15">
        <v>46100</v>
      </c>
      <c r="H294" s="15">
        <v>46104</v>
      </c>
      <c r="I294" s="14">
        <v>4</v>
      </c>
      <c r="J294" s="16">
        <v>5540.36</v>
      </c>
      <c r="K294" s="15">
        <v>45987</v>
      </c>
      <c r="L294" s="28" t="s">
        <v>9</v>
      </c>
    </row>
    <row r="295" spans="1:12" x14ac:dyDescent="0.3">
      <c r="A295" s="27" t="s">
        <v>102</v>
      </c>
      <c r="B295" s="14" t="s">
        <v>77</v>
      </c>
      <c r="C295" s="9">
        <v>13366</v>
      </c>
      <c r="D295" s="9"/>
      <c r="E295" s="9">
        <v>13366</v>
      </c>
      <c r="F295" s="14" t="s">
        <v>75</v>
      </c>
      <c r="G295" s="15">
        <v>46100</v>
      </c>
      <c r="H295" s="15">
        <v>46104</v>
      </c>
      <c r="I295" s="14">
        <v>4</v>
      </c>
      <c r="J295" s="16">
        <v>7211.52</v>
      </c>
      <c r="K295" s="15">
        <v>45979</v>
      </c>
      <c r="L295" s="28" t="s">
        <v>38</v>
      </c>
    </row>
    <row r="296" spans="1:12" x14ac:dyDescent="0.3">
      <c r="A296" s="27" t="s">
        <v>102</v>
      </c>
      <c r="B296" s="14" t="s">
        <v>77</v>
      </c>
      <c r="C296" s="9"/>
      <c r="D296" s="9"/>
      <c r="E296" s="9"/>
      <c r="F296" s="14"/>
      <c r="G296" s="10">
        <v>46102</v>
      </c>
      <c r="H296" s="10">
        <v>46106</v>
      </c>
      <c r="I296" s="8">
        <v>4</v>
      </c>
      <c r="J296" s="8">
        <v>9554.34</v>
      </c>
      <c r="K296" s="15"/>
      <c r="L296" s="28"/>
    </row>
    <row r="297" spans="1:12" x14ac:dyDescent="0.3">
      <c r="A297" s="27" t="s">
        <v>102</v>
      </c>
      <c r="B297" s="14" t="s">
        <v>77</v>
      </c>
      <c r="C297" s="9">
        <v>143520</v>
      </c>
      <c r="D297" s="9"/>
      <c r="E297" s="9">
        <v>143520</v>
      </c>
      <c r="F297" s="14" t="s">
        <v>75</v>
      </c>
      <c r="G297" s="15">
        <v>46102</v>
      </c>
      <c r="H297" s="15">
        <v>46109</v>
      </c>
      <c r="I297" s="14">
        <v>7</v>
      </c>
      <c r="J297" s="16">
        <v>0</v>
      </c>
      <c r="K297" s="15">
        <v>45878</v>
      </c>
      <c r="L297" s="28" t="s">
        <v>16</v>
      </c>
    </row>
    <row r="298" spans="1:12" x14ac:dyDescent="0.3">
      <c r="A298" s="27" t="s">
        <v>102</v>
      </c>
      <c r="B298" s="14" t="s">
        <v>77</v>
      </c>
      <c r="C298" s="9">
        <v>26847</v>
      </c>
      <c r="D298" s="9">
        <v>6711.75</v>
      </c>
      <c r="E298" s="9">
        <v>20135.25</v>
      </c>
      <c r="F298" s="14" t="s">
        <v>72</v>
      </c>
      <c r="G298" s="15">
        <v>46102</v>
      </c>
      <c r="H298" s="15">
        <v>46109</v>
      </c>
      <c r="I298" s="14">
        <v>7</v>
      </c>
      <c r="J298" s="16">
        <v>14236.11</v>
      </c>
      <c r="K298" s="15">
        <v>45976</v>
      </c>
      <c r="L298" s="28" t="s">
        <v>13</v>
      </c>
    </row>
    <row r="299" spans="1:12" x14ac:dyDescent="0.3">
      <c r="A299" s="27" t="s">
        <v>102</v>
      </c>
      <c r="B299" s="14" t="s">
        <v>77</v>
      </c>
      <c r="C299" s="9">
        <v>17920</v>
      </c>
      <c r="D299" s="9"/>
      <c r="E299" s="9">
        <v>17920</v>
      </c>
      <c r="F299" s="14" t="s">
        <v>75</v>
      </c>
      <c r="G299" s="15">
        <v>46102</v>
      </c>
      <c r="H299" s="15">
        <v>46107</v>
      </c>
      <c r="I299" s="14">
        <v>5</v>
      </c>
      <c r="J299" s="16">
        <v>9119.35</v>
      </c>
      <c r="K299" s="15">
        <v>45980</v>
      </c>
      <c r="L299" s="28" t="s">
        <v>2</v>
      </c>
    </row>
    <row r="300" spans="1:12" x14ac:dyDescent="0.3">
      <c r="A300" s="27" t="s">
        <v>102</v>
      </c>
      <c r="B300" s="14" t="s">
        <v>77</v>
      </c>
      <c r="C300" s="9">
        <v>22500</v>
      </c>
      <c r="D300" s="9"/>
      <c r="E300" s="9">
        <v>22500</v>
      </c>
      <c r="F300" s="14" t="s">
        <v>75</v>
      </c>
      <c r="G300" s="15">
        <v>46102</v>
      </c>
      <c r="H300" s="15">
        <v>46111</v>
      </c>
      <c r="I300" s="14">
        <v>9</v>
      </c>
      <c r="J300" s="16">
        <v>12545.46</v>
      </c>
      <c r="K300" s="15">
        <v>45998</v>
      </c>
      <c r="L300" s="28" t="s">
        <v>17</v>
      </c>
    </row>
    <row r="301" spans="1:12" x14ac:dyDescent="0.3">
      <c r="A301" s="27" t="s">
        <v>102</v>
      </c>
      <c r="B301" s="14" t="s">
        <v>77</v>
      </c>
      <c r="C301" s="9">
        <v>25026</v>
      </c>
      <c r="D301" s="9"/>
      <c r="E301" s="9">
        <v>25026</v>
      </c>
      <c r="F301" s="14" t="s">
        <v>75</v>
      </c>
      <c r="G301" s="15">
        <v>46103</v>
      </c>
      <c r="H301" s="15">
        <v>46110</v>
      </c>
      <c r="I301" s="14">
        <v>7</v>
      </c>
      <c r="J301" s="16">
        <v>14743.61</v>
      </c>
      <c r="K301" s="15">
        <v>45988</v>
      </c>
      <c r="L301" s="28" t="s">
        <v>16</v>
      </c>
    </row>
    <row r="302" spans="1:12" x14ac:dyDescent="0.3">
      <c r="A302" s="27" t="s">
        <v>102</v>
      </c>
      <c r="B302" s="14" t="s">
        <v>77</v>
      </c>
      <c r="C302" s="9">
        <v>34504.410000000003</v>
      </c>
      <c r="D302" s="9"/>
      <c r="E302" s="9">
        <v>34504.410000000003</v>
      </c>
      <c r="F302" s="14" t="s">
        <v>75</v>
      </c>
      <c r="G302" s="15">
        <v>46103</v>
      </c>
      <c r="H302" s="15">
        <v>46109</v>
      </c>
      <c r="I302" s="14">
        <v>6</v>
      </c>
      <c r="J302" s="16">
        <v>25552.799999999999</v>
      </c>
      <c r="K302" s="15">
        <v>45791</v>
      </c>
      <c r="L302" s="28" t="s">
        <v>9</v>
      </c>
    </row>
    <row r="303" spans="1:12" x14ac:dyDescent="0.3">
      <c r="A303" s="27" t="s">
        <v>102</v>
      </c>
      <c r="B303" s="14" t="s">
        <v>77</v>
      </c>
      <c r="C303" s="9">
        <v>72365</v>
      </c>
      <c r="D303" s="9"/>
      <c r="E303" s="9">
        <v>72365</v>
      </c>
      <c r="F303" s="14" t="s">
        <v>75</v>
      </c>
      <c r="G303" s="15">
        <v>46104</v>
      </c>
      <c r="H303" s="15">
        <v>46109</v>
      </c>
      <c r="I303" s="14">
        <v>5</v>
      </c>
      <c r="J303" s="16">
        <v>35065.65</v>
      </c>
      <c r="K303" s="15">
        <v>45994</v>
      </c>
      <c r="L303" s="28" t="s">
        <v>43</v>
      </c>
    </row>
    <row r="304" spans="1:12" x14ac:dyDescent="0.3">
      <c r="A304" s="27" t="s">
        <v>102</v>
      </c>
      <c r="B304" s="14" t="s">
        <v>77</v>
      </c>
      <c r="C304" s="9"/>
      <c r="D304" s="9"/>
      <c r="E304" s="9"/>
      <c r="F304" s="14"/>
      <c r="G304" s="10">
        <v>46105</v>
      </c>
      <c r="H304" s="10">
        <v>46112</v>
      </c>
      <c r="I304" s="8">
        <v>7</v>
      </c>
      <c r="J304" s="8">
        <v>10695.17</v>
      </c>
      <c r="K304" s="15"/>
      <c r="L304" s="28"/>
    </row>
    <row r="305" spans="1:12" x14ac:dyDescent="0.3">
      <c r="A305" s="27" t="s">
        <v>102</v>
      </c>
      <c r="B305" s="14" t="s">
        <v>77</v>
      </c>
      <c r="C305" s="9">
        <v>25449.46</v>
      </c>
      <c r="D305" s="9"/>
      <c r="E305" s="9">
        <v>25449.46</v>
      </c>
      <c r="F305" s="14" t="s">
        <v>75</v>
      </c>
      <c r="G305" s="15">
        <v>46105</v>
      </c>
      <c r="H305" s="15">
        <v>46112</v>
      </c>
      <c r="I305" s="14">
        <v>7</v>
      </c>
      <c r="J305" s="16">
        <v>12386.11</v>
      </c>
      <c r="K305" s="15">
        <v>46001</v>
      </c>
      <c r="L305" s="28" t="s">
        <v>64</v>
      </c>
    </row>
    <row r="306" spans="1:12" x14ac:dyDescent="0.3">
      <c r="A306" s="27" t="s">
        <v>102</v>
      </c>
      <c r="B306" s="14" t="s">
        <v>77</v>
      </c>
      <c r="C306" s="9">
        <v>24018.34</v>
      </c>
      <c r="D306" s="9"/>
      <c r="E306" s="9">
        <v>24018.34</v>
      </c>
      <c r="F306" s="14" t="s">
        <v>80</v>
      </c>
      <c r="G306" s="15">
        <v>46105</v>
      </c>
      <c r="H306" s="15">
        <v>46112</v>
      </c>
      <c r="I306" s="14">
        <v>7</v>
      </c>
      <c r="J306" s="16">
        <v>14118.86</v>
      </c>
      <c r="K306" s="15">
        <v>45992</v>
      </c>
      <c r="L306" s="28" t="s">
        <v>15</v>
      </c>
    </row>
    <row r="307" spans="1:12" x14ac:dyDescent="0.3">
      <c r="A307" s="27" t="s">
        <v>102</v>
      </c>
      <c r="B307" s="14" t="s">
        <v>77</v>
      </c>
      <c r="C307" s="9">
        <v>18966</v>
      </c>
      <c r="D307" s="9">
        <v>4741.5</v>
      </c>
      <c r="E307" s="9">
        <v>14224.5</v>
      </c>
      <c r="F307" s="14" t="s">
        <v>72</v>
      </c>
      <c r="G307" s="15">
        <v>46106</v>
      </c>
      <c r="H307" s="15">
        <v>46112</v>
      </c>
      <c r="I307" s="14">
        <v>6</v>
      </c>
      <c r="J307" s="16">
        <v>13128.96</v>
      </c>
      <c r="K307" s="15">
        <v>45991</v>
      </c>
      <c r="L307" s="28" t="s">
        <v>43</v>
      </c>
    </row>
    <row r="308" spans="1:12" x14ac:dyDescent="0.3">
      <c r="A308" s="27" t="s">
        <v>102</v>
      </c>
      <c r="B308" s="14" t="s">
        <v>77</v>
      </c>
      <c r="C308" s="9">
        <v>40071.599999999999</v>
      </c>
      <c r="D308" s="9">
        <v>40071.599999999999</v>
      </c>
      <c r="E308" s="9"/>
      <c r="F308" s="14" t="s">
        <v>70</v>
      </c>
      <c r="G308" s="15">
        <v>46106</v>
      </c>
      <c r="H308" s="15">
        <v>46108</v>
      </c>
      <c r="I308" s="14">
        <v>2</v>
      </c>
      <c r="J308" s="16">
        <v>28697.8</v>
      </c>
      <c r="K308" s="15">
        <v>45710</v>
      </c>
      <c r="L308" s="28" t="s">
        <v>15</v>
      </c>
    </row>
    <row r="309" spans="1:12" x14ac:dyDescent="0.3">
      <c r="A309" s="27" t="s">
        <v>102</v>
      </c>
      <c r="B309" s="14" t="s">
        <v>77</v>
      </c>
      <c r="C309" s="9">
        <v>23822.15</v>
      </c>
      <c r="D309" s="9"/>
      <c r="E309" s="9">
        <v>23822.15</v>
      </c>
      <c r="F309" s="14" t="s">
        <v>75</v>
      </c>
      <c r="G309" s="15">
        <v>46108</v>
      </c>
      <c r="H309" s="15">
        <v>46111</v>
      </c>
      <c r="I309" s="14">
        <v>3</v>
      </c>
      <c r="J309" s="16">
        <v>15795.27</v>
      </c>
      <c r="K309" s="15">
        <v>45767</v>
      </c>
      <c r="L309" s="28" t="s">
        <v>16</v>
      </c>
    </row>
    <row r="310" spans="1:12" x14ac:dyDescent="0.3">
      <c r="A310" s="27" t="s">
        <v>102</v>
      </c>
      <c r="B310" s="14" t="s">
        <v>77</v>
      </c>
      <c r="C310" s="9">
        <v>23136</v>
      </c>
      <c r="D310" s="9"/>
      <c r="E310" s="9">
        <v>23136</v>
      </c>
      <c r="F310" s="14" t="s">
        <v>75</v>
      </c>
      <c r="G310" s="15">
        <v>46109</v>
      </c>
      <c r="H310" s="15">
        <v>46116</v>
      </c>
      <c r="I310" s="14">
        <v>7</v>
      </c>
      <c r="J310" s="16">
        <v>12455.31</v>
      </c>
      <c r="K310" s="15">
        <v>45834</v>
      </c>
      <c r="L310" s="28" t="s">
        <v>2</v>
      </c>
    </row>
    <row r="311" spans="1:12" x14ac:dyDescent="0.3">
      <c r="A311" s="27" t="s">
        <v>102</v>
      </c>
      <c r="B311" s="14" t="s">
        <v>77</v>
      </c>
      <c r="C311" s="9">
        <v>624</v>
      </c>
      <c r="D311" s="9"/>
      <c r="E311" s="9">
        <v>624</v>
      </c>
      <c r="F311" s="14" t="s">
        <v>82</v>
      </c>
      <c r="G311" s="15">
        <v>46109</v>
      </c>
      <c r="H311" s="15">
        <v>46122</v>
      </c>
      <c r="I311" s="14">
        <v>13</v>
      </c>
      <c r="J311" s="16">
        <v>0</v>
      </c>
      <c r="K311" s="15">
        <v>45893</v>
      </c>
      <c r="L311" s="28" t="s">
        <v>2</v>
      </c>
    </row>
    <row r="312" spans="1:12" x14ac:dyDescent="0.3">
      <c r="A312" s="27" t="s">
        <v>102</v>
      </c>
      <c r="B312" s="14" t="s">
        <v>77</v>
      </c>
      <c r="C312" s="9">
        <v>360</v>
      </c>
      <c r="D312" s="9"/>
      <c r="E312" s="9">
        <v>360</v>
      </c>
      <c r="F312" s="14" t="s">
        <v>82</v>
      </c>
      <c r="G312" s="15">
        <v>46109</v>
      </c>
      <c r="H312" s="15">
        <v>46119</v>
      </c>
      <c r="I312" s="14">
        <v>10</v>
      </c>
      <c r="J312" s="16">
        <v>0</v>
      </c>
      <c r="K312" s="15">
        <v>45905</v>
      </c>
      <c r="L312" s="28" t="s">
        <v>2</v>
      </c>
    </row>
    <row r="313" spans="1:12" x14ac:dyDescent="0.3">
      <c r="A313" s="27" t="s">
        <v>102</v>
      </c>
      <c r="B313" s="14" t="s">
        <v>77</v>
      </c>
      <c r="C313" s="9">
        <v>67019.94</v>
      </c>
      <c r="D313" s="9">
        <v>16754.98</v>
      </c>
      <c r="E313" s="9">
        <v>50264.959999999999</v>
      </c>
      <c r="F313" s="14" t="s">
        <v>72</v>
      </c>
      <c r="G313" s="15">
        <v>46109</v>
      </c>
      <c r="H313" s="15">
        <v>46124</v>
      </c>
      <c r="I313" s="14">
        <v>15</v>
      </c>
      <c r="J313" s="16">
        <v>41246.85</v>
      </c>
      <c r="K313" s="15">
        <v>45963</v>
      </c>
      <c r="L313" s="28" t="s">
        <v>6</v>
      </c>
    </row>
    <row r="314" spans="1:12" x14ac:dyDescent="0.3">
      <c r="A314" s="27" t="s">
        <v>102</v>
      </c>
      <c r="B314" s="14" t="s">
        <v>76</v>
      </c>
      <c r="C314" s="9">
        <v>45920</v>
      </c>
      <c r="D314" s="9">
        <v>45920</v>
      </c>
      <c r="E314" s="9"/>
      <c r="F314" s="14" t="s">
        <v>70</v>
      </c>
      <c r="G314" s="15">
        <v>46110</v>
      </c>
      <c r="H314" s="15">
        <v>46115</v>
      </c>
      <c r="I314" s="14">
        <v>5</v>
      </c>
      <c r="J314" s="16">
        <v>26483.31</v>
      </c>
      <c r="K314" s="15">
        <v>45831</v>
      </c>
      <c r="L314" s="28" t="s">
        <v>44</v>
      </c>
    </row>
    <row r="315" spans="1:12" x14ac:dyDescent="0.3">
      <c r="A315" s="27" t="s">
        <v>102</v>
      </c>
      <c r="B315" s="14" t="s">
        <v>76</v>
      </c>
      <c r="C315" s="9">
        <v>13428</v>
      </c>
      <c r="D315" s="9">
        <v>13428</v>
      </c>
      <c r="E315" s="9">
        <v>13428</v>
      </c>
      <c r="F315" s="14" t="s">
        <v>72</v>
      </c>
      <c r="G315" s="15">
        <v>46110</v>
      </c>
      <c r="H315" s="15">
        <v>46113</v>
      </c>
      <c r="I315" s="14">
        <v>3</v>
      </c>
      <c r="J315" s="16">
        <v>6172.5</v>
      </c>
      <c r="K315" s="15">
        <v>45436</v>
      </c>
      <c r="L315" s="28" t="s">
        <v>13</v>
      </c>
    </row>
    <row r="316" spans="1:12" x14ac:dyDescent="0.3">
      <c r="A316" s="27" t="s">
        <v>102</v>
      </c>
      <c r="B316" s="14" t="s">
        <v>76</v>
      </c>
      <c r="C316" s="9">
        <v>40483</v>
      </c>
      <c r="D316" s="9"/>
      <c r="E316" s="9">
        <v>40483</v>
      </c>
      <c r="F316" s="14" t="s">
        <v>75</v>
      </c>
      <c r="G316" s="15">
        <v>46110</v>
      </c>
      <c r="H316" s="15">
        <v>46113</v>
      </c>
      <c r="I316" s="14">
        <v>3</v>
      </c>
      <c r="J316" s="16">
        <v>29027.97</v>
      </c>
      <c r="K316" s="15">
        <v>45771</v>
      </c>
      <c r="L316" s="28" t="s">
        <v>13</v>
      </c>
    </row>
    <row r="317" spans="1:12" x14ac:dyDescent="0.3">
      <c r="A317" s="27" t="s">
        <v>102</v>
      </c>
      <c r="B317" s="14" t="s">
        <v>76</v>
      </c>
      <c r="C317" s="9">
        <v>32329</v>
      </c>
      <c r="D317" s="9"/>
      <c r="E317" s="9">
        <v>32329</v>
      </c>
      <c r="F317" s="14" t="s">
        <v>79</v>
      </c>
      <c r="G317" s="15">
        <v>46111</v>
      </c>
      <c r="H317" s="15">
        <v>46120</v>
      </c>
      <c r="I317" s="14">
        <v>9</v>
      </c>
      <c r="J317" s="16">
        <v>21153.87</v>
      </c>
      <c r="K317" s="15">
        <v>45967</v>
      </c>
      <c r="L317" s="28" t="s">
        <v>13</v>
      </c>
    </row>
    <row r="318" spans="1:12" x14ac:dyDescent="0.3">
      <c r="A318" s="27" t="s">
        <v>102</v>
      </c>
      <c r="B318" s="14" t="s">
        <v>76</v>
      </c>
      <c r="C318" s="9">
        <v>21688.9</v>
      </c>
      <c r="D318" s="9">
        <v>5422.22</v>
      </c>
      <c r="E318" s="9">
        <v>16266.68</v>
      </c>
      <c r="F318" s="14" t="s">
        <v>72</v>
      </c>
      <c r="G318" s="15">
        <v>46111</v>
      </c>
      <c r="H318" s="15">
        <v>46116</v>
      </c>
      <c r="I318" s="14">
        <v>5</v>
      </c>
      <c r="J318" s="16">
        <v>12590.75</v>
      </c>
      <c r="K318" s="15">
        <v>45976</v>
      </c>
      <c r="L318" s="28" t="s">
        <v>38</v>
      </c>
    </row>
    <row r="319" spans="1:12" x14ac:dyDescent="0.3">
      <c r="A319" s="27" t="s">
        <v>102</v>
      </c>
      <c r="B319" s="14" t="s">
        <v>76</v>
      </c>
      <c r="C319" s="9">
        <v>24904.46</v>
      </c>
      <c r="D319" s="9">
        <v>6226.11</v>
      </c>
      <c r="E319" s="9">
        <v>18678.349999999999</v>
      </c>
      <c r="F319" s="14" t="s">
        <v>72</v>
      </c>
      <c r="G319" s="15">
        <v>46111</v>
      </c>
      <c r="H319" s="15">
        <v>46118</v>
      </c>
      <c r="I319" s="14">
        <v>7</v>
      </c>
      <c r="J319" s="16">
        <v>17627.05</v>
      </c>
      <c r="K319" s="15">
        <v>45960</v>
      </c>
      <c r="L319" s="28" t="s">
        <v>9</v>
      </c>
    </row>
    <row r="320" spans="1:12" x14ac:dyDescent="0.3">
      <c r="A320" s="27" t="s">
        <v>102</v>
      </c>
      <c r="B320" s="14" t="s">
        <v>76</v>
      </c>
      <c r="C320" s="9">
        <v>31662.959999999999</v>
      </c>
      <c r="D320" s="9"/>
      <c r="E320" s="9">
        <v>31662.959999999999</v>
      </c>
      <c r="F320" s="14" t="s">
        <v>75</v>
      </c>
      <c r="G320" s="15">
        <v>46112</v>
      </c>
      <c r="H320" s="15">
        <v>46116</v>
      </c>
      <c r="I320" s="14">
        <v>4</v>
      </c>
      <c r="J320" s="16">
        <v>16682.68</v>
      </c>
      <c r="K320" s="15">
        <v>45860</v>
      </c>
      <c r="L320" s="28" t="s">
        <v>38</v>
      </c>
    </row>
    <row r="321" spans="1:12" x14ac:dyDescent="0.3">
      <c r="A321" s="27" t="s">
        <v>102</v>
      </c>
      <c r="B321" s="14" t="s">
        <v>76</v>
      </c>
      <c r="C321" s="9">
        <v>17877.25</v>
      </c>
      <c r="D321" s="9">
        <v>17877.25</v>
      </c>
      <c r="E321" s="9"/>
      <c r="F321" s="14" t="s">
        <v>70</v>
      </c>
      <c r="G321" s="15">
        <v>46114</v>
      </c>
      <c r="H321" s="15">
        <v>46117</v>
      </c>
      <c r="I321" s="14">
        <v>3</v>
      </c>
      <c r="J321" s="16">
        <v>8538.81</v>
      </c>
      <c r="K321" s="15">
        <v>45991</v>
      </c>
      <c r="L321" s="28" t="s">
        <v>41</v>
      </c>
    </row>
    <row r="322" spans="1:12" x14ac:dyDescent="0.3">
      <c r="A322" s="27" t="s">
        <v>102</v>
      </c>
      <c r="B322" s="14" t="s">
        <v>76</v>
      </c>
      <c r="C322" s="9">
        <v>28403.84</v>
      </c>
      <c r="D322" s="9"/>
      <c r="E322" s="9">
        <v>28403.84</v>
      </c>
      <c r="F322" s="14" t="s">
        <v>75</v>
      </c>
      <c r="G322" s="15">
        <v>46115</v>
      </c>
      <c r="H322" s="15">
        <v>46120</v>
      </c>
      <c r="I322" s="14">
        <v>5</v>
      </c>
      <c r="J322" s="16">
        <v>19103.95</v>
      </c>
      <c r="K322" s="15">
        <v>45905</v>
      </c>
      <c r="L322" s="28" t="s">
        <v>14</v>
      </c>
    </row>
    <row r="323" spans="1:12" x14ac:dyDescent="0.3">
      <c r="A323" s="27" t="s">
        <v>102</v>
      </c>
      <c r="B323" s="14" t="s">
        <v>76</v>
      </c>
      <c r="C323" s="9">
        <v>98323.28</v>
      </c>
      <c r="D323" s="9">
        <v>45600</v>
      </c>
      <c r="E323" s="9">
        <v>52723.28</v>
      </c>
      <c r="F323" s="14" t="s">
        <v>72</v>
      </c>
      <c r="G323" s="15">
        <v>46115</v>
      </c>
      <c r="H323" s="15">
        <v>46122</v>
      </c>
      <c r="I323" s="14">
        <v>7</v>
      </c>
      <c r="J323" s="16">
        <v>50609.93</v>
      </c>
      <c r="K323" s="15">
        <v>45680</v>
      </c>
      <c r="L323" s="28" t="s">
        <v>2</v>
      </c>
    </row>
    <row r="324" spans="1:12" x14ac:dyDescent="0.3">
      <c r="A324" s="27" t="s">
        <v>102</v>
      </c>
      <c r="B324" s="14" t="s">
        <v>76</v>
      </c>
      <c r="C324" s="9">
        <v>24499.98</v>
      </c>
      <c r="D324" s="9"/>
      <c r="E324" s="9">
        <v>24499.98</v>
      </c>
      <c r="F324" s="14" t="s">
        <v>75</v>
      </c>
      <c r="G324" s="15">
        <v>46116</v>
      </c>
      <c r="H324" s="15">
        <v>46122</v>
      </c>
      <c r="I324" s="14">
        <v>6</v>
      </c>
      <c r="J324" s="16">
        <v>12472.38</v>
      </c>
      <c r="K324" s="15">
        <v>45744</v>
      </c>
      <c r="L324" s="28" t="s">
        <v>2</v>
      </c>
    </row>
    <row r="325" spans="1:12" x14ac:dyDescent="0.3">
      <c r="A325" s="27" t="s">
        <v>102</v>
      </c>
      <c r="B325" s="14" t="s">
        <v>76</v>
      </c>
      <c r="C325" s="9">
        <v>45274</v>
      </c>
      <c r="D325" s="9">
        <v>11318.5</v>
      </c>
      <c r="E325" s="9">
        <v>33955.5</v>
      </c>
      <c r="F325" s="14" t="s">
        <v>72</v>
      </c>
      <c r="G325" s="15">
        <v>46116</v>
      </c>
      <c r="H325" s="15">
        <v>46126</v>
      </c>
      <c r="I325" s="14">
        <v>10</v>
      </c>
      <c r="J325" s="16">
        <v>29810.7</v>
      </c>
      <c r="K325" s="15">
        <v>45956</v>
      </c>
      <c r="L325" s="28" t="s">
        <v>9</v>
      </c>
    </row>
    <row r="326" spans="1:12" x14ac:dyDescent="0.3">
      <c r="A326" s="27" t="s">
        <v>102</v>
      </c>
      <c r="B326" s="14" t="s">
        <v>76</v>
      </c>
      <c r="C326" s="9">
        <v>34188</v>
      </c>
      <c r="D326" s="9"/>
      <c r="E326" s="9">
        <v>34188</v>
      </c>
      <c r="F326" s="14" t="s">
        <v>75</v>
      </c>
      <c r="G326" s="15">
        <v>46116</v>
      </c>
      <c r="H326" s="15">
        <v>46122</v>
      </c>
      <c r="I326" s="14">
        <v>6</v>
      </c>
      <c r="J326" s="16">
        <v>19020.96</v>
      </c>
      <c r="K326" s="15">
        <v>45909</v>
      </c>
      <c r="L326" s="28" t="s">
        <v>60</v>
      </c>
    </row>
    <row r="327" spans="1:12" x14ac:dyDescent="0.3">
      <c r="A327" s="27" t="s">
        <v>102</v>
      </c>
      <c r="B327" s="14" t="s">
        <v>76</v>
      </c>
      <c r="C327" s="9">
        <v>23977</v>
      </c>
      <c r="D327" s="9">
        <v>6000</v>
      </c>
      <c r="E327" s="9">
        <v>17977</v>
      </c>
      <c r="F327" s="14" t="s">
        <v>72</v>
      </c>
      <c r="G327" s="15">
        <v>46116</v>
      </c>
      <c r="H327" s="15">
        <v>46123</v>
      </c>
      <c r="I327" s="14">
        <v>7</v>
      </c>
      <c r="J327" s="16">
        <v>15624.98</v>
      </c>
      <c r="K327" s="15">
        <v>45963</v>
      </c>
      <c r="L327" s="28" t="s">
        <v>40</v>
      </c>
    </row>
    <row r="328" spans="1:12" x14ac:dyDescent="0.3">
      <c r="A328" s="27" t="s">
        <v>102</v>
      </c>
      <c r="B328" s="14" t="s">
        <v>76</v>
      </c>
      <c r="C328" s="9">
        <v>27738</v>
      </c>
      <c r="D328" s="9"/>
      <c r="E328" s="9">
        <v>27738</v>
      </c>
      <c r="F328" s="14" t="s">
        <v>75</v>
      </c>
      <c r="G328" s="15">
        <v>46117</v>
      </c>
      <c r="H328" s="15">
        <v>46123</v>
      </c>
      <c r="I328" s="14">
        <v>6</v>
      </c>
      <c r="J328" s="16">
        <v>20349.66</v>
      </c>
      <c r="K328" s="15">
        <v>45766</v>
      </c>
      <c r="L328" s="28" t="s">
        <v>15</v>
      </c>
    </row>
    <row r="329" spans="1:12" x14ac:dyDescent="0.3">
      <c r="A329" s="27" t="s">
        <v>102</v>
      </c>
      <c r="B329" s="14" t="s">
        <v>76</v>
      </c>
      <c r="C329" s="9">
        <v>17252</v>
      </c>
      <c r="D329" s="9"/>
      <c r="E329" s="9">
        <v>17252</v>
      </c>
      <c r="F329" s="14" t="s">
        <v>75</v>
      </c>
      <c r="G329" s="15">
        <v>46118</v>
      </c>
      <c r="H329" s="15">
        <v>46121</v>
      </c>
      <c r="I329" s="14">
        <v>3</v>
      </c>
      <c r="J329" s="16">
        <v>11025.63</v>
      </c>
      <c r="K329" s="15">
        <v>45801</v>
      </c>
      <c r="L329" s="28" t="s">
        <v>2</v>
      </c>
    </row>
    <row r="330" spans="1:12" x14ac:dyDescent="0.3">
      <c r="A330" s="27" t="s">
        <v>102</v>
      </c>
      <c r="B330" s="14" t="s">
        <v>76</v>
      </c>
      <c r="C330" s="9">
        <v>15856</v>
      </c>
      <c r="D330" s="9">
        <v>3964</v>
      </c>
      <c r="E330" s="9">
        <v>11892</v>
      </c>
      <c r="F330" s="14" t="s">
        <v>72</v>
      </c>
      <c r="G330" s="15">
        <v>46118</v>
      </c>
      <c r="H330" s="15">
        <v>46122</v>
      </c>
      <c r="I330" s="14">
        <v>4</v>
      </c>
      <c r="J330" s="16">
        <v>9340.67</v>
      </c>
      <c r="K330" s="15">
        <v>45993</v>
      </c>
      <c r="L330" s="28" t="s">
        <v>31</v>
      </c>
    </row>
    <row r="331" spans="1:12" x14ac:dyDescent="0.3">
      <c r="A331" s="27" t="s">
        <v>102</v>
      </c>
      <c r="B331" s="14" t="s">
        <v>76</v>
      </c>
      <c r="C331" s="9">
        <v>16285</v>
      </c>
      <c r="D331" s="9">
        <v>4071.25</v>
      </c>
      <c r="E331" s="9">
        <v>12213.75</v>
      </c>
      <c r="F331" s="14" t="s">
        <v>72</v>
      </c>
      <c r="G331" s="15">
        <v>46120</v>
      </c>
      <c r="H331" s="15">
        <v>46124</v>
      </c>
      <c r="I331" s="14">
        <v>4</v>
      </c>
      <c r="J331" s="16">
        <v>8368.2800000000007</v>
      </c>
      <c r="K331" s="15">
        <v>45878</v>
      </c>
      <c r="L331" s="28" t="s">
        <v>2</v>
      </c>
    </row>
    <row r="332" spans="1:12" x14ac:dyDescent="0.3">
      <c r="A332" s="27" t="s">
        <v>102</v>
      </c>
      <c r="B332" s="14" t="s">
        <v>76</v>
      </c>
      <c r="C332" s="9"/>
      <c r="D332" s="9"/>
      <c r="E332" s="9"/>
      <c r="F332" s="14"/>
      <c r="G332" s="15">
        <v>46122</v>
      </c>
      <c r="H332" s="15">
        <v>46128</v>
      </c>
      <c r="I332" s="14">
        <v>6</v>
      </c>
      <c r="J332" s="16">
        <v>10678.81</v>
      </c>
      <c r="K332" s="15">
        <v>46001</v>
      </c>
      <c r="L332" s="28" t="s">
        <v>65</v>
      </c>
    </row>
    <row r="333" spans="1:12" x14ac:dyDescent="0.3">
      <c r="A333" s="27" t="s">
        <v>102</v>
      </c>
      <c r="B333" s="14" t="s">
        <v>77</v>
      </c>
      <c r="C333" s="9">
        <v>36078.720000000001</v>
      </c>
      <c r="D333" s="9"/>
      <c r="E333" s="9">
        <v>36078.720000000001</v>
      </c>
      <c r="F333" s="14" t="s">
        <v>75</v>
      </c>
      <c r="G333" s="15">
        <v>46123</v>
      </c>
      <c r="H333" s="15">
        <v>46130</v>
      </c>
      <c r="I333" s="14">
        <v>7</v>
      </c>
      <c r="J333" s="16">
        <v>23178.19</v>
      </c>
      <c r="K333" s="15">
        <v>45744</v>
      </c>
      <c r="L333" s="28" t="s">
        <v>38</v>
      </c>
    </row>
    <row r="334" spans="1:12" x14ac:dyDescent="0.3">
      <c r="A334" s="27" t="s">
        <v>102</v>
      </c>
      <c r="B334" s="14" t="s">
        <v>77</v>
      </c>
      <c r="C334" s="9">
        <v>37546.720000000001</v>
      </c>
      <c r="D334" s="9"/>
      <c r="E334" s="9">
        <v>37546.720000000001</v>
      </c>
      <c r="F334" s="14" t="s">
        <v>75</v>
      </c>
      <c r="G334" s="15">
        <v>46123</v>
      </c>
      <c r="H334" s="15">
        <v>46130</v>
      </c>
      <c r="I334" s="14">
        <v>7</v>
      </c>
      <c r="J334" s="16">
        <v>22751.05</v>
      </c>
      <c r="K334" s="15">
        <v>45743</v>
      </c>
      <c r="L334" s="28" t="s">
        <v>2</v>
      </c>
    </row>
    <row r="335" spans="1:12" x14ac:dyDescent="0.3">
      <c r="A335" s="27" t="s">
        <v>102</v>
      </c>
      <c r="B335" s="14" t="s">
        <v>77</v>
      </c>
      <c r="C335" s="9">
        <v>22919.15</v>
      </c>
      <c r="D335" s="9">
        <v>5729.79</v>
      </c>
      <c r="E335" s="9">
        <v>17189.36</v>
      </c>
      <c r="F335" s="14" t="s">
        <v>72</v>
      </c>
      <c r="G335" s="15">
        <v>46123</v>
      </c>
      <c r="H335" s="15">
        <v>46130</v>
      </c>
      <c r="I335" s="14">
        <v>7</v>
      </c>
      <c r="J335" s="16">
        <v>12464.28</v>
      </c>
      <c r="K335" s="15">
        <v>45989</v>
      </c>
      <c r="L335" s="28" t="s">
        <v>38</v>
      </c>
    </row>
    <row r="336" spans="1:12" x14ac:dyDescent="0.3">
      <c r="A336" s="27" t="s">
        <v>102</v>
      </c>
      <c r="B336" s="14" t="s">
        <v>77</v>
      </c>
      <c r="C336" s="9">
        <v>19742.75</v>
      </c>
      <c r="D336" s="9"/>
      <c r="E336" s="9">
        <v>19742.75</v>
      </c>
      <c r="F336" s="14" t="s">
        <v>75</v>
      </c>
      <c r="G336" s="15">
        <v>46123</v>
      </c>
      <c r="H336" s="15">
        <v>46125</v>
      </c>
      <c r="I336" s="14">
        <v>2</v>
      </c>
      <c r="J336" s="16">
        <v>14478.58</v>
      </c>
      <c r="K336" s="15">
        <v>45953</v>
      </c>
      <c r="L336" s="28" t="s">
        <v>6</v>
      </c>
    </row>
    <row r="337" spans="1:12" x14ac:dyDescent="0.3">
      <c r="A337" s="27" t="s">
        <v>102</v>
      </c>
      <c r="B337" s="14" t="s">
        <v>77</v>
      </c>
      <c r="C337" s="9">
        <v>11630</v>
      </c>
      <c r="D337" s="9">
        <v>2907.5</v>
      </c>
      <c r="E337" s="9">
        <v>8722.5</v>
      </c>
      <c r="F337" s="14" t="s">
        <v>72</v>
      </c>
      <c r="G337" s="15">
        <v>46123</v>
      </c>
      <c r="H337" s="15">
        <v>46127</v>
      </c>
      <c r="I337" s="14">
        <v>4</v>
      </c>
      <c r="J337" s="16">
        <v>8396.2800000000007</v>
      </c>
      <c r="K337" s="15">
        <v>45963</v>
      </c>
      <c r="L337" s="28" t="s">
        <v>31</v>
      </c>
    </row>
    <row r="338" spans="1:12" x14ac:dyDescent="0.3">
      <c r="A338" s="27" t="s">
        <v>102</v>
      </c>
      <c r="B338" s="14" t="s">
        <v>77</v>
      </c>
      <c r="C338" s="9">
        <v>15028.6</v>
      </c>
      <c r="D338" s="9"/>
      <c r="E338" s="9">
        <v>15028.6</v>
      </c>
      <c r="F338" s="14" t="s">
        <v>75</v>
      </c>
      <c r="G338" s="15">
        <v>46124</v>
      </c>
      <c r="H338" s="15">
        <v>46128</v>
      </c>
      <c r="I338" s="14">
        <v>4</v>
      </c>
      <c r="J338" s="16">
        <v>0</v>
      </c>
      <c r="K338" s="15">
        <v>45993</v>
      </c>
      <c r="L338" s="28" t="s">
        <v>31</v>
      </c>
    </row>
    <row r="339" spans="1:12" x14ac:dyDescent="0.3">
      <c r="A339" s="27" t="s">
        <v>102</v>
      </c>
      <c r="B339" s="14" t="s">
        <v>77</v>
      </c>
      <c r="C339" s="9">
        <v>15910.46</v>
      </c>
      <c r="D339" s="9"/>
      <c r="E339" s="9">
        <v>15910.46</v>
      </c>
      <c r="F339" s="14" t="s">
        <v>75</v>
      </c>
      <c r="G339" s="15">
        <v>46124</v>
      </c>
      <c r="H339" s="15">
        <v>46129</v>
      </c>
      <c r="I339" s="14">
        <v>5</v>
      </c>
      <c r="J339" s="16">
        <v>11554.05</v>
      </c>
      <c r="K339" s="15">
        <v>45975</v>
      </c>
      <c r="L339" s="28" t="s">
        <v>66</v>
      </c>
    </row>
    <row r="340" spans="1:12" x14ac:dyDescent="0.3">
      <c r="A340" s="27" t="s">
        <v>102</v>
      </c>
      <c r="B340" s="14" t="s">
        <v>77</v>
      </c>
      <c r="C340" s="9">
        <v>38220</v>
      </c>
      <c r="D340" s="9"/>
      <c r="E340" s="9">
        <v>38220</v>
      </c>
      <c r="F340" s="14" t="s">
        <v>75</v>
      </c>
      <c r="G340" s="15">
        <v>46124</v>
      </c>
      <c r="H340" s="15">
        <v>46129</v>
      </c>
      <c r="I340" s="14">
        <v>5</v>
      </c>
      <c r="J340" s="16">
        <v>24458.19</v>
      </c>
      <c r="K340" s="15">
        <v>45982</v>
      </c>
      <c r="L340" s="28" t="s">
        <v>31</v>
      </c>
    </row>
    <row r="341" spans="1:12" x14ac:dyDescent="0.3">
      <c r="A341" s="27" t="s">
        <v>102</v>
      </c>
      <c r="B341" s="14" t="s">
        <v>77</v>
      </c>
      <c r="C341" s="9">
        <v>10036</v>
      </c>
      <c r="D341" s="9">
        <v>5018</v>
      </c>
      <c r="E341" s="9">
        <v>5018</v>
      </c>
      <c r="F341" s="14" t="s">
        <v>72</v>
      </c>
      <c r="G341" s="15">
        <v>46125</v>
      </c>
      <c r="H341" s="15">
        <v>46129</v>
      </c>
      <c r="I341" s="14">
        <v>4</v>
      </c>
      <c r="J341" s="16">
        <v>6196.6</v>
      </c>
      <c r="K341" s="15">
        <v>45981</v>
      </c>
      <c r="L341" s="28" t="s">
        <v>2</v>
      </c>
    </row>
    <row r="342" spans="1:12" x14ac:dyDescent="0.3">
      <c r="A342" s="27" t="s">
        <v>102</v>
      </c>
      <c r="B342" s="14" t="s">
        <v>77</v>
      </c>
      <c r="C342" s="9">
        <v>10036</v>
      </c>
      <c r="D342" s="9"/>
      <c r="E342" s="9">
        <v>10036</v>
      </c>
      <c r="F342" s="14" t="s">
        <v>75</v>
      </c>
      <c r="G342" s="15">
        <v>46125</v>
      </c>
      <c r="H342" s="15">
        <v>46129</v>
      </c>
      <c r="I342" s="14">
        <v>4</v>
      </c>
      <c r="J342" s="16">
        <v>0</v>
      </c>
      <c r="K342" s="15">
        <v>45982</v>
      </c>
      <c r="L342" s="28" t="s">
        <v>2</v>
      </c>
    </row>
    <row r="343" spans="1:12" x14ac:dyDescent="0.3">
      <c r="A343" s="27" t="s">
        <v>102</v>
      </c>
      <c r="B343" s="14" t="s">
        <v>77</v>
      </c>
      <c r="C343" s="18">
        <v>12936</v>
      </c>
      <c r="D343" s="9">
        <v>3234</v>
      </c>
      <c r="E343" s="18">
        <v>9702</v>
      </c>
      <c r="F343" s="14" t="s">
        <v>72</v>
      </c>
      <c r="G343" s="15">
        <v>46125</v>
      </c>
      <c r="H343" s="15">
        <v>46129</v>
      </c>
      <c r="I343" s="14">
        <v>4</v>
      </c>
      <c r="J343" s="16">
        <v>6730.78</v>
      </c>
      <c r="K343" s="15">
        <v>45987</v>
      </c>
      <c r="L343" s="28" t="s">
        <v>31</v>
      </c>
    </row>
    <row r="344" spans="1:12" x14ac:dyDescent="0.3">
      <c r="A344" s="27" t="s">
        <v>102</v>
      </c>
      <c r="B344" s="14" t="s">
        <v>77</v>
      </c>
      <c r="C344" s="9">
        <v>17925</v>
      </c>
      <c r="D344" s="9"/>
      <c r="E344" s="9">
        <v>17925</v>
      </c>
      <c r="F344" s="14" t="s">
        <v>75</v>
      </c>
      <c r="G344" s="15">
        <v>46125</v>
      </c>
      <c r="H344" s="15">
        <v>46132</v>
      </c>
      <c r="I344" s="14">
        <v>7</v>
      </c>
      <c r="J344" s="16">
        <v>5078.57</v>
      </c>
      <c r="K344" s="15">
        <v>45982</v>
      </c>
      <c r="L344" s="28" t="s">
        <v>24</v>
      </c>
    </row>
    <row r="345" spans="1:12" x14ac:dyDescent="0.3">
      <c r="A345" s="27" t="s">
        <v>102</v>
      </c>
      <c r="B345" s="14" t="s">
        <v>76</v>
      </c>
      <c r="C345" s="9"/>
      <c r="D345" s="9"/>
      <c r="E345" s="9"/>
      <c r="F345" s="14" t="s">
        <v>73</v>
      </c>
      <c r="G345" s="15">
        <v>46125</v>
      </c>
      <c r="H345" s="15">
        <v>46139</v>
      </c>
      <c r="I345" s="14">
        <v>14</v>
      </c>
      <c r="J345" s="16">
        <v>0</v>
      </c>
      <c r="K345" s="15">
        <v>45888</v>
      </c>
      <c r="L345" s="28" t="s">
        <v>9</v>
      </c>
    </row>
    <row r="346" spans="1:12" x14ac:dyDescent="0.3">
      <c r="A346" s="27" t="s">
        <v>102</v>
      </c>
      <c r="B346" s="14" t="s">
        <v>76</v>
      </c>
      <c r="C346" s="9"/>
      <c r="D346" s="9"/>
      <c r="E346" s="9"/>
      <c r="F346" s="14" t="s">
        <v>73</v>
      </c>
      <c r="G346" s="15">
        <v>46126</v>
      </c>
      <c r="H346" s="15">
        <v>46128</v>
      </c>
      <c r="I346" s="14">
        <v>2</v>
      </c>
      <c r="J346" s="16">
        <v>0</v>
      </c>
      <c r="K346" s="15">
        <v>45878</v>
      </c>
      <c r="L346" s="28" t="s">
        <v>15</v>
      </c>
    </row>
    <row r="347" spans="1:12" x14ac:dyDescent="0.3">
      <c r="A347" s="27" t="s">
        <v>102</v>
      </c>
      <c r="B347" s="14" t="s">
        <v>76</v>
      </c>
      <c r="C347" s="9"/>
      <c r="D347" s="9"/>
      <c r="E347" s="9"/>
      <c r="F347" s="14" t="s">
        <v>73</v>
      </c>
      <c r="G347" s="15">
        <v>46126</v>
      </c>
      <c r="H347" s="15">
        <v>46133</v>
      </c>
      <c r="I347" s="14">
        <v>7</v>
      </c>
      <c r="J347" s="16">
        <v>0</v>
      </c>
      <c r="K347" s="15">
        <v>45980</v>
      </c>
      <c r="L347" s="28" t="s">
        <v>2</v>
      </c>
    </row>
    <row r="348" spans="1:12" x14ac:dyDescent="0.3">
      <c r="A348" s="27" t="s">
        <v>102</v>
      </c>
      <c r="B348" s="14" t="s">
        <v>77</v>
      </c>
      <c r="C348" s="9"/>
      <c r="D348" s="9"/>
      <c r="E348" s="9"/>
      <c r="F348" s="14" t="s">
        <v>74</v>
      </c>
      <c r="G348" s="15">
        <v>46127</v>
      </c>
      <c r="H348" s="15">
        <v>46133</v>
      </c>
      <c r="I348" s="14">
        <v>6</v>
      </c>
      <c r="J348" s="16">
        <v>22954.5</v>
      </c>
      <c r="K348" s="15">
        <v>45957</v>
      </c>
      <c r="L348" s="28" t="s">
        <v>31</v>
      </c>
    </row>
    <row r="349" spans="1:12" x14ac:dyDescent="0.3">
      <c r="A349" s="27" t="s">
        <v>102</v>
      </c>
      <c r="B349" s="14" t="s">
        <v>77</v>
      </c>
      <c r="C349" s="9"/>
      <c r="D349" s="9"/>
      <c r="E349" s="9"/>
      <c r="F349" s="14" t="s">
        <v>74</v>
      </c>
      <c r="G349" s="15">
        <v>46127</v>
      </c>
      <c r="H349" s="15">
        <v>46133</v>
      </c>
      <c r="I349" s="14">
        <v>6</v>
      </c>
      <c r="J349" s="16">
        <v>10283.879999999999</v>
      </c>
      <c r="K349" s="15">
        <v>45968</v>
      </c>
      <c r="L349" s="28" t="s">
        <v>31</v>
      </c>
    </row>
    <row r="350" spans="1:12" x14ac:dyDescent="0.3">
      <c r="A350" s="27" t="s">
        <v>102</v>
      </c>
      <c r="B350" s="14" t="s">
        <v>77</v>
      </c>
      <c r="C350" s="9"/>
      <c r="D350" s="9"/>
      <c r="E350" s="9"/>
      <c r="F350" s="14" t="s">
        <v>74</v>
      </c>
      <c r="G350" s="15">
        <v>46127</v>
      </c>
      <c r="H350" s="15">
        <v>46133</v>
      </c>
      <c r="I350" s="14">
        <v>6</v>
      </c>
      <c r="J350" s="16">
        <v>22954.5</v>
      </c>
      <c r="K350" s="15">
        <v>45998</v>
      </c>
      <c r="L350" s="28" t="s">
        <v>31</v>
      </c>
    </row>
    <row r="351" spans="1:12" x14ac:dyDescent="0.3">
      <c r="A351" s="27" t="s">
        <v>102</v>
      </c>
      <c r="B351" s="14" t="s">
        <v>76</v>
      </c>
      <c r="C351" s="9"/>
      <c r="D351" s="9"/>
      <c r="E351" s="9"/>
      <c r="F351" s="14" t="s">
        <v>74</v>
      </c>
      <c r="G351" s="15">
        <v>46127</v>
      </c>
      <c r="H351" s="15">
        <v>46133</v>
      </c>
      <c r="I351" s="14">
        <v>6</v>
      </c>
      <c r="J351" s="16">
        <v>0</v>
      </c>
      <c r="K351" s="15">
        <v>45957</v>
      </c>
      <c r="L351" s="28" t="s">
        <v>31</v>
      </c>
    </row>
    <row r="352" spans="1:12" x14ac:dyDescent="0.3">
      <c r="A352" s="27" t="s">
        <v>102</v>
      </c>
      <c r="B352" s="14" t="s">
        <v>76</v>
      </c>
      <c r="C352" s="9"/>
      <c r="D352" s="9"/>
      <c r="E352" s="9"/>
      <c r="F352" s="14" t="s">
        <v>74</v>
      </c>
      <c r="G352" s="15">
        <v>46127</v>
      </c>
      <c r="H352" s="15">
        <v>46133</v>
      </c>
      <c r="I352" s="14">
        <v>6</v>
      </c>
      <c r="J352" s="16">
        <v>0</v>
      </c>
      <c r="K352" s="15">
        <v>45993</v>
      </c>
      <c r="L352" s="28" t="s">
        <v>31</v>
      </c>
    </row>
    <row r="353" spans="1:12" x14ac:dyDescent="0.3">
      <c r="A353" s="27" t="s">
        <v>102</v>
      </c>
      <c r="B353" s="14" t="s">
        <v>76</v>
      </c>
      <c r="C353" s="9"/>
      <c r="D353" s="9"/>
      <c r="E353" s="9"/>
      <c r="F353" s="14" t="s">
        <v>74</v>
      </c>
      <c r="G353" s="15">
        <v>46127</v>
      </c>
      <c r="H353" s="15">
        <v>46133</v>
      </c>
      <c r="I353" s="14">
        <v>6</v>
      </c>
      <c r="J353" s="16">
        <v>0</v>
      </c>
      <c r="K353" s="15">
        <v>45993</v>
      </c>
      <c r="L353" s="28" t="s">
        <v>31</v>
      </c>
    </row>
    <row r="354" spans="1:12" x14ac:dyDescent="0.3">
      <c r="A354" s="27" t="s">
        <v>102</v>
      </c>
      <c r="B354" s="14" t="s">
        <v>76</v>
      </c>
      <c r="C354" s="9"/>
      <c r="D354" s="9"/>
      <c r="E354" s="9"/>
      <c r="F354" s="14" t="s">
        <v>74</v>
      </c>
      <c r="G354" s="15">
        <v>46127</v>
      </c>
      <c r="H354" s="15">
        <v>46133</v>
      </c>
      <c r="I354" s="14">
        <v>6</v>
      </c>
      <c r="J354" s="16">
        <v>0</v>
      </c>
      <c r="K354" s="15">
        <v>45993</v>
      </c>
      <c r="L354" s="28" t="s">
        <v>31</v>
      </c>
    </row>
    <row r="355" spans="1:12" x14ac:dyDescent="0.3">
      <c r="A355" s="27" t="s">
        <v>102</v>
      </c>
      <c r="B355" s="14" t="s">
        <v>77</v>
      </c>
      <c r="C355" s="9">
        <v>21325</v>
      </c>
      <c r="D355" s="9"/>
      <c r="E355" s="9">
        <v>21325</v>
      </c>
      <c r="F355" s="14" t="s">
        <v>75</v>
      </c>
      <c r="G355" s="15">
        <v>46127</v>
      </c>
      <c r="H355" s="15">
        <v>46132</v>
      </c>
      <c r="I355" s="14">
        <v>5</v>
      </c>
      <c r="J355" s="16">
        <v>12564.1</v>
      </c>
      <c r="K355" s="15">
        <v>45883</v>
      </c>
      <c r="L355" s="28" t="s">
        <v>38</v>
      </c>
    </row>
    <row r="356" spans="1:12" x14ac:dyDescent="0.3">
      <c r="A356" s="27" t="s">
        <v>102</v>
      </c>
      <c r="B356" s="14" t="s">
        <v>77</v>
      </c>
      <c r="C356" s="9">
        <v>16734</v>
      </c>
      <c r="D356" s="9"/>
      <c r="E356" s="9">
        <v>16734</v>
      </c>
      <c r="F356" s="14" t="s">
        <v>75</v>
      </c>
      <c r="G356" s="15">
        <v>46127</v>
      </c>
      <c r="H356" s="15">
        <v>46131</v>
      </c>
      <c r="I356" s="14">
        <v>4</v>
      </c>
      <c r="J356" s="16">
        <v>8438.24</v>
      </c>
      <c r="K356" s="15">
        <v>45883</v>
      </c>
      <c r="L356" s="28" t="s">
        <v>38</v>
      </c>
    </row>
    <row r="357" spans="1:12" x14ac:dyDescent="0.3">
      <c r="A357" s="27" t="s">
        <v>102</v>
      </c>
      <c r="B357" s="14" t="s">
        <v>77</v>
      </c>
      <c r="C357" s="9">
        <v>21325</v>
      </c>
      <c r="D357" s="9"/>
      <c r="E357" s="9">
        <v>21325</v>
      </c>
      <c r="F357" s="14" t="s">
        <v>75</v>
      </c>
      <c r="G357" s="15">
        <v>46127</v>
      </c>
      <c r="H357" s="15">
        <v>46132</v>
      </c>
      <c r="I357" s="14">
        <v>5</v>
      </c>
      <c r="J357" s="16">
        <v>12719.5</v>
      </c>
      <c r="K357" s="15">
        <v>45883</v>
      </c>
      <c r="L357" s="28" t="s">
        <v>38</v>
      </c>
    </row>
    <row r="358" spans="1:12" x14ac:dyDescent="0.3">
      <c r="A358" s="27" t="s">
        <v>102</v>
      </c>
      <c r="B358" s="14" t="s">
        <v>76</v>
      </c>
      <c r="C358" s="3">
        <v>3200</v>
      </c>
      <c r="D358" s="3"/>
      <c r="E358" s="3">
        <v>3200</v>
      </c>
      <c r="F358" s="14" t="s">
        <v>75</v>
      </c>
      <c r="G358" s="15">
        <v>46127</v>
      </c>
      <c r="H358" s="15">
        <v>46130</v>
      </c>
      <c r="I358" s="14">
        <v>3</v>
      </c>
      <c r="J358" s="16">
        <v>0</v>
      </c>
      <c r="K358" s="15">
        <v>45917</v>
      </c>
      <c r="L358" s="28" t="s">
        <v>22</v>
      </c>
    </row>
    <row r="359" spans="1:12" x14ac:dyDescent="0.3">
      <c r="A359" s="27" t="s">
        <v>102</v>
      </c>
      <c r="B359" s="14" t="s">
        <v>77</v>
      </c>
      <c r="C359" s="3">
        <v>11072</v>
      </c>
      <c r="D359" s="3"/>
      <c r="E359" s="3">
        <v>11072</v>
      </c>
      <c r="F359" s="14" t="s">
        <v>75</v>
      </c>
      <c r="G359" s="15">
        <v>46129</v>
      </c>
      <c r="H359" s="15">
        <v>46132</v>
      </c>
      <c r="I359" s="14">
        <v>3</v>
      </c>
      <c r="J359" s="16">
        <v>6223.77</v>
      </c>
      <c r="K359" s="15">
        <v>45967</v>
      </c>
      <c r="L359" s="28" t="s">
        <v>14</v>
      </c>
    </row>
    <row r="360" spans="1:12" x14ac:dyDescent="0.3">
      <c r="A360" s="27" t="s">
        <v>102</v>
      </c>
      <c r="B360" s="14" t="s">
        <v>76</v>
      </c>
      <c r="C360" s="9"/>
      <c r="D360" s="9"/>
      <c r="E360" s="9"/>
      <c r="F360" s="14" t="s">
        <v>73</v>
      </c>
      <c r="G360" s="15">
        <v>46131</v>
      </c>
      <c r="H360" s="15">
        <v>46138</v>
      </c>
      <c r="I360" s="14">
        <v>7</v>
      </c>
      <c r="J360" s="16">
        <v>0</v>
      </c>
      <c r="K360" s="15">
        <v>45860</v>
      </c>
      <c r="L360" s="28" t="s">
        <v>13</v>
      </c>
    </row>
    <row r="361" spans="1:12" x14ac:dyDescent="0.3">
      <c r="A361" s="27" t="s">
        <v>102</v>
      </c>
      <c r="B361" s="14" t="s">
        <v>76</v>
      </c>
      <c r="C361" s="9"/>
      <c r="D361" s="9"/>
      <c r="E361" s="9"/>
      <c r="F361" s="14" t="s">
        <v>73</v>
      </c>
      <c r="G361" s="15">
        <v>46131</v>
      </c>
      <c r="H361" s="15">
        <v>46138</v>
      </c>
      <c r="I361" s="14">
        <v>7</v>
      </c>
      <c r="J361" s="16">
        <v>0</v>
      </c>
      <c r="K361" s="15">
        <v>45859</v>
      </c>
      <c r="L361" s="28" t="s">
        <v>18</v>
      </c>
    </row>
    <row r="362" spans="1:12" x14ac:dyDescent="0.3">
      <c r="A362" s="27" t="s">
        <v>102</v>
      </c>
      <c r="B362" s="14" t="s">
        <v>77</v>
      </c>
      <c r="C362" s="3">
        <v>34129</v>
      </c>
      <c r="D362" s="3"/>
      <c r="E362" s="3">
        <v>34129</v>
      </c>
      <c r="F362" s="14" t="s">
        <v>75</v>
      </c>
      <c r="G362" s="15">
        <v>46132</v>
      </c>
      <c r="H362" s="15">
        <v>46138</v>
      </c>
      <c r="I362" s="14">
        <v>6</v>
      </c>
      <c r="J362" s="16">
        <v>22621.32</v>
      </c>
      <c r="K362" s="15">
        <v>45937</v>
      </c>
      <c r="L362" s="28" t="s">
        <v>12</v>
      </c>
    </row>
    <row r="363" spans="1:12" x14ac:dyDescent="0.3">
      <c r="A363" s="27" t="s">
        <v>102</v>
      </c>
      <c r="B363" s="14" t="s">
        <v>76</v>
      </c>
      <c r="C363" s="9"/>
      <c r="D363" s="9"/>
      <c r="E363" s="9"/>
      <c r="F363" s="14" t="s">
        <v>73</v>
      </c>
      <c r="G363" s="15">
        <v>46132</v>
      </c>
      <c r="H363" s="15">
        <v>46137</v>
      </c>
      <c r="I363" s="14">
        <v>5</v>
      </c>
      <c r="J363" s="16">
        <v>0</v>
      </c>
      <c r="K363" s="15">
        <v>45905</v>
      </c>
      <c r="L363" s="28" t="s">
        <v>38</v>
      </c>
    </row>
    <row r="364" spans="1:12" x14ac:dyDescent="0.3">
      <c r="A364" s="27" t="s">
        <v>102</v>
      </c>
      <c r="B364" s="14" t="s">
        <v>77</v>
      </c>
      <c r="C364" s="3">
        <v>10593.38</v>
      </c>
      <c r="D364" s="3"/>
      <c r="E364" s="3">
        <v>10593.38</v>
      </c>
      <c r="F364" s="14" t="s">
        <v>75</v>
      </c>
      <c r="G364" s="15">
        <v>46133</v>
      </c>
      <c r="H364" s="15">
        <v>46136</v>
      </c>
      <c r="I364" s="14">
        <v>3</v>
      </c>
      <c r="J364" s="16">
        <v>5747.4</v>
      </c>
      <c r="K364" s="15">
        <v>45974</v>
      </c>
      <c r="L364" s="28" t="s">
        <v>9</v>
      </c>
    </row>
    <row r="365" spans="1:12" x14ac:dyDescent="0.3">
      <c r="A365" s="27" t="s">
        <v>102</v>
      </c>
      <c r="B365" s="14" t="s">
        <v>77</v>
      </c>
      <c r="C365" s="3">
        <v>13688</v>
      </c>
      <c r="D365" s="3"/>
      <c r="E365" s="3">
        <v>13688</v>
      </c>
      <c r="F365" s="14" t="s">
        <v>75</v>
      </c>
      <c r="G365" s="15">
        <v>46134</v>
      </c>
      <c r="H365" s="15">
        <v>46138</v>
      </c>
      <c r="I365" s="14">
        <v>4</v>
      </c>
      <c r="J365" s="16">
        <v>5936.28</v>
      </c>
      <c r="K365" s="15">
        <v>45881</v>
      </c>
      <c r="L365" s="28" t="s">
        <v>2</v>
      </c>
    </row>
    <row r="366" spans="1:12" x14ac:dyDescent="0.3">
      <c r="A366" s="27" t="s">
        <v>102</v>
      </c>
      <c r="B366" s="14" t="s">
        <v>77</v>
      </c>
      <c r="C366" s="9">
        <v>22240</v>
      </c>
      <c r="D366" s="9"/>
      <c r="E366" s="9">
        <v>22240</v>
      </c>
      <c r="F366" s="14" t="s">
        <v>75</v>
      </c>
      <c r="G366" s="15">
        <v>46135</v>
      </c>
      <c r="H366" s="15">
        <v>46137</v>
      </c>
      <c r="I366" s="14">
        <v>2</v>
      </c>
      <c r="J366" s="16">
        <v>16083.92</v>
      </c>
      <c r="K366" s="15">
        <v>45987</v>
      </c>
      <c r="L366" s="28" t="s">
        <v>15</v>
      </c>
    </row>
    <row r="367" spans="1:12" x14ac:dyDescent="0.3">
      <c r="A367" s="27" t="s">
        <v>102</v>
      </c>
      <c r="B367" s="14" t="s">
        <v>77</v>
      </c>
      <c r="C367" s="3">
        <v>23285.16</v>
      </c>
      <c r="D367" s="3">
        <v>5821.29</v>
      </c>
      <c r="E367" s="3">
        <v>17463.87</v>
      </c>
      <c r="F367" s="14" t="s">
        <v>72</v>
      </c>
      <c r="G367" s="15">
        <v>46136</v>
      </c>
      <c r="H367" s="15">
        <v>46143</v>
      </c>
      <c r="I367" s="14">
        <v>7</v>
      </c>
      <c r="J367" s="16">
        <v>15592.29</v>
      </c>
      <c r="K367" s="15">
        <v>45961</v>
      </c>
      <c r="L367" s="28" t="s">
        <v>67</v>
      </c>
    </row>
    <row r="368" spans="1:12" x14ac:dyDescent="0.3">
      <c r="A368" s="27" t="s">
        <v>102</v>
      </c>
      <c r="B368" s="14" t="s">
        <v>77</v>
      </c>
      <c r="C368" s="3">
        <v>48010</v>
      </c>
      <c r="D368" s="3"/>
      <c r="E368" s="3">
        <v>48010</v>
      </c>
      <c r="F368" s="14" t="s">
        <v>75</v>
      </c>
      <c r="G368" s="15">
        <v>46137</v>
      </c>
      <c r="H368" s="15">
        <v>46143</v>
      </c>
      <c r="I368" s="14">
        <v>6</v>
      </c>
      <c r="J368" s="16">
        <v>18429.48</v>
      </c>
      <c r="K368" s="15">
        <v>45945</v>
      </c>
      <c r="L368" s="28" t="s">
        <v>33</v>
      </c>
    </row>
    <row r="369" spans="1:12" x14ac:dyDescent="0.3">
      <c r="A369" s="27" t="s">
        <v>102</v>
      </c>
      <c r="B369" s="14" t="s">
        <v>77</v>
      </c>
      <c r="C369" s="9">
        <v>17628.25</v>
      </c>
      <c r="D369" s="9"/>
      <c r="E369" s="9">
        <v>17628.25</v>
      </c>
      <c r="F369" s="14" t="s">
        <v>75</v>
      </c>
      <c r="G369" s="15">
        <v>46137</v>
      </c>
      <c r="H369" s="15">
        <v>46143</v>
      </c>
      <c r="I369" s="14">
        <v>6</v>
      </c>
      <c r="J369" s="16">
        <v>11755.92</v>
      </c>
      <c r="K369" s="15">
        <v>45984</v>
      </c>
      <c r="L369" s="28" t="s">
        <v>2</v>
      </c>
    </row>
    <row r="370" spans="1:12" x14ac:dyDescent="0.3">
      <c r="A370" s="27" t="s">
        <v>102</v>
      </c>
      <c r="B370" s="14" t="s">
        <v>77</v>
      </c>
      <c r="C370" s="9">
        <v>34366.129999999997</v>
      </c>
      <c r="D370" s="9"/>
      <c r="E370" s="9">
        <v>34366.129999999997</v>
      </c>
      <c r="F370" s="14" t="s">
        <v>75</v>
      </c>
      <c r="G370" s="15">
        <v>46137</v>
      </c>
      <c r="H370" s="15">
        <v>46141</v>
      </c>
      <c r="I370" s="14">
        <v>4</v>
      </c>
      <c r="J370" s="16">
        <v>22138.400000000001</v>
      </c>
      <c r="K370" s="15">
        <v>45715</v>
      </c>
      <c r="L370" s="28" t="s">
        <v>18</v>
      </c>
    </row>
    <row r="371" spans="1:12" x14ac:dyDescent="0.3">
      <c r="A371" s="27" t="s">
        <v>102</v>
      </c>
      <c r="B371" s="14" t="s">
        <v>77</v>
      </c>
      <c r="C371" s="9">
        <v>17485.57</v>
      </c>
      <c r="D371" s="9">
        <v>2600</v>
      </c>
      <c r="E371" s="9">
        <v>14885.57</v>
      </c>
      <c r="F371" s="14" t="s">
        <v>72</v>
      </c>
      <c r="G371" s="15">
        <v>46138</v>
      </c>
      <c r="H371" s="15">
        <v>46145</v>
      </c>
      <c r="I371" s="14">
        <v>7</v>
      </c>
      <c r="J371" s="16">
        <v>10536.89</v>
      </c>
      <c r="K371" s="15">
        <v>45957</v>
      </c>
      <c r="L371" s="28"/>
    </row>
    <row r="372" spans="1:12" x14ac:dyDescent="0.3">
      <c r="A372" s="27" t="s">
        <v>102</v>
      </c>
      <c r="B372" s="14" t="s">
        <v>77</v>
      </c>
      <c r="C372" s="9">
        <v>70000</v>
      </c>
      <c r="D372" s="9"/>
      <c r="E372" s="9">
        <v>70000</v>
      </c>
      <c r="F372" s="14" t="s">
        <v>75</v>
      </c>
      <c r="G372" s="15">
        <v>46138</v>
      </c>
      <c r="H372" s="15">
        <v>46152</v>
      </c>
      <c r="I372" s="14">
        <v>14</v>
      </c>
      <c r="J372" s="16">
        <v>0</v>
      </c>
      <c r="K372" s="15">
        <v>45836</v>
      </c>
      <c r="L372" s="28" t="s">
        <v>1</v>
      </c>
    </row>
    <row r="373" spans="1:12" x14ac:dyDescent="0.3">
      <c r="A373" s="27" t="s">
        <v>102</v>
      </c>
      <c r="B373" s="14" t="s">
        <v>76</v>
      </c>
      <c r="C373" s="9"/>
      <c r="D373" s="9"/>
      <c r="E373" s="9"/>
      <c r="F373" s="14" t="s">
        <v>73</v>
      </c>
      <c r="G373" s="15">
        <v>46140</v>
      </c>
      <c r="H373" s="15">
        <v>46147</v>
      </c>
      <c r="I373" s="14">
        <v>7</v>
      </c>
      <c r="J373" s="16">
        <v>0</v>
      </c>
      <c r="K373" s="15">
        <v>45919</v>
      </c>
      <c r="L373" s="28" t="s">
        <v>9</v>
      </c>
    </row>
    <row r="374" spans="1:12" x14ac:dyDescent="0.3">
      <c r="A374" s="27" t="s">
        <v>102</v>
      </c>
      <c r="B374" s="14" t="s">
        <v>76</v>
      </c>
      <c r="C374" s="9"/>
      <c r="D374" s="9"/>
      <c r="E374" s="9"/>
      <c r="F374" s="14" t="s">
        <v>73</v>
      </c>
      <c r="G374" s="15">
        <v>46140</v>
      </c>
      <c r="H374" s="15">
        <v>46147</v>
      </c>
      <c r="I374" s="14">
        <v>7</v>
      </c>
      <c r="J374" s="16">
        <v>0</v>
      </c>
      <c r="K374" s="15">
        <v>45919</v>
      </c>
      <c r="L374" s="28" t="s">
        <v>5</v>
      </c>
    </row>
    <row r="375" spans="1:12" x14ac:dyDescent="0.3">
      <c r="A375" s="27" t="s">
        <v>102</v>
      </c>
      <c r="B375" s="14" t="s">
        <v>77</v>
      </c>
      <c r="C375" s="9">
        <v>21793.16</v>
      </c>
      <c r="D375" s="9"/>
      <c r="E375" s="9">
        <v>21793.16</v>
      </c>
      <c r="F375" s="14" t="s">
        <v>75</v>
      </c>
      <c r="G375" s="15">
        <v>46142</v>
      </c>
      <c r="H375" s="15">
        <v>46146</v>
      </c>
      <c r="I375" s="14">
        <v>4</v>
      </c>
      <c r="J375" s="16">
        <v>15423.67</v>
      </c>
      <c r="K375" s="15">
        <v>45982</v>
      </c>
      <c r="L375" s="28" t="s">
        <v>14</v>
      </c>
    </row>
    <row r="376" spans="1:12" x14ac:dyDescent="0.3">
      <c r="A376" s="27" t="s">
        <v>102</v>
      </c>
      <c r="B376" s="14" t="s">
        <v>77</v>
      </c>
      <c r="C376" s="9">
        <v>9228.84</v>
      </c>
      <c r="D376" s="9"/>
      <c r="E376" s="9">
        <v>9228.84</v>
      </c>
      <c r="F376" s="14" t="s">
        <v>75</v>
      </c>
      <c r="G376" s="10">
        <v>46144</v>
      </c>
      <c r="H376" s="10">
        <v>46147</v>
      </c>
      <c r="I376" s="8">
        <v>3</v>
      </c>
      <c r="J376" s="8">
        <v>3423.26</v>
      </c>
      <c r="K376" s="15"/>
      <c r="L376" s="28"/>
    </row>
    <row r="377" spans="1:12" x14ac:dyDescent="0.3">
      <c r="A377" s="27" t="s">
        <v>102</v>
      </c>
      <c r="B377" s="14" t="s">
        <v>77</v>
      </c>
      <c r="C377" s="9">
        <v>41019.5</v>
      </c>
      <c r="D377" s="9"/>
      <c r="E377" s="9">
        <v>41019.5</v>
      </c>
      <c r="F377" s="14" t="s">
        <v>75</v>
      </c>
      <c r="G377" s="15">
        <v>46144</v>
      </c>
      <c r="H377" s="15">
        <v>46153</v>
      </c>
      <c r="I377" s="14">
        <v>9</v>
      </c>
      <c r="J377" s="16">
        <v>16826.740000000002</v>
      </c>
      <c r="K377" s="15">
        <v>45993</v>
      </c>
      <c r="L377" s="28" t="s">
        <v>1</v>
      </c>
    </row>
    <row r="378" spans="1:12" x14ac:dyDescent="0.3">
      <c r="A378" s="27" t="s">
        <v>102</v>
      </c>
      <c r="B378" s="14" t="s">
        <v>77</v>
      </c>
      <c r="C378" s="9">
        <v>6329.4</v>
      </c>
      <c r="D378" s="9"/>
      <c r="E378" s="9">
        <v>6329.4</v>
      </c>
      <c r="F378" s="14" t="s">
        <v>75</v>
      </c>
      <c r="G378" s="15">
        <v>46144</v>
      </c>
      <c r="H378" s="15">
        <v>46147</v>
      </c>
      <c r="I378" s="14">
        <v>3</v>
      </c>
      <c r="J378" s="16">
        <v>2417.12</v>
      </c>
      <c r="K378" s="15">
        <v>45899</v>
      </c>
      <c r="L378" s="28" t="s">
        <v>6</v>
      </c>
    </row>
    <row r="379" spans="1:12" x14ac:dyDescent="0.3">
      <c r="A379" s="27" t="s">
        <v>102</v>
      </c>
      <c r="B379" s="14" t="s">
        <v>77</v>
      </c>
      <c r="C379" s="9">
        <v>3724</v>
      </c>
      <c r="D379" s="9"/>
      <c r="E379" s="9">
        <v>3724</v>
      </c>
      <c r="F379" s="14" t="s">
        <v>75</v>
      </c>
      <c r="G379" s="15">
        <v>46144</v>
      </c>
      <c r="H379" s="15">
        <v>46145</v>
      </c>
      <c r="I379" s="14">
        <v>1</v>
      </c>
      <c r="J379" s="16">
        <v>1919.19</v>
      </c>
      <c r="K379" s="15">
        <v>45995</v>
      </c>
      <c r="L379" s="28" t="s">
        <v>31</v>
      </c>
    </row>
    <row r="380" spans="1:12" x14ac:dyDescent="0.3">
      <c r="A380" s="27" t="s">
        <v>102</v>
      </c>
      <c r="B380" s="14" t="s">
        <v>77</v>
      </c>
      <c r="C380" s="9">
        <v>3724</v>
      </c>
      <c r="D380" s="9"/>
      <c r="E380" s="9">
        <v>3724</v>
      </c>
      <c r="F380" s="14" t="s">
        <v>75</v>
      </c>
      <c r="G380" s="15">
        <v>46145</v>
      </c>
      <c r="H380" s="15">
        <v>46146</v>
      </c>
      <c r="I380" s="14">
        <v>1</v>
      </c>
      <c r="J380" s="16">
        <v>1919.19</v>
      </c>
      <c r="K380" s="15">
        <v>45995</v>
      </c>
      <c r="L380" s="28" t="s">
        <v>31</v>
      </c>
    </row>
    <row r="381" spans="1:12" x14ac:dyDescent="0.3">
      <c r="A381" s="27" t="s">
        <v>102</v>
      </c>
      <c r="B381" s="14" t="s">
        <v>77</v>
      </c>
      <c r="C381" s="3">
        <v>13719.8</v>
      </c>
      <c r="D381" s="3"/>
      <c r="E381" s="3">
        <v>13719.8</v>
      </c>
      <c r="F381" s="14" t="s">
        <v>80</v>
      </c>
      <c r="G381" s="15">
        <v>46146</v>
      </c>
      <c r="H381" s="15">
        <v>46150</v>
      </c>
      <c r="I381" s="14">
        <v>4</v>
      </c>
      <c r="J381" s="16">
        <v>8549.92</v>
      </c>
      <c r="K381" s="15">
        <v>45919</v>
      </c>
      <c r="L381" s="28" t="s">
        <v>15</v>
      </c>
    </row>
    <row r="382" spans="1:12" x14ac:dyDescent="0.3">
      <c r="A382" s="27" t="s">
        <v>102</v>
      </c>
      <c r="B382" s="14" t="s">
        <v>77</v>
      </c>
      <c r="C382" s="3">
        <v>5605.12</v>
      </c>
      <c r="D382" s="3"/>
      <c r="E382" s="3">
        <v>5605.12</v>
      </c>
      <c r="F382" s="14" t="s">
        <v>75</v>
      </c>
      <c r="G382" s="15">
        <v>46146</v>
      </c>
      <c r="H382" s="15">
        <v>46147</v>
      </c>
      <c r="I382" s="14">
        <v>1</v>
      </c>
      <c r="J382" s="16">
        <v>2700.79</v>
      </c>
      <c r="K382" s="15">
        <v>45877</v>
      </c>
      <c r="L382" s="28" t="s">
        <v>13</v>
      </c>
    </row>
    <row r="383" spans="1:12" x14ac:dyDescent="0.3">
      <c r="A383" s="27" t="s">
        <v>102</v>
      </c>
      <c r="B383" s="14" t="s">
        <v>77</v>
      </c>
      <c r="C383" s="3">
        <v>17020</v>
      </c>
      <c r="D383" s="3"/>
      <c r="E383" s="3">
        <v>17020</v>
      </c>
      <c r="F383" s="14" t="s">
        <v>75</v>
      </c>
      <c r="G383" s="15">
        <v>46146</v>
      </c>
      <c r="H383" s="15">
        <v>46152</v>
      </c>
      <c r="I383" s="14">
        <v>6</v>
      </c>
      <c r="J383" s="16">
        <v>8543.94</v>
      </c>
      <c r="K383" s="15">
        <v>45964</v>
      </c>
      <c r="L383" s="28" t="s">
        <v>35</v>
      </c>
    </row>
    <row r="384" spans="1:12" x14ac:dyDescent="0.3">
      <c r="A384" s="27" t="s">
        <v>102</v>
      </c>
      <c r="B384" s="14" t="s">
        <v>77</v>
      </c>
      <c r="C384" s="3">
        <v>11276</v>
      </c>
      <c r="D384" s="3"/>
      <c r="E384" s="3">
        <v>11276</v>
      </c>
      <c r="F384" s="14" t="s">
        <v>75</v>
      </c>
      <c r="G384" s="15">
        <v>46147</v>
      </c>
      <c r="H384" s="15">
        <v>46151</v>
      </c>
      <c r="I384" s="14">
        <v>4</v>
      </c>
      <c r="J384" s="16">
        <v>5252.52</v>
      </c>
      <c r="K384" s="15">
        <v>45964</v>
      </c>
      <c r="L384" s="28" t="s">
        <v>32</v>
      </c>
    </row>
    <row r="385" spans="1:12" x14ac:dyDescent="0.3">
      <c r="A385" s="27" t="s">
        <v>102</v>
      </c>
      <c r="B385" s="14" t="s">
        <v>76</v>
      </c>
      <c r="C385" s="9"/>
      <c r="D385" s="9"/>
      <c r="E385" s="9"/>
      <c r="F385" s="14" t="s">
        <v>73</v>
      </c>
      <c r="G385" s="15">
        <v>46148</v>
      </c>
      <c r="H385" s="15">
        <v>46150</v>
      </c>
      <c r="I385" s="14">
        <v>2</v>
      </c>
      <c r="J385" s="16">
        <v>-1144.68</v>
      </c>
      <c r="K385" s="15">
        <v>45953</v>
      </c>
      <c r="L385" s="28" t="s">
        <v>2</v>
      </c>
    </row>
    <row r="386" spans="1:12" x14ac:dyDescent="0.3">
      <c r="A386" s="27" t="s">
        <v>102</v>
      </c>
      <c r="B386" s="14" t="s">
        <v>77</v>
      </c>
      <c r="C386" s="3">
        <v>18632.78</v>
      </c>
      <c r="D386" s="3"/>
      <c r="E386" s="3">
        <v>18632.78</v>
      </c>
      <c r="F386" s="14" t="s">
        <v>75</v>
      </c>
      <c r="G386" s="15">
        <v>46149</v>
      </c>
      <c r="H386" s="15">
        <v>46155</v>
      </c>
      <c r="I386" s="14">
        <v>6</v>
      </c>
      <c r="J386" s="16">
        <v>9774.66</v>
      </c>
      <c r="K386" s="15">
        <v>45987</v>
      </c>
      <c r="L386" s="28" t="s">
        <v>15</v>
      </c>
    </row>
    <row r="387" spans="1:12" x14ac:dyDescent="0.3">
      <c r="A387" s="27" t="s">
        <v>102</v>
      </c>
      <c r="B387" s="14" t="s">
        <v>77</v>
      </c>
      <c r="C387" s="3">
        <v>15268.58</v>
      </c>
      <c r="D387" s="3"/>
      <c r="E387" s="3">
        <v>15268.58</v>
      </c>
      <c r="F387" s="14" t="s">
        <v>75</v>
      </c>
      <c r="G387" s="15">
        <v>46149</v>
      </c>
      <c r="H387" s="15">
        <v>46153</v>
      </c>
      <c r="I387" s="14">
        <v>4</v>
      </c>
      <c r="J387" s="16">
        <v>7910.64</v>
      </c>
      <c r="K387" s="15">
        <v>45801</v>
      </c>
      <c r="L387" s="28" t="s">
        <v>38</v>
      </c>
    </row>
    <row r="388" spans="1:12" x14ac:dyDescent="0.3">
      <c r="A388" s="27" t="s">
        <v>102</v>
      </c>
      <c r="B388" s="14" t="s">
        <v>77</v>
      </c>
      <c r="C388" s="3">
        <v>4885.7</v>
      </c>
      <c r="D388" s="3">
        <v>4885.7</v>
      </c>
      <c r="E388" s="9"/>
      <c r="F388" s="14" t="s">
        <v>70</v>
      </c>
      <c r="G388" s="15">
        <v>46150</v>
      </c>
      <c r="H388" s="15">
        <v>46152</v>
      </c>
      <c r="I388" s="14">
        <v>2</v>
      </c>
      <c r="J388" s="16">
        <v>1814.48</v>
      </c>
      <c r="K388" s="15">
        <v>45943</v>
      </c>
      <c r="L388" s="28" t="s">
        <v>6</v>
      </c>
    </row>
    <row r="389" spans="1:12" x14ac:dyDescent="0.3">
      <c r="A389" s="27" t="s">
        <v>102</v>
      </c>
      <c r="B389" s="14" t="s">
        <v>77</v>
      </c>
      <c r="C389" s="3">
        <v>13130</v>
      </c>
      <c r="D389" s="3"/>
      <c r="E389" s="3">
        <v>13130</v>
      </c>
      <c r="F389" s="14" t="s">
        <v>75</v>
      </c>
      <c r="G389" s="15">
        <v>46157</v>
      </c>
      <c r="H389" s="15">
        <v>46162</v>
      </c>
      <c r="I389" s="14">
        <v>5</v>
      </c>
      <c r="J389" s="16">
        <v>5213.7</v>
      </c>
      <c r="K389" s="15">
        <v>45891</v>
      </c>
      <c r="L389" s="28" t="s">
        <v>8</v>
      </c>
    </row>
    <row r="390" spans="1:12" x14ac:dyDescent="0.3">
      <c r="A390" s="27" t="s">
        <v>102</v>
      </c>
      <c r="B390" s="14" t="s">
        <v>77</v>
      </c>
      <c r="C390" s="3">
        <v>30976.94</v>
      </c>
      <c r="D390" s="3"/>
      <c r="E390" s="3">
        <v>30976.94</v>
      </c>
      <c r="F390" s="14" t="s">
        <v>75</v>
      </c>
      <c r="G390" s="15">
        <v>46160</v>
      </c>
      <c r="H390" s="15">
        <v>46165</v>
      </c>
      <c r="I390" s="14">
        <v>5</v>
      </c>
      <c r="J390" s="16">
        <v>15187.65</v>
      </c>
      <c r="K390" s="15">
        <v>46001</v>
      </c>
      <c r="L390" s="28" t="s">
        <v>24</v>
      </c>
    </row>
    <row r="391" spans="1:12" x14ac:dyDescent="0.3">
      <c r="A391" s="27" t="s">
        <v>102</v>
      </c>
      <c r="B391" s="14" t="s">
        <v>77</v>
      </c>
      <c r="C391" s="3">
        <v>62881</v>
      </c>
      <c r="D391" s="3">
        <v>18660.25</v>
      </c>
      <c r="E391" s="3">
        <v>44220.75</v>
      </c>
      <c r="F391" s="14" t="s">
        <v>72</v>
      </c>
      <c r="G391" s="15">
        <v>46162</v>
      </c>
      <c r="H391" s="15">
        <v>46166</v>
      </c>
      <c r="I391" s="14">
        <v>4</v>
      </c>
      <c r="J391" s="16">
        <v>33531.480000000003</v>
      </c>
      <c r="K391" s="15">
        <v>45724</v>
      </c>
      <c r="L391" s="28" t="s">
        <v>15</v>
      </c>
    </row>
    <row r="392" spans="1:12" x14ac:dyDescent="0.3">
      <c r="A392" s="27" t="s">
        <v>102</v>
      </c>
      <c r="B392" s="14" t="s">
        <v>77</v>
      </c>
      <c r="C392" s="3">
        <v>17378</v>
      </c>
      <c r="D392" s="3"/>
      <c r="E392" s="3">
        <v>17378</v>
      </c>
      <c r="F392" s="14" t="s">
        <v>75</v>
      </c>
      <c r="G392" s="15">
        <v>46164</v>
      </c>
      <c r="H392" s="15">
        <v>46169</v>
      </c>
      <c r="I392" s="14">
        <v>5</v>
      </c>
      <c r="J392" s="16">
        <v>9316.1</v>
      </c>
      <c r="K392" s="15">
        <v>45997</v>
      </c>
      <c r="L392" s="28" t="s">
        <v>2</v>
      </c>
    </row>
    <row r="393" spans="1:12" x14ac:dyDescent="0.3">
      <c r="A393" s="27" t="s">
        <v>102</v>
      </c>
      <c r="B393" s="14" t="s">
        <v>77</v>
      </c>
      <c r="C393" s="3">
        <v>28675.52</v>
      </c>
      <c r="D393" s="3"/>
      <c r="E393" s="3">
        <v>28675.52</v>
      </c>
      <c r="F393" s="14" t="s">
        <v>75</v>
      </c>
      <c r="G393" s="15">
        <v>46166</v>
      </c>
      <c r="H393" s="15">
        <v>46171</v>
      </c>
      <c r="I393" s="14">
        <v>5</v>
      </c>
      <c r="J393" s="16">
        <v>13992.3</v>
      </c>
      <c r="K393" s="15">
        <v>45918</v>
      </c>
      <c r="L393" s="28" t="s">
        <v>15</v>
      </c>
    </row>
    <row r="394" spans="1:12" x14ac:dyDescent="0.3">
      <c r="A394" s="27" t="s">
        <v>102</v>
      </c>
      <c r="B394" s="14" t="s">
        <v>77</v>
      </c>
      <c r="C394" s="9">
        <v>0</v>
      </c>
      <c r="D394" s="9"/>
      <c r="E394" s="9">
        <v>0</v>
      </c>
      <c r="F394" s="14" t="s">
        <v>73</v>
      </c>
      <c r="G394" s="15">
        <v>46168</v>
      </c>
      <c r="H394" s="15">
        <v>46171</v>
      </c>
      <c r="I394" s="14">
        <v>3</v>
      </c>
      <c r="J394" s="16">
        <v>0</v>
      </c>
      <c r="K394" s="15">
        <v>45987</v>
      </c>
      <c r="L394" s="28" t="s">
        <v>8</v>
      </c>
    </row>
    <row r="395" spans="1:12" x14ac:dyDescent="0.3">
      <c r="A395" s="27" t="s">
        <v>102</v>
      </c>
      <c r="B395" s="14" t="s">
        <v>77</v>
      </c>
      <c r="C395" s="3">
        <v>11190</v>
      </c>
      <c r="D395" s="3"/>
      <c r="E395" s="3">
        <v>11190</v>
      </c>
      <c r="F395" s="14" t="s">
        <v>75</v>
      </c>
      <c r="G395" s="15">
        <v>46172</v>
      </c>
      <c r="H395" s="15">
        <v>46176</v>
      </c>
      <c r="I395" s="14">
        <v>4</v>
      </c>
      <c r="J395" s="16">
        <v>5923.84</v>
      </c>
      <c r="K395" s="15">
        <v>45989</v>
      </c>
      <c r="L395" s="28" t="s">
        <v>13</v>
      </c>
    </row>
    <row r="396" spans="1:12" x14ac:dyDescent="0.3">
      <c r="A396" s="27" t="s">
        <v>102</v>
      </c>
      <c r="B396" s="14" t="s">
        <v>77</v>
      </c>
      <c r="C396" s="3">
        <v>76290</v>
      </c>
      <c r="D396" s="3"/>
      <c r="E396" s="3">
        <v>76290</v>
      </c>
      <c r="F396" s="14" t="s">
        <v>75</v>
      </c>
      <c r="G396" s="15">
        <v>46173</v>
      </c>
      <c r="H396" s="15">
        <v>46179</v>
      </c>
      <c r="I396" s="14">
        <v>6</v>
      </c>
      <c r="J396" s="16">
        <v>26068.32</v>
      </c>
      <c r="K396" s="15">
        <v>45790</v>
      </c>
      <c r="L396" s="28" t="s">
        <v>2</v>
      </c>
    </row>
    <row r="397" spans="1:12" x14ac:dyDescent="0.3">
      <c r="A397" s="27" t="s">
        <v>102</v>
      </c>
      <c r="B397" s="14" t="s">
        <v>77</v>
      </c>
      <c r="C397" s="3">
        <v>13600.86</v>
      </c>
      <c r="D397" s="3"/>
      <c r="E397" s="3">
        <v>13600.86</v>
      </c>
      <c r="F397" s="14" t="s">
        <v>80</v>
      </c>
      <c r="G397" s="15">
        <v>46173</v>
      </c>
      <c r="H397" s="15">
        <v>46175</v>
      </c>
      <c r="I397" s="14">
        <v>2</v>
      </c>
      <c r="J397" s="16">
        <v>7689.92</v>
      </c>
      <c r="K397" s="15">
        <v>45991</v>
      </c>
      <c r="L397" s="28" t="s">
        <v>15</v>
      </c>
    </row>
    <row r="398" spans="1:12" x14ac:dyDescent="0.3">
      <c r="A398" s="27" t="s">
        <v>102</v>
      </c>
      <c r="B398" s="14" t="s">
        <v>77</v>
      </c>
      <c r="C398" s="3">
        <v>43868.5</v>
      </c>
      <c r="D398" s="3"/>
      <c r="E398" s="3">
        <v>43868.5</v>
      </c>
      <c r="F398" s="14" t="s">
        <v>75</v>
      </c>
      <c r="G398" s="15">
        <v>46174</v>
      </c>
      <c r="H398" s="15">
        <v>46180</v>
      </c>
      <c r="I398" s="14">
        <v>6</v>
      </c>
      <c r="J398" s="16">
        <v>29644.02</v>
      </c>
      <c r="K398" s="15">
        <v>45838</v>
      </c>
      <c r="L398" s="28" t="s">
        <v>5</v>
      </c>
    </row>
    <row r="399" spans="1:12" x14ac:dyDescent="0.3">
      <c r="A399" s="27" t="s">
        <v>102</v>
      </c>
      <c r="B399" s="14" t="s">
        <v>77</v>
      </c>
      <c r="C399" s="3">
        <v>20652</v>
      </c>
      <c r="D399" s="3"/>
      <c r="E399" s="3">
        <v>20652</v>
      </c>
      <c r="F399" s="14" t="s">
        <v>75</v>
      </c>
      <c r="G399" s="15">
        <v>46179</v>
      </c>
      <c r="H399" s="15">
        <v>46187</v>
      </c>
      <c r="I399" s="14">
        <v>8</v>
      </c>
      <c r="J399" s="16">
        <v>10505.04</v>
      </c>
      <c r="K399" s="15">
        <v>45956</v>
      </c>
      <c r="L399" s="28" t="s">
        <v>1</v>
      </c>
    </row>
    <row r="400" spans="1:12" x14ac:dyDescent="0.3">
      <c r="A400" s="27" t="s">
        <v>102</v>
      </c>
      <c r="B400" s="14" t="s">
        <v>77</v>
      </c>
      <c r="C400" s="3">
        <v>16640</v>
      </c>
      <c r="D400" s="3"/>
      <c r="E400" s="3">
        <v>16640</v>
      </c>
      <c r="F400" s="14" t="s">
        <v>75</v>
      </c>
      <c r="G400" s="15">
        <v>46182</v>
      </c>
      <c r="H400" s="15">
        <v>46187</v>
      </c>
      <c r="I400" s="14">
        <v>5</v>
      </c>
      <c r="J400" s="16">
        <v>8218.85</v>
      </c>
      <c r="K400" s="15">
        <v>45965</v>
      </c>
      <c r="L400" s="28" t="s">
        <v>15</v>
      </c>
    </row>
    <row r="401" spans="1:12" x14ac:dyDescent="0.3">
      <c r="A401" s="27" t="s">
        <v>102</v>
      </c>
      <c r="B401" s="14" t="s">
        <v>77</v>
      </c>
      <c r="C401" s="9">
        <v>8588.6200000000008</v>
      </c>
      <c r="D401" s="9"/>
      <c r="E401" s="9">
        <v>8588.6200000000008</v>
      </c>
      <c r="F401" s="14" t="s">
        <v>75</v>
      </c>
      <c r="G401" s="15">
        <v>46183</v>
      </c>
      <c r="H401" s="15">
        <v>46187</v>
      </c>
      <c r="I401" s="14">
        <v>4</v>
      </c>
      <c r="J401" s="16">
        <v>3556.44</v>
      </c>
      <c r="K401" s="15">
        <v>45852</v>
      </c>
      <c r="L401" s="28" t="s">
        <v>15</v>
      </c>
    </row>
    <row r="402" spans="1:12" x14ac:dyDescent="0.3">
      <c r="A402" s="27" t="s">
        <v>102</v>
      </c>
      <c r="B402" s="14" t="s">
        <v>77</v>
      </c>
      <c r="C402" s="12">
        <v>22948</v>
      </c>
      <c r="D402" s="3"/>
      <c r="E402" s="12">
        <v>22948</v>
      </c>
      <c r="F402" s="14" t="s">
        <v>75</v>
      </c>
      <c r="G402" s="15">
        <v>46183</v>
      </c>
      <c r="H402" s="15">
        <v>46187</v>
      </c>
      <c r="I402" s="14">
        <v>4</v>
      </c>
      <c r="J402" s="16">
        <v>0</v>
      </c>
      <c r="K402" s="15">
        <v>45994</v>
      </c>
      <c r="L402" s="28" t="s">
        <v>31</v>
      </c>
    </row>
    <row r="403" spans="1:12" x14ac:dyDescent="0.3">
      <c r="A403" s="27" t="s">
        <v>102</v>
      </c>
      <c r="B403" s="14" t="s">
        <v>77</v>
      </c>
      <c r="C403" s="9">
        <v>6738.34</v>
      </c>
      <c r="D403" s="9"/>
      <c r="E403" s="9">
        <v>6738.34</v>
      </c>
      <c r="F403" s="14" t="s">
        <v>75</v>
      </c>
      <c r="G403" s="15">
        <v>46187</v>
      </c>
      <c r="H403" s="15">
        <v>46190</v>
      </c>
      <c r="I403" s="14">
        <v>3</v>
      </c>
      <c r="J403" s="16">
        <v>2667.33</v>
      </c>
      <c r="K403" s="15">
        <v>45877</v>
      </c>
      <c r="L403" s="28" t="s">
        <v>15</v>
      </c>
    </row>
    <row r="404" spans="1:12" x14ac:dyDescent="0.3">
      <c r="A404" s="27" t="s">
        <v>102</v>
      </c>
      <c r="B404" s="14" t="s">
        <v>77</v>
      </c>
      <c r="C404" s="12">
        <v>15570</v>
      </c>
      <c r="D404" s="3"/>
      <c r="E404" s="12">
        <v>15570</v>
      </c>
      <c r="F404" s="14" t="s">
        <v>75</v>
      </c>
      <c r="G404" s="15">
        <v>46189</v>
      </c>
      <c r="H404" s="15">
        <v>46194</v>
      </c>
      <c r="I404" s="14">
        <v>5</v>
      </c>
      <c r="J404" s="16">
        <v>6814.7</v>
      </c>
      <c r="K404" s="15">
        <v>45982</v>
      </c>
      <c r="L404" s="28" t="s">
        <v>15</v>
      </c>
    </row>
    <row r="405" spans="1:12" x14ac:dyDescent="0.3">
      <c r="A405" s="27" t="s">
        <v>102</v>
      </c>
      <c r="B405" s="14" t="s">
        <v>77</v>
      </c>
      <c r="C405" s="9">
        <v>19454</v>
      </c>
      <c r="D405" s="9"/>
      <c r="E405" s="9">
        <v>19454</v>
      </c>
      <c r="F405" s="14" t="s">
        <v>75</v>
      </c>
      <c r="G405" s="15">
        <v>46189</v>
      </c>
      <c r="H405" s="15">
        <v>46195</v>
      </c>
      <c r="I405" s="14">
        <v>6</v>
      </c>
      <c r="J405" s="16">
        <v>12623.64</v>
      </c>
      <c r="K405" s="15">
        <v>45983</v>
      </c>
      <c r="L405" s="28" t="s">
        <v>15</v>
      </c>
    </row>
    <row r="406" spans="1:12" x14ac:dyDescent="0.3">
      <c r="A406" s="27" t="s">
        <v>102</v>
      </c>
      <c r="B406" s="14" t="s">
        <v>77</v>
      </c>
      <c r="C406" s="9">
        <v>77296</v>
      </c>
      <c r="D406" s="9"/>
      <c r="E406" s="9">
        <v>77296</v>
      </c>
      <c r="F406" s="14" t="s">
        <v>75</v>
      </c>
      <c r="G406" s="15">
        <v>46189</v>
      </c>
      <c r="H406" s="15">
        <v>46195</v>
      </c>
      <c r="I406" s="14">
        <v>6</v>
      </c>
      <c r="J406" s="16">
        <v>41208.78</v>
      </c>
      <c r="K406" s="15">
        <v>45983</v>
      </c>
      <c r="L406" s="28" t="s">
        <v>15</v>
      </c>
    </row>
    <row r="407" spans="1:12" x14ac:dyDescent="0.3">
      <c r="A407" s="27" t="s">
        <v>102</v>
      </c>
      <c r="B407" s="14" t="s">
        <v>77</v>
      </c>
      <c r="C407" s="9"/>
      <c r="D407" s="9"/>
      <c r="E407" s="9"/>
      <c r="F407" s="14" t="s">
        <v>73</v>
      </c>
      <c r="G407" s="15">
        <v>46199</v>
      </c>
      <c r="H407" s="15">
        <v>46206</v>
      </c>
      <c r="I407" s="14">
        <v>7</v>
      </c>
      <c r="J407" s="16">
        <v>0</v>
      </c>
      <c r="K407" s="15">
        <v>45967</v>
      </c>
      <c r="L407" s="28" t="s">
        <v>2</v>
      </c>
    </row>
    <row r="408" spans="1:12" x14ac:dyDescent="0.3">
      <c r="A408" s="27" t="s">
        <v>102</v>
      </c>
      <c r="B408" s="14" t="s">
        <v>77</v>
      </c>
      <c r="C408" s="9">
        <v>27081.200000000001</v>
      </c>
      <c r="D408" s="9"/>
      <c r="E408" s="9">
        <v>27081.200000000001</v>
      </c>
      <c r="F408" s="14" t="s">
        <v>75</v>
      </c>
      <c r="G408" s="15">
        <v>46200</v>
      </c>
      <c r="H408" s="15">
        <v>46207</v>
      </c>
      <c r="I408" s="14">
        <v>7</v>
      </c>
      <c r="J408" s="16">
        <v>0</v>
      </c>
      <c r="K408" s="15">
        <v>45932</v>
      </c>
      <c r="L408" s="28"/>
    </row>
    <row r="409" spans="1:12" x14ac:dyDescent="0.3">
      <c r="A409" s="27" t="s">
        <v>102</v>
      </c>
      <c r="B409" s="14" t="s">
        <v>77</v>
      </c>
      <c r="C409" s="3">
        <v>39507.199999999997</v>
      </c>
      <c r="D409" s="3">
        <v>3128.64</v>
      </c>
      <c r="E409" s="3">
        <v>36378.5</v>
      </c>
      <c r="F409" s="14" t="s">
        <v>72</v>
      </c>
      <c r="G409" s="15">
        <v>46200</v>
      </c>
      <c r="H409" s="15">
        <v>46207</v>
      </c>
      <c r="I409" s="14">
        <v>7</v>
      </c>
      <c r="J409" s="16">
        <v>21843.15</v>
      </c>
      <c r="K409" s="15">
        <v>45700</v>
      </c>
      <c r="L409" s="28" t="s">
        <v>38</v>
      </c>
    </row>
    <row r="410" spans="1:12" x14ac:dyDescent="0.3">
      <c r="A410" s="27" t="s">
        <v>102</v>
      </c>
      <c r="B410" s="14" t="s">
        <v>77</v>
      </c>
      <c r="C410" s="3">
        <v>32484.54</v>
      </c>
      <c r="D410" s="3"/>
      <c r="E410" s="3">
        <v>32484.54</v>
      </c>
      <c r="F410" s="14" t="s">
        <v>80</v>
      </c>
      <c r="G410" s="15">
        <v>46201</v>
      </c>
      <c r="H410" s="15">
        <v>46207</v>
      </c>
      <c r="I410" s="14">
        <v>6</v>
      </c>
      <c r="J410" s="16">
        <v>18324.599999999999</v>
      </c>
      <c r="K410" s="15">
        <v>45899</v>
      </c>
      <c r="L410" s="28"/>
    </row>
    <row r="411" spans="1:12" x14ac:dyDescent="0.3">
      <c r="A411" s="27" t="s">
        <v>102</v>
      </c>
      <c r="B411" s="14" t="s">
        <v>77</v>
      </c>
      <c r="C411" s="3">
        <v>11527</v>
      </c>
      <c r="D411" s="3"/>
      <c r="E411" s="3">
        <v>11527</v>
      </c>
      <c r="F411" s="14" t="s">
        <v>75</v>
      </c>
      <c r="G411" s="15">
        <v>46202</v>
      </c>
      <c r="H411" s="15">
        <v>46206</v>
      </c>
      <c r="I411" s="14">
        <v>4</v>
      </c>
      <c r="J411" s="16">
        <v>5166.3599999999997</v>
      </c>
      <c r="K411" s="15">
        <v>45962</v>
      </c>
      <c r="L411" s="28" t="s">
        <v>31</v>
      </c>
    </row>
    <row r="412" spans="1:12" x14ac:dyDescent="0.3">
      <c r="A412" s="27" t="s">
        <v>102</v>
      </c>
      <c r="B412" s="14" t="s">
        <v>77</v>
      </c>
      <c r="C412" s="9">
        <v>15330</v>
      </c>
      <c r="D412" s="9"/>
      <c r="E412" s="9">
        <v>15330</v>
      </c>
      <c r="F412" s="14" t="s">
        <v>75</v>
      </c>
      <c r="G412" s="15">
        <v>46204</v>
      </c>
      <c r="H412" s="15">
        <v>46208</v>
      </c>
      <c r="I412" s="14">
        <v>4</v>
      </c>
      <c r="J412" s="16">
        <v>7210</v>
      </c>
      <c r="K412" s="15">
        <v>45995</v>
      </c>
      <c r="L412" s="28" t="s">
        <v>38</v>
      </c>
    </row>
    <row r="413" spans="1:12" x14ac:dyDescent="0.3">
      <c r="A413" s="27" t="s">
        <v>102</v>
      </c>
      <c r="B413" s="14" t="s">
        <v>77</v>
      </c>
      <c r="C413" s="9">
        <v>166491.18</v>
      </c>
      <c r="D413" s="9">
        <v>55204.34</v>
      </c>
      <c r="E413" s="9">
        <v>111286.84</v>
      </c>
      <c r="F413" s="14" t="s">
        <v>72</v>
      </c>
      <c r="G413" s="15">
        <v>46207</v>
      </c>
      <c r="H413" s="15">
        <v>46214</v>
      </c>
      <c r="I413" s="14">
        <v>7</v>
      </c>
      <c r="J413" s="16">
        <v>62663.44</v>
      </c>
      <c r="K413" s="15">
        <v>45919</v>
      </c>
      <c r="L413" s="28" t="s">
        <v>15</v>
      </c>
    </row>
    <row r="414" spans="1:12" x14ac:dyDescent="0.3">
      <c r="A414" s="27" t="s">
        <v>102</v>
      </c>
      <c r="B414" s="14" t="s">
        <v>77</v>
      </c>
      <c r="C414" s="9">
        <v>54326.16</v>
      </c>
      <c r="D414" s="9"/>
      <c r="E414" s="9">
        <v>54326.16</v>
      </c>
      <c r="F414" s="14" t="s">
        <v>75</v>
      </c>
      <c r="G414" s="15">
        <v>46207</v>
      </c>
      <c r="H414" s="15">
        <v>46214</v>
      </c>
      <c r="I414" s="14">
        <v>7</v>
      </c>
      <c r="J414" s="16">
        <v>21826.07</v>
      </c>
      <c r="K414" s="15">
        <v>45919</v>
      </c>
      <c r="L414" s="28" t="s">
        <v>15</v>
      </c>
    </row>
    <row r="415" spans="1:12" x14ac:dyDescent="0.3">
      <c r="A415" s="27" t="s">
        <v>102</v>
      </c>
      <c r="B415" s="14" t="s">
        <v>77</v>
      </c>
      <c r="C415" s="3">
        <v>29690</v>
      </c>
      <c r="D415" s="3">
        <v>29690</v>
      </c>
      <c r="E415" s="9"/>
      <c r="F415" s="14" t="s">
        <v>70</v>
      </c>
      <c r="G415" s="15">
        <v>46208</v>
      </c>
      <c r="H415" s="15">
        <v>46213</v>
      </c>
      <c r="I415" s="14">
        <v>5</v>
      </c>
      <c r="J415" s="16">
        <v>9021</v>
      </c>
      <c r="K415" s="15">
        <v>45839</v>
      </c>
      <c r="L415" s="28" t="s">
        <v>26</v>
      </c>
    </row>
    <row r="416" spans="1:12" x14ac:dyDescent="0.3">
      <c r="A416" s="27" t="s">
        <v>102</v>
      </c>
      <c r="B416" s="14" t="s">
        <v>77</v>
      </c>
      <c r="C416" s="9">
        <v>15618</v>
      </c>
      <c r="D416" s="9"/>
      <c r="E416" s="9">
        <v>15618</v>
      </c>
      <c r="F416" s="14" t="s">
        <v>75</v>
      </c>
      <c r="G416" s="15">
        <v>46208</v>
      </c>
      <c r="H416" s="15">
        <v>46216</v>
      </c>
      <c r="I416" s="14">
        <v>8</v>
      </c>
      <c r="J416" s="16">
        <v>3822.88</v>
      </c>
      <c r="K416" s="15">
        <v>45988</v>
      </c>
      <c r="L416" s="28" t="s">
        <v>13</v>
      </c>
    </row>
    <row r="417" spans="1:12" x14ac:dyDescent="0.3">
      <c r="A417" s="27" t="s">
        <v>102</v>
      </c>
      <c r="B417" s="14" t="s">
        <v>77</v>
      </c>
      <c r="C417" s="3">
        <v>32389.599999999999</v>
      </c>
      <c r="D417" s="3"/>
      <c r="E417" s="3">
        <v>32389.599999999999</v>
      </c>
      <c r="F417" s="14" t="s">
        <v>75</v>
      </c>
      <c r="G417" s="15">
        <v>46214</v>
      </c>
      <c r="H417" s="15">
        <v>46220</v>
      </c>
      <c r="I417" s="14">
        <v>6</v>
      </c>
      <c r="J417" s="16">
        <v>11115.36</v>
      </c>
      <c r="K417" s="15">
        <v>45879</v>
      </c>
      <c r="L417" s="28" t="s">
        <v>15</v>
      </c>
    </row>
    <row r="418" spans="1:12" x14ac:dyDescent="0.3">
      <c r="A418" s="27" t="s">
        <v>102</v>
      </c>
      <c r="B418" s="14" t="s">
        <v>77</v>
      </c>
      <c r="C418" s="9">
        <v>13912</v>
      </c>
      <c r="D418" s="9"/>
      <c r="E418" s="9">
        <v>13912</v>
      </c>
      <c r="F418" s="14" t="s">
        <v>75</v>
      </c>
      <c r="G418" s="15">
        <v>46215</v>
      </c>
      <c r="H418" s="15">
        <v>46219</v>
      </c>
      <c r="I418" s="14">
        <v>4</v>
      </c>
      <c r="J418" s="16">
        <v>5898.96</v>
      </c>
      <c r="K418" s="15">
        <v>45979</v>
      </c>
      <c r="L418" s="28" t="s">
        <v>31</v>
      </c>
    </row>
    <row r="419" spans="1:12" x14ac:dyDescent="0.3">
      <c r="A419" s="27" t="s">
        <v>102</v>
      </c>
      <c r="B419" s="14" t="s">
        <v>77</v>
      </c>
      <c r="C419" s="3">
        <v>16996.98</v>
      </c>
      <c r="D419" s="3"/>
      <c r="E419" s="3">
        <v>16996.98</v>
      </c>
      <c r="F419" s="14" t="s">
        <v>75</v>
      </c>
      <c r="G419" s="15">
        <v>46216</v>
      </c>
      <c r="H419" s="15">
        <v>46221</v>
      </c>
      <c r="I419" s="14">
        <v>5</v>
      </c>
      <c r="J419" s="16">
        <v>7903.7</v>
      </c>
      <c r="K419" s="15">
        <v>45801</v>
      </c>
      <c r="L419" s="28" t="s">
        <v>2</v>
      </c>
    </row>
    <row r="420" spans="1:12" x14ac:dyDescent="0.3">
      <c r="A420" s="27" t="s">
        <v>102</v>
      </c>
      <c r="B420" s="14" t="s">
        <v>77</v>
      </c>
      <c r="C420" s="3">
        <v>31725.22</v>
      </c>
      <c r="D420" s="3"/>
      <c r="E420" s="3">
        <v>31725.22</v>
      </c>
      <c r="F420" s="14" t="s">
        <v>75</v>
      </c>
      <c r="G420" s="15">
        <v>46216</v>
      </c>
      <c r="H420" s="15">
        <v>46225</v>
      </c>
      <c r="I420" s="14">
        <v>9</v>
      </c>
      <c r="J420" s="16">
        <v>14265.27</v>
      </c>
      <c r="K420" s="15">
        <v>45800</v>
      </c>
      <c r="L420" s="28" t="s">
        <v>18</v>
      </c>
    </row>
    <row r="421" spans="1:12" x14ac:dyDescent="0.3">
      <c r="A421" s="27" t="s">
        <v>102</v>
      </c>
      <c r="B421" s="14" t="s">
        <v>77</v>
      </c>
      <c r="C421" s="3">
        <v>35389.949999999997</v>
      </c>
      <c r="D421" s="3"/>
      <c r="E421" s="3">
        <v>35389.949999999997</v>
      </c>
      <c r="F421" s="14" t="s">
        <v>75</v>
      </c>
      <c r="G421" s="15">
        <v>46219</v>
      </c>
      <c r="H421" s="15">
        <v>46226</v>
      </c>
      <c r="I421" s="14">
        <v>7</v>
      </c>
      <c r="J421" s="16">
        <v>17119.900000000001</v>
      </c>
      <c r="K421" s="15">
        <v>45945</v>
      </c>
      <c r="L421" s="28" t="s">
        <v>24</v>
      </c>
    </row>
    <row r="422" spans="1:12" x14ac:dyDescent="0.3">
      <c r="A422" s="27" t="s">
        <v>102</v>
      </c>
      <c r="B422" s="14" t="s">
        <v>77</v>
      </c>
      <c r="C422" s="3">
        <v>14796.48</v>
      </c>
      <c r="D422" s="3"/>
      <c r="E422" s="3">
        <v>14796.48</v>
      </c>
      <c r="F422" s="14" t="s">
        <v>75</v>
      </c>
      <c r="G422" s="15">
        <v>46222</v>
      </c>
      <c r="H422" s="15">
        <v>46227</v>
      </c>
      <c r="I422" s="14">
        <v>5</v>
      </c>
      <c r="J422" s="16">
        <v>8796.15</v>
      </c>
      <c r="K422" s="15">
        <v>45878</v>
      </c>
      <c r="L422" s="28" t="s">
        <v>15</v>
      </c>
    </row>
    <row r="423" spans="1:12" x14ac:dyDescent="0.3">
      <c r="A423" s="27" t="s">
        <v>102</v>
      </c>
      <c r="B423" s="14" t="s">
        <v>77</v>
      </c>
      <c r="C423" s="3">
        <v>18815.95</v>
      </c>
      <c r="D423" s="3"/>
      <c r="E423" s="3">
        <v>18815.95</v>
      </c>
      <c r="F423" s="14" t="s">
        <v>75</v>
      </c>
      <c r="G423" s="15">
        <v>46223</v>
      </c>
      <c r="H423" s="15">
        <v>46228</v>
      </c>
      <c r="I423" s="14">
        <v>5</v>
      </c>
      <c r="J423" s="16">
        <v>10703.55</v>
      </c>
      <c r="K423" s="15">
        <v>45909</v>
      </c>
      <c r="L423" s="28" t="s">
        <v>9</v>
      </c>
    </row>
    <row r="424" spans="1:12" x14ac:dyDescent="0.3">
      <c r="A424" s="27" t="s">
        <v>102</v>
      </c>
      <c r="B424" s="14" t="s">
        <v>77</v>
      </c>
      <c r="C424" s="3">
        <v>22656</v>
      </c>
      <c r="D424" s="3"/>
      <c r="E424" s="3">
        <v>22656</v>
      </c>
      <c r="F424" s="14" t="s">
        <v>75</v>
      </c>
      <c r="G424" s="15">
        <v>46225</v>
      </c>
      <c r="H424" s="15">
        <v>46233</v>
      </c>
      <c r="I424" s="14">
        <v>8</v>
      </c>
      <c r="J424" s="16">
        <v>11300.4</v>
      </c>
      <c r="K424" s="15">
        <v>45992</v>
      </c>
      <c r="L424" s="28" t="s">
        <v>15</v>
      </c>
    </row>
    <row r="425" spans="1:12" x14ac:dyDescent="0.3">
      <c r="A425" s="27" t="s">
        <v>102</v>
      </c>
      <c r="B425" s="14" t="s">
        <v>77</v>
      </c>
      <c r="C425" s="3">
        <v>34859.949999999997</v>
      </c>
      <c r="D425" s="3"/>
      <c r="E425" s="3">
        <v>34859.949999999997</v>
      </c>
      <c r="F425" s="14" t="s">
        <v>75</v>
      </c>
      <c r="G425" s="15">
        <v>46228</v>
      </c>
      <c r="H425" s="15">
        <v>46233</v>
      </c>
      <c r="I425" s="14">
        <v>5</v>
      </c>
      <c r="J425" s="16">
        <v>14766.45</v>
      </c>
      <c r="K425" s="15">
        <v>45990</v>
      </c>
      <c r="L425" s="28" t="s">
        <v>15</v>
      </c>
    </row>
    <row r="426" spans="1:12" x14ac:dyDescent="0.3">
      <c r="A426" s="27" t="s">
        <v>102</v>
      </c>
      <c r="B426" s="14" t="s">
        <v>77</v>
      </c>
      <c r="C426" s="3">
        <v>22006.6</v>
      </c>
      <c r="D426" s="3"/>
      <c r="E426" s="3">
        <v>22006.6</v>
      </c>
      <c r="F426" s="14" t="s">
        <v>75</v>
      </c>
      <c r="G426" s="15">
        <v>46233</v>
      </c>
      <c r="H426" s="15">
        <v>46240</v>
      </c>
      <c r="I426" s="14">
        <v>7</v>
      </c>
      <c r="J426" s="16">
        <v>8738.24</v>
      </c>
      <c r="K426" s="15">
        <v>45905</v>
      </c>
      <c r="L426" s="28" t="s">
        <v>36</v>
      </c>
    </row>
    <row r="427" spans="1:12" x14ac:dyDescent="0.3">
      <c r="A427" s="27" t="s">
        <v>102</v>
      </c>
      <c r="B427" s="14" t="s">
        <v>77</v>
      </c>
      <c r="C427" s="3">
        <v>12694</v>
      </c>
      <c r="D427" s="3"/>
      <c r="E427" s="3">
        <v>12694</v>
      </c>
      <c r="F427" s="14" t="s">
        <v>75</v>
      </c>
      <c r="G427" s="15">
        <v>46234</v>
      </c>
      <c r="H427" s="15">
        <v>46238</v>
      </c>
      <c r="I427" s="14">
        <v>4</v>
      </c>
      <c r="J427" s="16">
        <v>6573.44</v>
      </c>
      <c r="K427" s="15">
        <v>45918</v>
      </c>
      <c r="L427" s="28" t="s">
        <v>14</v>
      </c>
    </row>
    <row r="428" spans="1:12" x14ac:dyDescent="0.3">
      <c r="A428" s="27" t="s">
        <v>102</v>
      </c>
      <c r="B428" s="14" t="s">
        <v>77</v>
      </c>
      <c r="C428" s="3">
        <v>11555.6</v>
      </c>
      <c r="D428" s="3"/>
      <c r="E428" s="3">
        <v>11555.6</v>
      </c>
      <c r="F428" s="14" t="s">
        <v>75</v>
      </c>
      <c r="G428" s="15">
        <v>46235</v>
      </c>
      <c r="H428" s="15">
        <v>46238</v>
      </c>
      <c r="I428" s="14">
        <v>3</v>
      </c>
      <c r="J428" s="16">
        <v>5174.82</v>
      </c>
      <c r="K428" s="15">
        <v>45926</v>
      </c>
      <c r="L428" s="28" t="s">
        <v>16</v>
      </c>
    </row>
    <row r="429" spans="1:12" x14ac:dyDescent="0.3">
      <c r="A429" s="27" t="s">
        <v>102</v>
      </c>
      <c r="B429" s="14" t="s">
        <v>77</v>
      </c>
      <c r="C429" s="3">
        <v>16628</v>
      </c>
      <c r="D429" s="3"/>
      <c r="E429" s="3">
        <v>16628</v>
      </c>
      <c r="F429" s="14" t="s">
        <v>75</v>
      </c>
      <c r="G429" s="15">
        <v>46235</v>
      </c>
      <c r="H429" s="15">
        <v>46242</v>
      </c>
      <c r="I429" s="14">
        <v>7</v>
      </c>
      <c r="J429" s="16">
        <v>7886.55</v>
      </c>
      <c r="K429" s="15">
        <v>45961</v>
      </c>
      <c r="L429" s="28" t="s">
        <v>32</v>
      </c>
    </row>
    <row r="430" spans="1:12" x14ac:dyDescent="0.3">
      <c r="A430" s="27" t="s">
        <v>102</v>
      </c>
      <c r="B430" s="14" t="s">
        <v>77</v>
      </c>
      <c r="C430" s="9">
        <v>14240.04</v>
      </c>
      <c r="D430" s="9"/>
      <c r="E430" s="9">
        <v>14240.04</v>
      </c>
      <c r="F430" s="14" t="s">
        <v>75</v>
      </c>
      <c r="G430" s="15">
        <v>46235</v>
      </c>
      <c r="H430" s="15">
        <v>46238</v>
      </c>
      <c r="I430" s="14">
        <v>3</v>
      </c>
      <c r="J430" s="16">
        <v>8044.14</v>
      </c>
      <c r="K430" s="15">
        <v>45991</v>
      </c>
      <c r="L430" s="28" t="s">
        <v>15</v>
      </c>
    </row>
    <row r="431" spans="1:12" x14ac:dyDescent="0.3">
      <c r="A431" s="27" t="s">
        <v>102</v>
      </c>
      <c r="B431" s="14" t="s">
        <v>77</v>
      </c>
      <c r="C431" s="9">
        <v>12924.88</v>
      </c>
      <c r="D431" s="9"/>
      <c r="E431" s="9">
        <v>12924.88</v>
      </c>
      <c r="F431" s="14" t="s">
        <v>75</v>
      </c>
      <c r="G431" s="15">
        <v>46238</v>
      </c>
      <c r="H431" s="15">
        <v>46242</v>
      </c>
      <c r="I431" s="14">
        <v>4</v>
      </c>
      <c r="J431" s="16">
        <v>7208.68</v>
      </c>
      <c r="K431" s="15">
        <v>45991</v>
      </c>
      <c r="L431" s="28" t="s">
        <v>15</v>
      </c>
    </row>
    <row r="432" spans="1:12" x14ac:dyDescent="0.3">
      <c r="A432" s="27" t="s">
        <v>102</v>
      </c>
      <c r="B432" s="14" t="s">
        <v>77</v>
      </c>
      <c r="C432" s="3">
        <v>11942</v>
      </c>
      <c r="D432" s="3"/>
      <c r="E432" s="3">
        <v>11942</v>
      </c>
      <c r="F432" s="14" t="s">
        <v>75</v>
      </c>
      <c r="G432" s="15">
        <v>46239</v>
      </c>
      <c r="H432" s="15">
        <v>46243</v>
      </c>
      <c r="I432" s="14">
        <v>4</v>
      </c>
      <c r="J432" s="16">
        <v>4395.6000000000004</v>
      </c>
      <c r="K432" s="15">
        <v>45983</v>
      </c>
      <c r="L432" s="28" t="s">
        <v>31</v>
      </c>
    </row>
    <row r="433" spans="1:12" x14ac:dyDescent="0.3">
      <c r="A433" s="27" t="s">
        <v>102</v>
      </c>
      <c r="B433" s="14" t="s">
        <v>77</v>
      </c>
      <c r="C433" s="3">
        <v>38386.6</v>
      </c>
      <c r="D433" s="3"/>
      <c r="E433" s="3">
        <v>38386.6</v>
      </c>
      <c r="F433" s="14" t="s">
        <v>75</v>
      </c>
      <c r="G433" s="15">
        <v>46242</v>
      </c>
      <c r="H433" s="15">
        <v>46249</v>
      </c>
      <c r="I433" s="14">
        <v>7</v>
      </c>
      <c r="J433" s="16">
        <v>21238.28</v>
      </c>
      <c r="K433" s="15">
        <v>45902</v>
      </c>
      <c r="L433" s="28" t="s">
        <v>14</v>
      </c>
    </row>
    <row r="434" spans="1:12" x14ac:dyDescent="0.3">
      <c r="A434" s="27" t="s">
        <v>102</v>
      </c>
      <c r="B434" s="14" t="s">
        <v>77</v>
      </c>
      <c r="C434" s="3">
        <v>23745.439999999999</v>
      </c>
      <c r="D434" s="3"/>
      <c r="E434" s="3">
        <v>23745.439999999999</v>
      </c>
      <c r="F434" s="14" t="s">
        <v>75</v>
      </c>
      <c r="G434" s="15">
        <v>46245</v>
      </c>
      <c r="H434" s="15">
        <v>46248</v>
      </c>
      <c r="I434" s="14">
        <v>3</v>
      </c>
      <c r="J434" s="16">
        <v>14515.74</v>
      </c>
      <c r="K434" s="15">
        <v>45969</v>
      </c>
      <c r="L434" s="28" t="s">
        <v>15</v>
      </c>
    </row>
    <row r="435" spans="1:12" x14ac:dyDescent="0.3">
      <c r="A435" s="27" t="s">
        <v>102</v>
      </c>
      <c r="B435" s="14" t="s">
        <v>77</v>
      </c>
      <c r="C435" s="3">
        <v>43865.05</v>
      </c>
      <c r="D435" s="3"/>
      <c r="E435" s="3">
        <v>43865.05</v>
      </c>
      <c r="F435" s="14" t="s">
        <v>75</v>
      </c>
      <c r="G435" s="15">
        <v>46246</v>
      </c>
      <c r="H435" s="15">
        <v>46250</v>
      </c>
      <c r="I435" s="14">
        <v>4</v>
      </c>
      <c r="J435" s="16">
        <v>28985.08</v>
      </c>
      <c r="K435" s="15">
        <v>45974</v>
      </c>
      <c r="L435" s="28" t="s">
        <v>14</v>
      </c>
    </row>
    <row r="436" spans="1:12" x14ac:dyDescent="0.3">
      <c r="A436" s="27" t="s">
        <v>102</v>
      </c>
      <c r="B436" s="14" t="s">
        <v>77</v>
      </c>
      <c r="C436" s="3">
        <v>17165</v>
      </c>
      <c r="D436" s="3"/>
      <c r="E436" s="3">
        <v>17165</v>
      </c>
      <c r="F436" s="14" t="s">
        <v>75</v>
      </c>
      <c r="G436" s="15">
        <v>46248</v>
      </c>
      <c r="H436" s="15">
        <v>46253</v>
      </c>
      <c r="I436" s="14">
        <v>5</v>
      </c>
      <c r="J436" s="16">
        <v>6740.5</v>
      </c>
      <c r="K436" s="15">
        <v>45935</v>
      </c>
      <c r="L436" s="28" t="s">
        <v>2</v>
      </c>
    </row>
    <row r="437" spans="1:12" x14ac:dyDescent="0.3">
      <c r="A437" s="27" t="s">
        <v>102</v>
      </c>
      <c r="B437" s="14" t="s">
        <v>77</v>
      </c>
      <c r="C437" s="3">
        <v>12392.04</v>
      </c>
      <c r="D437" s="3"/>
      <c r="E437" s="3">
        <v>12392.04</v>
      </c>
      <c r="F437" s="14" t="s">
        <v>75</v>
      </c>
      <c r="G437" s="15">
        <v>46249</v>
      </c>
      <c r="H437" s="15">
        <v>46253</v>
      </c>
      <c r="I437" s="14">
        <v>4</v>
      </c>
      <c r="J437" s="16">
        <v>6394.24</v>
      </c>
      <c r="K437" s="15">
        <v>45965</v>
      </c>
      <c r="L437" s="28" t="s">
        <v>9</v>
      </c>
    </row>
    <row r="438" spans="1:12" x14ac:dyDescent="0.3">
      <c r="A438" s="27" t="s">
        <v>102</v>
      </c>
      <c r="B438" s="14" t="s">
        <v>77</v>
      </c>
      <c r="C438" s="3">
        <v>13679.36</v>
      </c>
      <c r="D438" s="3"/>
      <c r="E438" s="3">
        <v>13679.36</v>
      </c>
      <c r="F438" s="14" t="s">
        <v>75</v>
      </c>
      <c r="G438" s="15">
        <v>46252</v>
      </c>
      <c r="H438" s="15">
        <v>46255</v>
      </c>
      <c r="I438" s="14">
        <v>3</v>
      </c>
      <c r="J438" s="16">
        <v>8102.37</v>
      </c>
      <c r="K438" s="15">
        <v>45938</v>
      </c>
      <c r="L438" s="28"/>
    </row>
    <row r="439" spans="1:12" x14ac:dyDescent="0.3">
      <c r="A439" s="27" t="s">
        <v>102</v>
      </c>
      <c r="B439" s="14" t="s">
        <v>77</v>
      </c>
      <c r="C439" s="3">
        <v>17340</v>
      </c>
      <c r="D439" s="3"/>
      <c r="E439" s="3">
        <v>17340</v>
      </c>
      <c r="F439" s="14" t="s">
        <v>75</v>
      </c>
      <c r="G439" s="15">
        <v>46252</v>
      </c>
      <c r="H439" s="15">
        <v>46256</v>
      </c>
      <c r="I439" s="14">
        <v>4</v>
      </c>
      <c r="J439" s="16">
        <v>8236.2000000000007</v>
      </c>
      <c r="K439" s="15">
        <v>45920</v>
      </c>
      <c r="L439" s="28" t="s">
        <v>14</v>
      </c>
    </row>
    <row r="440" spans="1:12" x14ac:dyDescent="0.3">
      <c r="A440" s="27" t="s">
        <v>102</v>
      </c>
      <c r="B440" s="14" t="s">
        <v>77</v>
      </c>
      <c r="C440" s="9"/>
      <c r="D440" s="9"/>
      <c r="E440" s="9"/>
      <c r="F440" s="14" t="s">
        <v>73</v>
      </c>
      <c r="G440" s="15">
        <v>46260</v>
      </c>
      <c r="H440" s="15">
        <v>46262</v>
      </c>
      <c r="I440" s="14">
        <v>2</v>
      </c>
      <c r="J440" s="16">
        <v>0</v>
      </c>
      <c r="K440" s="15">
        <v>45961</v>
      </c>
      <c r="L440" s="28" t="s">
        <v>31</v>
      </c>
    </row>
    <row r="441" spans="1:12" x14ac:dyDescent="0.3">
      <c r="A441" s="27" t="s">
        <v>102</v>
      </c>
      <c r="B441" s="14" t="s">
        <v>77</v>
      </c>
      <c r="C441" s="3">
        <v>21835.24</v>
      </c>
      <c r="D441" s="3"/>
      <c r="E441" s="3">
        <v>21835.24</v>
      </c>
      <c r="F441" s="14" t="s">
        <v>75</v>
      </c>
      <c r="G441" s="15">
        <v>46264</v>
      </c>
      <c r="H441" s="15">
        <v>46267</v>
      </c>
      <c r="I441" s="14">
        <v>3</v>
      </c>
      <c r="J441" s="16">
        <v>12940.47</v>
      </c>
      <c r="K441" s="15">
        <v>45579</v>
      </c>
      <c r="L441" s="28" t="s">
        <v>60</v>
      </c>
    </row>
    <row r="442" spans="1:12" x14ac:dyDescent="0.3">
      <c r="A442" s="27" t="s">
        <v>102</v>
      </c>
      <c r="B442" s="14" t="s">
        <v>77</v>
      </c>
      <c r="C442" s="3">
        <v>8340.5400000000009</v>
      </c>
      <c r="D442" s="3"/>
      <c r="E442" s="3">
        <v>8340.5400000000009</v>
      </c>
      <c r="F442" s="14" t="s">
        <v>75</v>
      </c>
      <c r="G442" s="15">
        <v>46270</v>
      </c>
      <c r="H442" s="15">
        <v>46273</v>
      </c>
      <c r="I442" s="14">
        <v>3</v>
      </c>
      <c r="J442" s="16">
        <v>4489.1099999999997</v>
      </c>
      <c r="K442" s="15">
        <v>45734</v>
      </c>
      <c r="L442" s="28" t="s">
        <v>2</v>
      </c>
    </row>
    <row r="443" spans="1:12" x14ac:dyDescent="0.3">
      <c r="A443" s="27" t="s">
        <v>102</v>
      </c>
      <c r="B443" s="14" t="s">
        <v>77</v>
      </c>
      <c r="C443" s="3">
        <v>21113.599999999999</v>
      </c>
      <c r="D443" s="3"/>
      <c r="E443" s="3">
        <v>21113.599999999999</v>
      </c>
      <c r="F443" s="14" t="s">
        <v>75</v>
      </c>
      <c r="G443" s="15">
        <v>46272</v>
      </c>
      <c r="H443" s="15">
        <v>46279</v>
      </c>
      <c r="I443" s="14">
        <v>7</v>
      </c>
      <c r="J443" s="16">
        <v>10634.61</v>
      </c>
      <c r="K443" s="15">
        <v>45914</v>
      </c>
      <c r="L443" s="28" t="s">
        <v>2</v>
      </c>
    </row>
    <row r="444" spans="1:12" x14ac:dyDescent="0.3">
      <c r="A444" s="27" t="s">
        <v>102</v>
      </c>
      <c r="B444" s="14" t="s">
        <v>77</v>
      </c>
      <c r="C444" s="3">
        <v>42836</v>
      </c>
      <c r="D444" s="3"/>
      <c r="E444" s="3">
        <v>42836</v>
      </c>
      <c r="F444" s="14" t="s">
        <v>75</v>
      </c>
      <c r="G444" s="15">
        <v>46274</v>
      </c>
      <c r="H444" s="15">
        <v>46283</v>
      </c>
      <c r="I444" s="14">
        <v>9</v>
      </c>
      <c r="J444" s="16">
        <v>15713.28</v>
      </c>
      <c r="K444" s="15">
        <v>45972</v>
      </c>
      <c r="L444" s="28" t="s">
        <v>2</v>
      </c>
    </row>
    <row r="445" spans="1:12" x14ac:dyDescent="0.3">
      <c r="A445" s="27" t="s">
        <v>102</v>
      </c>
      <c r="B445" s="14" t="s">
        <v>77</v>
      </c>
      <c r="C445" s="9"/>
      <c r="D445" s="9"/>
      <c r="E445" s="9"/>
      <c r="F445" s="14" t="s">
        <v>73</v>
      </c>
      <c r="G445" s="15">
        <v>46285</v>
      </c>
      <c r="H445" s="15">
        <v>46287</v>
      </c>
      <c r="I445" s="14">
        <v>2</v>
      </c>
      <c r="J445" s="16">
        <v>0</v>
      </c>
      <c r="K445" s="15">
        <v>45910</v>
      </c>
      <c r="L445" s="28" t="s">
        <v>38</v>
      </c>
    </row>
    <row r="446" spans="1:12" x14ac:dyDescent="0.3">
      <c r="A446" s="27" t="s">
        <v>102</v>
      </c>
      <c r="B446" s="14" t="s">
        <v>77</v>
      </c>
      <c r="C446" s="3">
        <v>14182.82</v>
      </c>
      <c r="D446" s="3"/>
      <c r="E446" s="3">
        <v>14182.82</v>
      </c>
      <c r="F446" s="14" t="s">
        <v>75</v>
      </c>
      <c r="G446" s="15">
        <v>46288</v>
      </c>
      <c r="H446" s="15">
        <v>46292</v>
      </c>
      <c r="I446" s="14">
        <v>4</v>
      </c>
      <c r="J446" s="16">
        <v>7082.04</v>
      </c>
      <c r="K446" s="15">
        <v>45893</v>
      </c>
      <c r="L446" s="28" t="s">
        <v>38</v>
      </c>
    </row>
    <row r="447" spans="1:12" x14ac:dyDescent="0.3">
      <c r="A447" s="27" t="s">
        <v>102</v>
      </c>
      <c r="B447" s="14" t="s">
        <v>77</v>
      </c>
      <c r="C447" s="3">
        <v>12571.45</v>
      </c>
      <c r="D447" s="3"/>
      <c r="E447" s="3">
        <v>12571.45</v>
      </c>
      <c r="F447" s="14" t="s">
        <v>75</v>
      </c>
      <c r="G447" s="15">
        <v>46293</v>
      </c>
      <c r="H447" s="15">
        <v>46297</v>
      </c>
      <c r="I447" s="14">
        <v>4</v>
      </c>
      <c r="J447" s="16">
        <v>6147.32</v>
      </c>
      <c r="K447" s="15">
        <v>45953</v>
      </c>
      <c r="L447" s="28" t="s">
        <v>41</v>
      </c>
    </row>
    <row r="448" spans="1:12" x14ac:dyDescent="0.3">
      <c r="A448" s="27" t="s">
        <v>102</v>
      </c>
      <c r="B448" s="14" t="s">
        <v>77</v>
      </c>
      <c r="C448" s="3">
        <v>16549.5</v>
      </c>
      <c r="D448" s="3"/>
      <c r="E448" s="3">
        <v>16549.5</v>
      </c>
      <c r="F448" s="14" t="s">
        <v>75</v>
      </c>
      <c r="G448" s="15">
        <v>46295</v>
      </c>
      <c r="H448" s="15">
        <v>46299</v>
      </c>
      <c r="I448" s="14">
        <v>4</v>
      </c>
      <c r="J448" s="16">
        <v>5105.3</v>
      </c>
      <c r="K448" s="15">
        <v>45995</v>
      </c>
      <c r="L448" s="28" t="s">
        <v>31</v>
      </c>
    </row>
    <row r="449" spans="1:12" x14ac:dyDescent="0.3">
      <c r="A449" s="27" t="s">
        <v>102</v>
      </c>
      <c r="B449" s="14" t="s">
        <v>77</v>
      </c>
      <c r="C449" s="9"/>
      <c r="D449" s="9"/>
      <c r="E449" s="9"/>
      <c r="F449" s="14" t="s">
        <v>74</v>
      </c>
      <c r="G449" s="15">
        <v>46312</v>
      </c>
      <c r="H449" s="15">
        <v>46319</v>
      </c>
      <c r="I449" s="14">
        <v>7</v>
      </c>
      <c r="J449" s="16">
        <v>33912.199999999997</v>
      </c>
      <c r="K449" s="15">
        <v>45996</v>
      </c>
      <c r="L449" s="28" t="s">
        <v>2</v>
      </c>
    </row>
    <row r="450" spans="1:12" x14ac:dyDescent="0.3">
      <c r="A450" s="27" t="s">
        <v>102</v>
      </c>
      <c r="B450" s="14" t="s">
        <v>77</v>
      </c>
      <c r="C450" s="3">
        <v>104658.73</v>
      </c>
      <c r="D450" s="3">
        <v>28195.99</v>
      </c>
      <c r="E450" s="3">
        <v>76462.289999999994</v>
      </c>
      <c r="F450" s="14" t="s">
        <v>72</v>
      </c>
      <c r="G450" s="15">
        <v>46312</v>
      </c>
      <c r="H450" s="15">
        <v>46324</v>
      </c>
      <c r="I450" s="14">
        <v>12</v>
      </c>
      <c r="J450" s="16">
        <v>58962.36</v>
      </c>
      <c r="K450" s="15">
        <v>45959</v>
      </c>
      <c r="L450" s="28" t="s">
        <v>2</v>
      </c>
    </row>
    <row r="451" spans="1:12" x14ac:dyDescent="0.3">
      <c r="A451" s="27" t="s">
        <v>102</v>
      </c>
      <c r="B451" s="14" t="s">
        <v>77</v>
      </c>
      <c r="C451" s="3">
        <v>42422.559999999998</v>
      </c>
      <c r="D451" s="3"/>
      <c r="E451" s="3">
        <v>42422.559999999998</v>
      </c>
      <c r="F451" s="14" t="s">
        <v>75</v>
      </c>
      <c r="G451" s="15">
        <v>46312</v>
      </c>
      <c r="H451" s="15">
        <v>46323</v>
      </c>
      <c r="I451" s="14">
        <v>11</v>
      </c>
      <c r="J451" s="16">
        <v>14017.08</v>
      </c>
      <c r="K451" s="15">
        <v>45918</v>
      </c>
      <c r="L451" s="28" t="s">
        <v>2</v>
      </c>
    </row>
    <row r="452" spans="1:12" x14ac:dyDescent="0.3">
      <c r="A452" s="27" t="s">
        <v>102</v>
      </c>
      <c r="B452" s="14" t="s">
        <v>77</v>
      </c>
      <c r="C452" s="3">
        <v>45632.56</v>
      </c>
      <c r="D452" s="3"/>
      <c r="E452" s="3">
        <v>45632.56</v>
      </c>
      <c r="F452" s="14" t="s">
        <v>75</v>
      </c>
      <c r="G452" s="15">
        <v>46314</v>
      </c>
      <c r="H452" s="15">
        <v>46318</v>
      </c>
      <c r="I452" s="14">
        <v>4</v>
      </c>
      <c r="J452" s="16">
        <v>25484.240000000002</v>
      </c>
      <c r="K452" s="15">
        <v>45870</v>
      </c>
      <c r="L452" s="28" t="s">
        <v>57</v>
      </c>
    </row>
    <row r="453" spans="1:12" x14ac:dyDescent="0.3">
      <c r="A453" s="27" t="s">
        <v>102</v>
      </c>
      <c r="B453" s="14" t="s">
        <v>77</v>
      </c>
      <c r="C453" s="3">
        <v>12557.84</v>
      </c>
      <c r="D453" s="3"/>
      <c r="E453" s="3">
        <v>12557.84</v>
      </c>
      <c r="F453" s="14" t="s">
        <v>75</v>
      </c>
      <c r="G453" s="15">
        <v>46316</v>
      </c>
      <c r="H453" s="15">
        <v>46320</v>
      </c>
      <c r="I453" s="14">
        <v>4</v>
      </c>
      <c r="J453" s="16">
        <v>7663.2</v>
      </c>
      <c r="K453" s="15">
        <v>45972</v>
      </c>
      <c r="L453" s="28" t="s">
        <v>9</v>
      </c>
    </row>
    <row r="454" spans="1:12" x14ac:dyDescent="0.3">
      <c r="A454" s="27" t="s">
        <v>102</v>
      </c>
      <c r="B454" s="14" t="s">
        <v>77</v>
      </c>
      <c r="C454" s="3">
        <v>16358.82</v>
      </c>
      <c r="D454" s="3">
        <v>4089.7</v>
      </c>
      <c r="E454" s="3">
        <v>12269.12</v>
      </c>
      <c r="F454" s="14" t="s">
        <v>72</v>
      </c>
      <c r="G454" s="15">
        <v>46319</v>
      </c>
      <c r="H454" s="15">
        <v>46326</v>
      </c>
      <c r="I454" s="14">
        <v>7</v>
      </c>
      <c r="J454" s="16">
        <v>9732.0300000000007</v>
      </c>
      <c r="K454" s="15">
        <v>45997</v>
      </c>
      <c r="L454" s="28" t="s">
        <v>13</v>
      </c>
    </row>
    <row r="455" spans="1:12" x14ac:dyDescent="0.3">
      <c r="A455" s="27" t="s">
        <v>102</v>
      </c>
      <c r="B455" s="14" t="s">
        <v>77</v>
      </c>
      <c r="C455" s="3">
        <v>25766</v>
      </c>
      <c r="D455" s="3"/>
      <c r="E455" s="3">
        <v>25766</v>
      </c>
      <c r="F455" s="14" t="s">
        <v>75</v>
      </c>
      <c r="G455" s="15">
        <v>46319</v>
      </c>
      <c r="H455" s="15">
        <v>46326</v>
      </c>
      <c r="I455" s="14">
        <v>7</v>
      </c>
      <c r="J455" s="16">
        <v>0</v>
      </c>
      <c r="K455" s="15">
        <v>45989</v>
      </c>
      <c r="L455" s="28" t="s">
        <v>22</v>
      </c>
    </row>
    <row r="456" spans="1:12" x14ac:dyDescent="0.3">
      <c r="A456" s="27" t="s">
        <v>102</v>
      </c>
      <c r="B456" s="14" t="s">
        <v>77</v>
      </c>
      <c r="C456" s="3">
        <v>16820.98</v>
      </c>
      <c r="D456" s="3"/>
      <c r="E456" s="3">
        <v>16820.98</v>
      </c>
      <c r="F456" s="14" t="s">
        <v>75</v>
      </c>
      <c r="G456" s="15">
        <v>46320</v>
      </c>
      <c r="H456" s="15">
        <v>46327</v>
      </c>
      <c r="I456" s="14">
        <v>7</v>
      </c>
      <c r="J456" s="16">
        <v>10755.99</v>
      </c>
      <c r="K456" s="15">
        <v>45979</v>
      </c>
      <c r="L456" s="28" t="s">
        <v>38</v>
      </c>
    </row>
    <row r="457" spans="1:12" x14ac:dyDescent="0.3">
      <c r="A457" s="27" t="s">
        <v>102</v>
      </c>
      <c r="B457" s="14" t="s">
        <v>77</v>
      </c>
      <c r="C457" s="3">
        <v>19200</v>
      </c>
      <c r="D457" s="3"/>
      <c r="E457" s="3">
        <v>19200</v>
      </c>
      <c r="F457" s="14" t="s">
        <v>75</v>
      </c>
      <c r="G457" s="15">
        <v>46320</v>
      </c>
      <c r="H457" s="15">
        <v>46327</v>
      </c>
      <c r="I457" s="14">
        <v>7</v>
      </c>
      <c r="J457" s="16">
        <v>6552.42</v>
      </c>
      <c r="K457" s="15">
        <v>45679</v>
      </c>
      <c r="L457" s="28" t="s">
        <v>2</v>
      </c>
    </row>
    <row r="458" spans="1:12" x14ac:dyDescent="0.3">
      <c r="A458" s="27" t="s">
        <v>102</v>
      </c>
      <c r="B458" s="14" t="s">
        <v>77</v>
      </c>
      <c r="C458" s="3">
        <v>11451.6</v>
      </c>
      <c r="D458" s="3">
        <v>2862.9</v>
      </c>
      <c r="E458" s="3">
        <v>8588.68</v>
      </c>
      <c r="F458" s="14" t="s">
        <v>72</v>
      </c>
      <c r="G458" s="15">
        <v>46330</v>
      </c>
      <c r="H458" s="15">
        <v>46333</v>
      </c>
      <c r="I458" s="14">
        <v>3</v>
      </c>
      <c r="J458" s="16">
        <v>7394.37</v>
      </c>
      <c r="K458" s="15">
        <v>45970</v>
      </c>
      <c r="L458" s="28" t="s">
        <v>15</v>
      </c>
    </row>
    <row r="459" spans="1:12" x14ac:dyDescent="0.3">
      <c r="A459" s="27" t="s">
        <v>102</v>
      </c>
      <c r="B459" s="14" t="s">
        <v>77</v>
      </c>
      <c r="C459" s="3">
        <v>71205.740000000005</v>
      </c>
      <c r="D459" s="3">
        <v>17801.43</v>
      </c>
      <c r="E459" s="3">
        <v>53404.31</v>
      </c>
      <c r="F459" s="14" t="s">
        <v>72</v>
      </c>
      <c r="G459" s="15">
        <v>46333</v>
      </c>
      <c r="H459" s="15">
        <v>46347</v>
      </c>
      <c r="I459" s="14">
        <v>14</v>
      </c>
      <c r="J459" s="16">
        <v>24000.06</v>
      </c>
      <c r="K459" s="15">
        <v>45973</v>
      </c>
      <c r="L459" s="28" t="s">
        <v>15</v>
      </c>
    </row>
    <row r="460" spans="1:12" x14ac:dyDescent="0.3">
      <c r="A460" s="27" t="s">
        <v>102</v>
      </c>
      <c r="B460" s="14" t="s">
        <v>77</v>
      </c>
      <c r="C460" s="3">
        <v>23935.16</v>
      </c>
      <c r="D460" s="3">
        <v>5983.79</v>
      </c>
      <c r="E460" s="3">
        <v>17951.37</v>
      </c>
      <c r="F460" s="14" t="s">
        <v>72</v>
      </c>
      <c r="G460" s="15">
        <v>46339</v>
      </c>
      <c r="H460" s="15">
        <v>46346</v>
      </c>
      <c r="I460" s="14">
        <v>7</v>
      </c>
      <c r="J460" s="16">
        <v>15458.73</v>
      </c>
      <c r="K460" s="15">
        <v>45983</v>
      </c>
      <c r="L460" s="28" t="s">
        <v>2</v>
      </c>
    </row>
    <row r="461" spans="1:12" x14ac:dyDescent="0.3">
      <c r="A461" s="27" t="s">
        <v>102</v>
      </c>
      <c r="B461" s="14" t="s">
        <v>77</v>
      </c>
      <c r="C461" s="3">
        <v>93256.57</v>
      </c>
      <c r="D461" s="3">
        <v>23314.14</v>
      </c>
      <c r="E461" s="3">
        <v>69942.53</v>
      </c>
      <c r="F461" s="14" t="s">
        <v>72</v>
      </c>
      <c r="G461" s="15">
        <v>46345</v>
      </c>
      <c r="H461" s="15">
        <v>46354</v>
      </c>
      <c r="I461" s="14">
        <v>9</v>
      </c>
      <c r="J461" s="16">
        <v>45808.56</v>
      </c>
      <c r="K461" s="15">
        <v>45974</v>
      </c>
      <c r="L461" s="28" t="s">
        <v>15</v>
      </c>
    </row>
    <row r="462" spans="1:12" x14ac:dyDescent="0.3">
      <c r="A462" s="27" t="s">
        <v>102</v>
      </c>
      <c r="B462" s="14" t="s">
        <v>77</v>
      </c>
      <c r="C462" s="3">
        <v>20473.68</v>
      </c>
      <c r="D462" s="3">
        <v>20473.68</v>
      </c>
      <c r="E462" s="9"/>
      <c r="F462" s="14" t="s">
        <v>70</v>
      </c>
      <c r="G462" s="15">
        <v>46348</v>
      </c>
      <c r="H462" s="15">
        <v>46352</v>
      </c>
      <c r="I462" s="14">
        <v>4</v>
      </c>
      <c r="J462" s="16">
        <v>9532.7199999999993</v>
      </c>
      <c r="K462" s="15">
        <v>45854</v>
      </c>
      <c r="L462" s="28" t="s">
        <v>68</v>
      </c>
    </row>
    <row r="463" spans="1:12" x14ac:dyDescent="0.3">
      <c r="A463" s="27" t="s">
        <v>102</v>
      </c>
      <c r="B463" s="14" t="s">
        <v>77</v>
      </c>
      <c r="C463" s="3">
        <v>62571</v>
      </c>
      <c r="D463" s="3">
        <v>15642.75</v>
      </c>
      <c r="E463" s="3">
        <v>46928.25</v>
      </c>
      <c r="F463" s="14" t="s">
        <v>72</v>
      </c>
      <c r="G463" s="15">
        <v>46362</v>
      </c>
      <c r="H463" s="15">
        <v>46368</v>
      </c>
      <c r="I463" s="14">
        <v>6</v>
      </c>
      <c r="J463" s="16">
        <v>43921.68</v>
      </c>
      <c r="K463" s="15">
        <v>45960</v>
      </c>
      <c r="L463" s="28" t="s">
        <v>38</v>
      </c>
    </row>
    <row r="464" spans="1:12" x14ac:dyDescent="0.3">
      <c r="A464" s="27" t="s">
        <v>102</v>
      </c>
      <c r="B464" s="14" t="s">
        <v>77</v>
      </c>
      <c r="C464" s="9">
        <v>5200</v>
      </c>
      <c r="D464" s="9"/>
      <c r="E464" s="9">
        <v>5200</v>
      </c>
      <c r="F464" s="14" t="s">
        <v>75</v>
      </c>
      <c r="G464" s="15">
        <v>46363</v>
      </c>
      <c r="H464" s="15">
        <v>46367</v>
      </c>
      <c r="I464" s="14">
        <v>4</v>
      </c>
      <c r="J464" s="16">
        <v>0</v>
      </c>
      <c r="K464" s="15">
        <v>45533</v>
      </c>
      <c r="L464" s="28" t="s">
        <v>15</v>
      </c>
    </row>
    <row r="465" spans="1:12" x14ac:dyDescent="0.3">
      <c r="A465" s="27" t="s">
        <v>102</v>
      </c>
      <c r="B465" s="14" t="s">
        <v>77</v>
      </c>
      <c r="C465" s="9">
        <v>2600</v>
      </c>
      <c r="D465" s="9"/>
      <c r="E465" s="9">
        <v>2600</v>
      </c>
      <c r="F465" s="14" t="s">
        <v>75</v>
      </c>
      <c r="G465" s="15">
        <v>46363</v>
      </c>
      <c r="H465" s="15">
        <v>46367</v>
      </c>
      <c r="I465" s="14">
        <v>4</v>
      </c>
      <c r="J465" s="16">
        <v>0</v>
      </c>
      <c r="K465" s="15">
        <v>45923</v>
      </c>
      <c r="L465" s="28" t="s">
        <v>15</v>
      </c>
    </row>
    <row r="466" spans="1:12" x14ac:dyDescent="0.3">
      <c r="A466" s="27" t="s">
        <v>102</v>
      </c>
      <c r="B466" s="14" t="s">
        <v>77</v>
      </c>
      <c r="C466" s="3">
        <v>10700</v>
      </c>
      <c r="D466" s="3"/>
      <c r="E466" s="3">
        <v>10700</v>
      </c>
      <c r="F466" s="14" t="s">
        <v>75</v>
      </c>
      <c r="G466" s="15">
        <v>46366</v>
      </c>
      <c r="H466" s="15">
        <v>46375</v>
      </c>
      <c r="I466" s="14">
        <v>9</v>
      </c>
      <c r="J466" s="16">
        <v>1689.57</v>
      </c>
      <c r="K466" s="15">
        <v>45995</v>
      </c>
      <c r="L466" s="28" t="s">
        <v>15</v>
      </c>
    </row>
    <row r="467" spans="1:12" x14ac:dyDescent="0.3">
      <c r="A467" s="27" t="s">
        <v>102</v>
      </c>
      <c r="B467" s="14" t="s">
        <v>77</v>
      </c>
      <c r="C467" s="3">
        <v>14250</v>
      </c>
      <c r="D467" s="3"/>
      <c r="E467" s="3">
        <v>14250</v>
      </c>
      <c r="F467" s="14" t="s">
        <v>75</v>
      </c>
      <c r="G467" s="15">
        <v>46366</v>
      </c>
      <c r="H467" s="15">
        <v>46375</v>
      </c>
      <c r="I467" s="14">
        <v>9</v>
      </c>
      <c r="J467" s="16">
        <v>975.24</v>
      </c>
      <c r="K467" s="15">
        <v>45995</v>
      </c>
      <c r="L467" s="28" t="s">
        <v>15</v>
      </c>
    </row>
    <row r="468" spans="1:12" x14ac:dyDescent="0.3">
      <c r="A468" s="27" t="s">
        <v>102</v>
      </c>
      <c r="B468" s="14" t="s">
        <v>77</v>
      </c>
      <c r="C468" s="9"/>
      <c r="D468" s="9"/>
      <c r="E468" s="9"/>
      <c r="F468" s="14" t="s">
        <v>73</v>
      </c>
      <c r="G468" s="15">
        <v>46368</v>
      </c>
      <c r="H468" s="15">
        <v>46377</v>
      </c>
      <c r="I468" s="14">
        <v>9</v>
      </c>
      <c r="J468" s="16">
        <v>0</v>
      </c>
      <c r="K468" s="15">
        <v>45984</v>
      </c>
      <c r="L468" s="28" t="s">
        <v>2</v>
      </c>
    </row>
    <row r="469" spans="1:12" x14ac:dyDescent="0.3">
      <c r="A469" s="27" t="s">
        <v>102</v>
      </c>
      <c r="B469" s="14" t="s">
        <v>77</v>
      </c>
      <c r="C469" s="9">
        <v>36439.120000000003</v>
      </c>
      <c r="D469" s="9"/>
      <c r="E469" s="9">
        <v>36439.120000000003</v>
      </c>
      <c r="F469" s="14" t="s">
        <v>75</v>
      </c>
      <c r="G469" s="15">
        <v>46371</v>
      </c>
      <c r="H469" s="15">
        <v>46377</v>
      </c>
      <c r="I469" s="14">
        <v>6</v>
      </c>
      <c r="J469" s="16">
        <v>26110.44</v>
      </c>
      <c r="K469" s="15">
        <v>45972</v>
      </c>
      <c r="L469" s="28" t="s">
        <v>2</v>
      </c>
    </row>
    <row r="470" spans="1:12" x14ac:dyDescent="0.3">
      <c r="A470" s="27" t="s">
        <v>102</v>
      </c>
      <c r="B470" s="14" t="s">
        <v>77</v>
      </c>
      <c r="C470" s="9">
        <v>35110.339999999997</v>
      </c>
      <c r="D470" s="9"/>
      <c r="E470" s="9">
        <v>35110.339999999997</v>
      </c>
      <c r="F470" s="14" t="s">
        <v>75</v>
      </c>
      <c r="G470" s="15">
        <v>46371</v>
      </c>
      <c r="H470" s="15">
        <v>46377</v>
      </c>
      <c r="I470" s="14">
        <v>6</v>
      </c>
      <c r="J470" s="16">
        <v>23151.96</v>
      </c>
      <c r="K470" s="15">
        <v>45972</v>
      </c>
      <c r="L470" s="28" t="s">
        <v>2</v>
      </c>
    </row>
    <row r="471" spans="1:12" x14ac:dyDescent="0.3">
      <c r="A471" s="27" t="s">
        <v>102</v>
      </c>
      <c r="B471" s="14" t="s">
        <v>77</v>
      </c>
      <c r="C471" s="3">
        <v>13266</v>
      </c>
      <c r="D471" s="3"/>
      <c r="E471" s="3">
        <v>13266</v>
      </c>
      <c r="F471" s="14" t="s">
        <v>75</v>
      </c>
      <c r="G471" s="15">
        <v>46373</v>
      </c>
      <c r="H471" s="15">
        <v>46377</v>
      </c>
      <c r="I471" s="14">
        <v>4</v>
      </c>
      <c r="J471" s="16">
        <v>7211.52</v>
      </c>
      <c r="K471" s="15">
        <v>45941</v>
      </c>
      <c r="L471" s="28" t="s">
        <v>15</v>
      </c>
    </row>
    <row r="472" spans="1:12" x14ac:dyDescent="0.3">
      <c r="A472" s="27" t="s">
        <v>102</v>
      </c>
      <c r="B472" s="14" t="s">
        <v>76</v>
      </c>
      <c r="C472" s="3">
        <v>183057.2</v>
      </c>
      <c r="D472" s="3">
        <v>42901.8</v>
      </c>
      <c r="E472" s="3">
        <v>140155.4</v>
      </c>
      <c r="F472" s="14" t="s">
        <v>72</v>
      </c>
      <c r="G472" s="15">
        <v>46383</v>
      </c>
      <c r="H472" s="15">
        <v>46393</v>
      </c>
      <c r="I472" s="14">
        <v>10</v>
      </c>
      <c r="J472" s="16">
        <v>136602.29999999999</v>
      </c>
      <c r="K472" s="15">
        <v>45893</v>
      </c>
      <c r="L472" s="28" t="s">
        <v>2</v>
      </c>
    </row>
    <row r="473" spans="1:12" x14ac:dyDescent="0.3">
      <c r="A473" s="27"/>
      <c r="B473" s="14"/>
      <c r="C473" s="16"/>
      <c r="D473" s="16"/>
      <c r="E473" s="16"/>
      <c r="F473" s="14"/>
      <c r="G473" s="15"/>
      <c r="H473" s="15"/>
      <c r="I473" s="14"/>
      <c r="J473" s="9"/>
      <c r="K473" s="15"/>
      <c r="L473" s="28"/>
    </row>
    <row r="474" spans="1:12" x14ac:dyDescent="0.3">
      <c r="A474" s="67"/>
      <c r="B474" s="68"/>
      <c r="C474" s="69"/>
      <c r="D474" s="69"/>
      <c r="E474" s="69"/>
      <c r="F474" s="69"/>
      <c r="G474" s="70"/>
      <c r="H474" s="70"/>
      <c r="I474" s="68"/>
      <c r="J474" s="71"/>
      <c r="K474" s="70"/>
      <c r="L474" s="72"/>
    </row>
    <row r="475" spans="1:12" x14ac:dyDescent="0.3">
      <c r="A475" s="67"/>
      <c r="B475" s="68"/>
      <c r="C475" s="69"/>
      <c r="D475" s="69"/>
      <c r="E475" s="69"/>
      <c r="F475" s="69"/>
      <c r="G475" s="70"/>
      <c r="H475" s="70"/>
      <c r="I475" s="68"/>
      <c r="J475" s="71"/>
      <c r="K475" s="70"/>
      <c r="L475" s="72"/>
    </row>
    <row r="476" spans="1:12" x14ac:dyDescent="0.3">
      <c r="A476" s="67"/>
      <c r="B476" s="68"/>
      <c r="C476" s="69"/>
      <c r="D476" s="69"/>
      <c r="E476" s="69"/>
      <c r="F476" s="69"/>
      <c r="G476" s="70"/>
      <c r="H476" s="70"/>
      <c r="I476" s="68"/>
      <c r="J476" s="71"/>
      <c r="K476" s="70"/>
      <c r="L476" s="72"/>
    </row>
    <row r="477" spans="1:12" x14ac:dyDescent="0.3">
      <c r="A477" s="67"/>
      <c r="B477" s="68"/>
      <c r="C477" s="69"/>
      <c r="D477" s="69"/>
      <c r="E477" s="69"/>
      <c r="F477" s="69"/>
      <c r="G477" s="70"/>
      <c r="H477" s="70"/>
      <c r="I477" s="68"/>
      <c r="J477" s="71"/>
      <c r="K477" s="70"/>
      <c r="L477" s="72"/>
    </row>
    <row r="478" spans="1:12" x14ac:dyDescent="0.3">
      <c r="A478" s="67"/>
      <c r="B478" s="68"/>
      <c r="C478" s="69"/>
      <c r="D478" s="69"/>
      <c r="E478" s="69"/>
      <c r="F478" s="69"/>
      <c r="G478" s="70"/>
      <c r="H478" s="70"/>
      <c r="I478" s="68"/>
      <c r="J478" s="71"/>
      <c r="K478" s="70"/>
      <c r="L478" s="72"/>
    </row>
    <row r="479" spans="1:12" x14ac:dyDescent="0.3">
      <c r="A479" s="67"/>
      <c r="B479" s="68"/>
      <c r="C479" s="69"/>
      <c r="D479" s="69"/>
      <c r="E479" s="69"/>
      <c r="F479" s="69"/>
      <c r="G479" s="70"/>
      <c r="H479" s="70"/>
      <c r="I479" s="68"/>
      <c r="J479" s="71"/>
      <c r="K479" s="70"/>
      <c r="L479" s="72"/>
    </row>
    <row r="480" spans="1:12" x14ac:dyDescent="0.3">
      <c r="A480" s="67"/>
      <c r="B480" s="68"/>
      <c r="C480" s="69"/>
      <c r="D480" s="69"/>
      <c r="E480" s="69"/>
      <c r="F480" s="69"/>
      <c r="G480" s="70"/>
      <c r="H480" s="70"/>
      <c r="I480" s="68"/>
      <c r="J480" s="71"/>
      <c r="K480" s="70"/>
      <c r="L480" s="72"/>
    </row>
    <row r="481" spans="1:12" x14ac:dyDescent="0.3">
      <c r="A481" s="67"/>
      <c r="B481" s="68"/>
      <c r="C481" s="69"/>
      <c r="D481" s="69"/>
      <c r="E481" s="69"/>
      <c r="F481" s="69"/>
      <c r="G481" s="70"/>
      <c r="H481" s="70"/>
      <c r="I481" s="68"/>
      <c r="J481" s="71"/>
      <c r="K481" s="70"/>
      <c r="L481" s="72"/>
    </row>
    <row r="482" spans="1:12" x14ac:dyDescent="0.3">
      <c r="A482" s="67"/>
      <c r="B482" s="68"/>
      <c r="C482" s="69"/>
      <c r="D482" s="69"/>
      <c r="E482" s="69"/>
      <c r="F482" s="69"/>
      <c r="G482" s="70"/>
      <c r="H482" s="70"/>
      <c r="I482" s="68"/>
      <c r="J482" s="71"/>
      <c r="K482" s="70"/>
      <c r="L482" s="72"/>
    </row>
    <row r="483" spans="1:12" x14ac:dyDescent="0.3">
      <c r="A483" s="67"/>
      <c r="B483" s="68"/>
      <c r="C483" s="69"/>
      <c r="D483" s="69"/>
      <c r="E483" s="69"/>
      <c r="F483" s="69"/>
      <c r="G483" s="70"/>
      <c r="H483" s="70"/>
      <c r="I483" s="68"/>
      <c r="J483" s="71"/>
      <c r="K483" s="70"/>
      <c r="L483" s="72"/>
    </row>
    <row r="484" spans="1:12" x14ac:dyDescent="0.3">
      <c r="A484" s="67"/>
      <c r="B484" s="68"/>
      <c r="C484" s="69"/>
      <c r="D484" s="69"/>
      <c r="E484" s="69"/>
      <c r="F484" s="69"/>
      <c r="G484" s="70"/>
      <c r="H484" s="70"/>
      <c r="I484" s="68"/>
      <c r="J484" s="71"/>
      <c r="K484" s="70"/>
      <c r="L484" s="72"/>
    </row>
    <row r="485" spans="1:12" x14ac:dyDescent="0.3">
      <c r="A485" s="67"/>
      <c r="B485" s="68"/>
      <c r="C485" s="69"/>
      <c r="D485" s="69"/>
      <c r="E485" s="69"/>
      <c r="F485" s="69"/>
      <c r="G485" s="70"/>
      <c r="H485" s="70"/>
      <c r="I485" s="68"/>
      <c r="J485" s="71"/>
      <c r="K485" s="70"/>
      <c r="L485" s="72"/>
    </row>
    <row r="486" spans="1:12" x14ac:dyDescent="0.3">
      <c r="A486" s="67"/>
      <c r="B486" s="68"/>
      <c r="C486" s="69"/>
      <c r="D486" s="69"/>
      <c r="E486" s="69"/>
      <c r="F486" s="69"/>
      <c r="G486" s="70"/>
      <c r="H486" s="70"/>
      <c r="I486" s="68"/>
      <c r="J486" s="71"/>
      <c r="K486" s="70"/>
      <c r="L486" s="72"/>
    </row>
    <row r="487" spans="1:12" x14ac:dyDescent="0.3">
      <c r="A487" s="67"/>
      <c r="B487" s="68"/>
      <c r="C487" s="69"/>
      <c r="D487" s="69"/>
      <c r="E487" s="69"/>
      <c r="F487" s="69"/>
      <c r="G487" s="70"/>
      <c r="H487" s="70"/>
      <c r="I487" s="68"/>
      <c r="J487" s="71"/>
      <c r="K487" s="70"/>
      <c r="L487" s="72"/>
    </row>
    <row r="488" spans="1:12" x14ac:dyDescent="0.3">
      <c r="A488" s="67"/>
      <c r="B488" s="68"/>
      <c r="C488" s="69"/>
      <c r="D488" s="69"/>
      <c r="E488" s="69"/>
      <c r="F488" s="69"/>
      <c r="G488" s="70"/>
      <c r="H488" s="70"/>
      <c r="I488" s="68"/>
      <c r="J488" s="71"/>
      <c r="K488" s="70"/>
      <c r="L488" s="72"/>
    </row>
    <row r="489" spans="1:12" x14ac:dyDescent="0.3">
      <c r="A489" s="67"/>
      <c r="B489" s="68"/>
      <c r="C489" s="69"/>
      <c r="D489" s="69"/>
      <c r="E489" s="69"/>
      <c r="F489" s="69"/>
      <c r="G489" s="70"/>
      <c r="H489" s="70"/>
      <c r="I489" s="68"/>
      <c r="J489" s="71"/>
      <c r="K489" s="70"/>
      <c r="L489" s="72"/>
    </row>
    <row r="490" spans="1:12" x14ac:dyDescent="0.3">
      <c r="A490" s="67"/>
      <c r="B490" s="68"/>
      <c r="C490" s="69"/>
      <c r="D490" s="69"/>
      <c r="E490" s="69"/>
      <c r="F490" s="69"/>
      <c r="G490" s="70"/>
      <c r="H490" s="70"/>
      <c r="I490" s="68"/>
      <c r="J490" s="71"/>
      <c r="K490" s="70"/>
      <c r="L490" s="72"/>
    </row>
    <row r="491" spans="1:12" x14ac:dyDescent="0.3">
      <c r="A491" s="67"/>
      <c r="B491" s="68"/>
      <c r="C491" s="69"/>
      <c r="D491" s="69"/>
      <c r="E491" s="69"/>
      <c r="F491" s="69"/>
      <c r="G491" s="70"/>
      <c r="H491" s="70"/>
      <c r="I491" s="68"/>
      <c r="J491" s="71"/>
      <c r="K491" s="70"/>
      <c r="L491" s="72"/>
    </row>
    <row r="492" spans="1:12" x14ac:dyDescent="0.3">
      <c r="A492" s="67"/>
      <c r="B492" s="68"/>
      <c r="C492" s="69"/>
      <c r="D492" s="69"/>
      <c r="E492" s="69"/>
      <c r="F492" s="69"/>
      <c r="G492" s="70"/>
      <c r="H492" s="70"/>
      <c r="I492" s="68"/>
      <c r="J492" s="71"/>
      <c r="K492" s="70"/>
      <c r="L492" s="72"/>
    </row>
    <row r="493" spans="1:12" x14ac:dyDescent="0.3">
      <c r="A493" s="67"/>
      <c r="B493" s="68"/>
      <c r="C493" s="69"/>
      <c r="D493" s="69"/>
      <c r="E493" s="69"/>
      <c r="F493" s="69"/>
      <c r="G493" s="70"/>
      <c r="H493" s="70"/>
      <c r="I493" s="68"/>
      <c r="J493" s="71"/>
      <c r="K493" s="70"/>
      <c r="L493" s="72"/>
    </row>
    <row r="494" spans="1:12" x14ac:dyDescent="0.3">
      <c r="A494" s="67"/>
      <c r="B494" s="68"/>
      <c r="C494" s="69"/>
      <c r="D494" s="69"/>
      <c r="E494" s="69"/>
      <c r="F494" s="69"/>
      <c r="G494" s="70"/>
      <c r="H494" s="70"/>
      <c r="I494" s="68"/>
      <c r="J494" s="71"/>
      <c r="K494" s="70"/>
      <c r="L494" s="72"/>
    </row>
    <row r="495" spans="1:12" x14ac:dyDescent="0.3">
      <c r="A495" s="67"/>
      <c r="B495" s="68"/>
      <c r="C495" s="69"/>
      <c r="D495" s="69"/>
      <c r="E495" s="69"/>
      <c r="F495" s="69"/>
      <c r="G495" s="70"/>
      <c r="H495" s="70"/>
      <c r="I495" s="68"/>
      <c r="J495" s="71"/>
      <c r="K495" s="70"/>
      <c r="L495" s="7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3E715-E31D-4B42-8C16-21C531007B96}">
  <dimension ref="A1:L80"/>
  <sheetViews>
    <sheetView zoomScale="69" zoomScaleNormal="69" workbookViewId="0">
      <selection activeCell="D16" sqref="D16"/>
    </sheetView>
  </sheetViews>
  <sheetFormatPr defaultRowHeight="14.4" x14ac:dyDescent="0.3"/>
  <cols>
    <col min="1" max="1" width="11" customWidth="1"/>
    <col min="2" max="2" width="18.109375" customWidth="1"/>
    <col min="3" max="3" width="23" style="1" customWidth="1"/>
    <col min="4" max="4" width="26.6640625" style="1" customWidth="1"/>
    <col min="5" max="5" width="16.33203125" style="1" customWidth="1"/>
    <col min="6" max="6" width="23.44140625" customWidth="1"/>
    <col min="7" max="7" width="16.44140625" customWidth="1"/>
    <col min="8" max="8" width="14.88671875" customWidth="1"/>
    <col min="9" max="9" width="17.109375" customWidth="1"/>
    <col min="10" max="10" width="18.5546875" customWidth="1"/>
    <col min="11" max="11" width="19" customWidth="1"/>
    <col min="12" max="12" width="30.33203125" customWidth="1"/>
  </cols>
  <sheetData>
    <row r="1" spans="1:12" s="2" customFormat="1" x14ac:dyDescent="0.3">
      <c r="A1" s="36" t="s">
        <v>46</v>
      </c>
      <c r="B1" s="37" t="s">
        <v>71</v>
      </c>
      <c r="C1" s="38" t="s">
        <v>54</v>
      </c>
      <c r="D1" s="38" t="s">
        <v>55</v>
      </c>
      <c r="E1" s="38" t="s">
        <v>56</v>
      </c>
      <c r="F1" s="38" t="s">
        <v>69</v>
      </c>
      <c r="G1" s="37" t="s">
        <v>47</v>
      </c>
      <c r="H1" s="37" t="s">
        <v>48</v>
      </c>
      <c r="I1" s="37" t="s">
        <v>49</v>
      </c>
      <c r="J1" s="37" t="s">
        <v>51</v>
      </c>
      <c r="K1" s="37" t="s">
        <v>52</v>
      </c>
      <c r="L1" s="39" t="s">
        <v>53</v>
      </c>
    </row>
    <row r="2" spans="1:12" x14ac:dyDescent="0.3">
      <c r="A2" s="34" t="s">
        <v>103</v>
      </c>
      <c r="B2" s="4" t="s">
        <v>76</v>
      </c>
      <c r="C2" s="5">
        <v>0</v>
      </c>
      <c r="D2" s="5"/>
      <c r="E2" s="5">
        <v>0</v>
      </c>
      <c r="F2" s="4" t="s">
        <v>73</v>
      </c>
      <c r="G2" s="6">
        <v>46024</v>
      </c>
      <c r="H2" s="6">
        <v>46026</v>
      </c>
      <c r="I2" s="4">
        <v>2</v>
      </c>
      <c r="J2" s="4" t="s">
        <v>11</v>
      </c>
      <c r="K2" s="6">
        <v>45972</v>
      </c>
      <c r="L2" s="35" t="s">
        <v>16</v>
      </c>
    </row>
    <row r="3" spans="1:12" x14ac:dyDescent="0.3">
      <c r="A3" s="34" t="s">
        <v>103</v>
      </c>
      <c r="B3" s="4" t="s">
        <v>76</v>
      </c>
      <c r="C3" s="5">
        <v>18133.32</v>
      </c>
      <c r="D3" s="5">
        <v>18133.32</v>
      </c>
      <c r="E3" s="5"/>
      <c r="F3" s="8" t="s">
        <v>70</v>
      </c>
      <c r="G3" s="6">
        <v>46025</v>
      </c>
      <c r="H3" s="6">
        <v>46028</v>
      </c>
      <c r="I3" s="4">
        <v>3</v>
      </c>
      <c r="J3" s="4" t="s">
        <v>0</v>
      </c>
      <c r="K3" s="6">
        <v>45974</v>
      </c>
      <c r="L3" s="35" t="s">
        <v>13</v>
      </c>
    </row>
    <row r="4" spans="1:12" x14ac:dyDescent="0.3">
      <c r="A4" s="34" t="s">
        <v>103</v>
      </c>
      <c r="B4" s="4" t="s">
        <v>77</v>
      </c>
      <c r="C4" s="5">
        <v>47826</v>
      </c>
      <c r="D4" s="5">
        <v>47826</v>
      </c>
      <c r="E4" s="5"/>
      <c r="F4" s="8" t="s">
        <v>70</v>
      </c>
      <c r="G4" s="6">
        <v>46034</v>
      </c>
      <c r="H4" s="6">
        <v>46036</v>
      </c>
      <c r="I4" s="4">
        <v>2</v>
      </c>
      <c r="J4" s="4" t="s">
        <v>0</v>
      </c>
      <c r="K4" s="6">
        <v>45976</v>
      </c>
      <c r="L4" s="35" t="s">
        <v>43</v>
      </c>
    </row>
    <row r="5" spans="1:12" x14ac:dyDescent="0.3">
      <c r="A5" s="34" t="s">
        <v>103</v>
      </c>
      <c r="B5" s="4" t="s">
        <v>77</v>
      </c>
      <c r="C5" s="3">
        <v>26896.799999999999</v>
      </c>
      <c r="D5" s="3">
        <v>6724.2</v>
      </c>
      <c r="E5" s="3">
        <v>20172.599999999999</v>
      </c>
      <c r="F5" s="4" t="s">
        <v>78</v>
      </c>
      <c r="G5" s="6">
        <v>46035</v>
      </c>
      <c r="H5" s="6">
        <v>46037</v>
      </c>
      <c r="I5" s="4">
        <v>2</v>
      </c>
      <c r="J5" s="4" t="s">
        <v>0</v>
      </c>
      <c r="K5" s="6">
        <v>45957</v>
      </c>
      <c r="L5" s="35" t="s">
        <v>15</v>
      </c>
    </row>
    <row r="6" spans="1:12" x14ac:dyDescent="0.3">
      <c r="A6" s="34" t="s">
        <v>103</v>
      </c>
      <c r="B6" s="4" t="s">
        <v>77</v>
      </c>
      <c r="C6" s="5">
        <v>39274.86</v>
      </c>
      <c r="D6" s="5">
        <v>30664.86</v>
      </c>
      <c r="E6" s="5">
        <v>8610</v>
      </c>
      <c r="F6" s="4" t="s">
        <v>78</v>
      </c>
      <c r="G6" s="6">
        <v>46035</v>
      </c>
      <c r="H6" s="6">
        <v>46038</v>
      </c>
      <c r="I6" s="4">
        <v>3</v>
      </c>
      <c r="J6" s="4" t="s">
        <v>0</v>
      </c>
      <c r="K6" s="6">
        <v>45963</v>
      </c>
      <c r="L6" s="35" t="s">
        <v>15</v>
      </c>
    </row>
    <row r="7" spans="1:12" x14ac:dyDescent="0.3">
      <c r="A7" s="34" t="s">
        <v>103</v>
      </c>
      <c r="B7" s="4" t="s">
        <v>77</v>
      </c>
      <c r="C7" s="3">
        <v>99261.62</v>
      </c>
      <c r="D7" s="3"/>
      <c r="E7" s="3">
        <v>99261.62</v>
      </c>
      <c r="F7" s="4" t="s">
        <v>75</v>
      </c>
      <c r="G7" s="6">
        <v>46035</v>
      </c>
      <c r="H7" s="6">
        <v>46042</v>
      </c>
      <c r="I7" s="4">
        <v>7</v>
      </c>
      <c r="J7" s="4" t="s">
        <v>7</v>
      </c>
      <c r="K7" s="6">
        <v>45859</v>
      </c>
      <c r="L7" s="35" t="s">
        <v>15</v>
      </c>
    </row>
    <row r="8" spans="1:12" x14ac:dyDescent="0.3">
      <c r="A8" s="34" t="s">
        <v>103</v>
      </c>
      <c r="B8" s="4" t="s">
        <v>77</v>
      </c>
      <c r="C8" s="5">
        <v>0</v>
      </c>
      <c r="D8" s="5"/>
      <c r="E8" s="5">
        <v>0</v>
      </c>
      <c r="F8" s="4" t="s">
        <v>73</v>
      </c>
      <c r="G8" s="6">
        <v>46041</v>
      </c>
      <c r="H8" s="6">
        <v>46043</v>
      </c>
      <c r="I8" s="4">
        <v>2</v>
      </c>
      <c r="J8" s="4" t="s">
        <v>11</v>
      </c>
      <c r="K8" s="6">
        <v>45954</v>
      </c>
      <c r="L8" s="35" t="s">
        <v>31</v>
      </c>
    </row>
    <row r="9" spans="1:12" x14ac:dyDescent="0.3">
      <c r="A9" s="34" t="s">
        <v>103</v>
      </c>
      <c r="B9" s="4" t="s">
        <v>77</v>
      </c>
      <c r="C9" s="5">
        <v>62200</v>
      </c>
      <c r="D9" s="5">
        <v>62200</v>
      </c>
      <c r="E9" s="5"/>
      <c r="F9" s="8" t="s">
        <v>70</v>
      </c>
      <c r="G9" s="6">
        <v>46045</v>
      </c>
      <c r="H9" s="6">
        <v>46051</v>
      </c>
      <c r="I9" s="4">
        <v>6</v>
      </c>
      <c r="J9" s="4" t="s">
        <v>0</v>
      </c>
      <c r="K9" s="6">
        <v>45588</v>
      </c>
      <c r="L9" s="35" t="s">
        <v>15</v>
      </c>
    </row>
    <row r="10" spans="1:12" x14ac:dyDescent="0.3">
      <c r="A10" s="34" t="s">
        <v>103</v>
      </c>
      <c r="B10" s="4" t="s">
        <v>77</v>
      </c>
      <c r="C10" s="5"/>
      <c r="D10" s="5"/>
      <c r="E10" s="5"/>
      <c r="F10" s="4" t="s">
        <v>73</v>
      </c>
      <c r="G10" s="6">
        <v>46047</v>
      </c>
      <c r="H10" s="6">
        <v>46050</v>
      </c>
      <c r="I10" s="4"/>
      <c r="J10" s="4" t="s">
        <v>3</v>
      </c>
      <c r="K10" s="6"/>
      <c r="L10" s="35"/>
    </row>
    <row r="11" spans="1:12" x14ac:dyDescent="0.3">
      <c r="A11" s="34" t="s">
        <v>103</v>
      </c>
      <c r="B11" s="4" t="s">
        <v>77</v>
      </c>
      <c r="C11" s="3">
        <v>50914</v>
      </c>
      <c r="D11" s="3"/>
      <c r="E11" s="3">
        <v>50914</v>
      </c>
      <c r="F11" s="4" t="s">
        <v>75</v>
      </c>
      <c r="G11" s="6">
        <v>46048</v>
      </c>
      <c r="H11" s="6">
        <v>46050</v>
      </c>
      <c r="I11" s="4">
        <v>2</v>
      </c>
      <c r="J11" s="4" t="s">
        <v>23</v>
      </c>
      <c r="K11" s="6">
        <v>45748</v>
      </c>
      <c r="L11" s="35" t="s">
        <v>14</v>
      </c>
    </row>
    <row r="12" spans="1:12" x14ac:dyDescent="0.3">
      <c r="A12" s="34" t="s">
        <v>103</v>
      </c>
      <c r="B12" s="4" t="s">
        <v>77</v>
      </c>
      <c r="C12" s="3">
        <v>33377.370000000003</v>
      </c>
      <c r="D12" s="3"/>
      <c r="E12" s="3">
        <v>33377.370000000003</v>
      </c>
      <c r="F12" s="4" t="s">
        <v>75</v>
      </c>
      <c r="G12" s="6">
        <v>46050</v>
      </c>
      <c r="H12" s="6">
        <v>46053</v>
      </c>
      <c r="I12" s="4">
        <v>3</v>
      </c>
      <c r="J12" s="4" t="s">
        <v>3</v>
      </c>
      <c r="K12" s="6">
        <v>45988</v>
      </c>
      <c r="L12" s="35" t="s">
        <v>15</v>
      </c>
    </row>
    <row r="13" spans="1:12" x14ac:dyDescent="0.3">
      <c r="A13" s="34" t="s">
        <v>103</v>
      </c>
      <c r="B13" s="4" t="s">
        <v>77</v>
      </c>
      <c r="C13" s="5">
        <v>26559.98</v>
      </c>
      <c r="D13" s="5">
        <v>26559.98</v>
      </c>
      <c r="E13" s="5"/>
      <c r="F13" s="8" t="s">
        <v>70</v>
      </c>
      <c r="G13" s="6">
        <v>46052</v>
      </c>
      <c r="H13" s="6">
        <v>46059</v>
      </c>
      <c r="I13" s="4">
        <v>7</v>
      </c>
      <c r="J13" s="4" t="s">
        <v>0</v>
      </c>
      <c r="K13" s="6">
        <v>45803</v>
      </c>
      <c r="L13" s="35" t="s">
        <v>1</v>
      </c>
    </row>
    <row r="14" spans="1:12" x14ac:dyDescent="0.3">
      <c r="A14" s="34" t="s">
        <v>103</v>
      </c>
      <c r="B14" s="4" t="s">
        <v>77</v>
      </c>
      <c r="C14" s="3">
        <v>3942</v>
      </c>
      <c r="D14" s="3"/>
      <c r="E14" s="3">
        <v>3942</v>
      </c>
      <c r="F14" s="4" t="s">
        <v>75</v>
      </c>
      <c r="G14" s="6">
        <v>46052</v>
      </c>
      <c r="H14" s="6">
        <v>46054</v>
      </c>
      <c r="I14" s="4">
        <v>2</v>
      </c>
      <c r="J14" s="4" t="s">
        <v>11</v>
      </c>
      <c r="K14" s="6">
        <v>45939</v>
      </c>
      <c r="L14" s="35" t="s">
        <v>13</v>
      </c>
    </row>
    <row r="15" spans="1:12" x14ac:dyDescent="0.3">
      <c r="A15" s="34" t="s">
        <v>103</v>
      </c>
      <c r="B15" s="4" t="s">
        <v>77</v>
      </c>
      <c r="C15" s="7">
        <v>77770.06</v>
      </c>
      <c r="D15" s="7">
        <v>15692.64</v>
      </c>
      <c r="E15" s="7">
        <v>62077.42</v>
      </c>
      <c r="F15" s="4" t="s">
        <v>78</v>
      </c>
      <c r="G15" s="6">
        <v>46057</v>
      </c>
      <c r="H15" s="6">
        <v>46065</v>
      </c>
      <c r="I15" s="4">
        <v>8</v>
      </c>
      <c r="J15" s="4" t="s">
        <v>0</v>
      </c>
      <c r="K15" s="6">
        <v>45812</v>
      </c>
      <c r="L15" s="35" t="s">
        <v>15</v>
      </c>
    </row>
    <row r="16" spans="1:12" x14ac:dyDescent="0.3">
      <c r="A16" s="34" t="s">
        <v>103</v>
      </c>
      <c r="B16" s="4" t="s">
        <v>77</v>
      </c>
      <c r="C16" s="7">
        <v>575</v>
      </c>
      <c r="D16" s="7"/>
      <c r="E16" s="7">
        <v>575</v>
      </c>
      <c r="F16" s="4" t="s">
        <v>82</v>
      </c>
      <c r="G16" s="6">
        <v>46059</v>
      </c>
      <c r="H16" s="6">
        <v>46061</v>
      </c>
      <c r="I16" s="4">
        <v>2</v>
      </c>
      <c r="J16" s="4" t="s">
        <v>11</v>
      </c>
      <c r="K16" s="6">
        <v>45869</v>
      </c>
      <c r="L16" s="35" t="s">
        <v>1</v>
      </c>
    </row>
    <row r="17" spans="1:12" x14ac:dyDescent="0.3">
      <c r="A17" s="34" t="s">
        <v>103</v>
      </c>
      <c r="B17" s="4" t="s">
        <v>77</v>
      </c>
      <c r="C17" s="7">
        <v>18948</v>
      </c>
      <c r="D17" s="7">
        <v>5684.4</v>
      </c>
      <c r="E17" s="7">
        <v>13263.6</v>
      </c>
      <c r="F17" s="4" t="s">
        <v>78</v>
      </c>
      <c r="G17" s="6">
        <v>46063</v>
      </c>
      <c r="H17" s="6">
        <v>46065</v>
      </c>
      <c r="I17" s="4">
        <v>2</v>
      </c>
      <c r="J17" s="4" t="s">
        <v>0</v>
      </c>
      <c r="K17" s="6">
        <v>45951</v>
      </c>
      <c r="L17" s="35" t="s">
        <v>26</v>
      </c>
    </row>
    <row r="18" spans="1:12" x14ac:dyDescent="0.3">
      <c r="A18" s="34" t="s">
        <v>103</v>
      </c>
      <c r="B18" s="4" t="s">
        <v>77</v>
      </c>
      <c r="C18" s="5">
        <v>0</v>
      </c>
      <c r="D18" s="5"/>
      <c r="E18" s="5">
        <v>0</v>
      </c>
      <c r="F18" s="4" t="s">
        <v>73</v>
      </c>
      <c r="G18" s="6">
        <v>46067</v>
      </c>
      <c r="H18" s="6">
        <v>46070</v>
      </c>
      <c r="I18" s="4">
        <v>3</v>
      </c>
      <c r="J18" s="4" t="s">
        <v>11</v>
      </c>
      <c r="K18" s="6">
        <v>45989</v>
      </c>
      <c r="L18" s="35" t="s">
        <v>2</v>
      </c>
    </row>
    <row r="19" spans="1:12" x14ac:dyDescent="0.3">
      <c r="A19" s="34" t="s">
        <v>103</v>
      </c>
      <c r="B19" s="4" t="s">
        <v>77</v>
      </c>
      <c r="C19" s="7">
        <v>21328.5</v>
      </c>
      <c r="D19" s="5"/>
      <c r="E19" s="7">
        <v>21328.5</v>
      </c>
      <c r="F19" s="4" t="s">
        <v>75</v>
      </c>
      <c r="G19" s="6">
        <v>46067</v>
      </c>
      <c r="H19" s="6">
        <v>46070</v>
      </c>
      <c r="I19" s="4">
        <v>3</v>
      </c>
      <c r="J19" s="4" t="s">
        <v>7</v>
      </c>
      <c r="K19" s="6">
        <v>45446</v>
      </c>
      <c r="L19" s="35" t="s">
        <v>2</v>
      </c>
    </row>
    <row r="20" spans="1:12" x14ac:dyDescent="0.3">
      <c r="A20" s="34" t="s">
        <v>103</v>
      </c>
      <c r="B20" s="4" t="s">
        <v>77</v>
      </c>
      <c r="C20" s="7">
        <v>15001.26</v>
      </c>
      <c r="D20" s="7"/>
      <c r="E20" s="7">
        <v>15001.26</v>
      </c>
      <c r="F20" s="4" t="s">
        <v>75</v>
      </c>
      <c r="G20" s="6">
        <v>46068</v>
      </c>
      <c r="H20" s="6">
        <v>46070</v>
      </c>
      <c r="I20" s="4">
        <v>2</v>
      </c>
      <c r="J20" s="4" t="s">
        <v>7</v>
      </c>
      <c r="K20" s="6">
        <v>45885</v>
      </c>
      <c r="L20" s="35" t="s">
        <v>15</v>
      </c>
    </row>
    <row r="21" spans="1:12" x14ac:dyDescent="0.3">
      <c r="A21" s="34" t="s">
        <v>103</v>
      </c>
      <c r="B21" s="4" t="s">
        <v>77</v>
      </c>
      <c r="C21" s="7">
        <v>36994</v>
      </c>
      <c r="D21" s="7">
        <v>9248.5</v>
      </c>
      <c r="E21" s="7">
        <v>27745.5</v>
      </c>
      <c r="F21" s="4" t="s">
        <v>78</v>
      </c>
      <c r="G21" s="6">
        <v>46068</v>
      </c>
      <c r="H21" s="6">
        <v>46072</v>
      </c>
      <c r="I21" s="4">
        <v>4</v>
      </c>
      <c r="J21" s="4" t="s">
        <v>0</v>
      </c>
      <c r="K21" s="6">
        <v>45967</v>
      </c>
      <c r="L21" s="35" t="s">
        <v>31</v>
      </c>
    </row>
    <row r="22" spans="1:12" x14ac:dyDescent="0.3">
      <c r="A22" s="34" t="s">
        <v>103</v>
      </c>
      <c r="B22" s="4" t="s">
        <v>77</v>
      </c>
      <c r="C22" s="5">
        <v>0</v>
      </c>
      <c r="D22" s="5"/>
      <c r="E22" s="5">
        <v>0</v>
      </c>
      <c r="F22" s="4" t="s">
        <v>73</v>
      </c>
      <c r="G22" s="6">
        <v>46071</v>
      </c>
      <c r="H22" s="6">
        <v>46073</v>
      </c>
      <c r="I22" s="4">
        <v>2</v>
      </c>
      <c r="J22" s="4" t="s">
        <v>11</v>
      </c>
      <c r="K22" s="6">
        <v>46001</v>
      </c>
      <c r="L22" s="35" t="s">
        <v>43</v>
      </c>
    </row>
    <row r="23" spans="1:12" x14ac:dyDescent="0.3">
      <c r="A23" s="34" t="s">
        <v>103</v>
      </c>
      <c r="B23" s="4" t="s">
        <v>77</v>
      </c>
      <c r="C23" s="7">
        <v>45555</v>
      </c>
      <c r="D23" s="7">
        <v>45555</v>
      </c>
      <c r="E23" s="5"/>
      <c r="F23" s="4" t="s">
        <v>70</v>
      </c>
      <c r="G23" s="6">
        <v>46071</v>
      </c>
      <c r="H23" s="6">
        <v>46076</v>
      </c>
      <c r="I23" s="4">
        <v>5</v>
      </c>
      <c r="J23" s="4" t="s">
        <v>0</v>
      </c>
      <c r="K23" s="6">
        <v>45972</v>
      </c>
      <c r="L23" s="35" t="s">
        <v>16</v>
      </c>
    </row>
    <row r="24" spans="1:12" x14ac:dyDescent="0.3">
      <c r="A24" s="34" t="s">
        <v>103</v>
      </c>
      <c r="B24" s="4" t="s">
        <v>77</v>
      </c>
      <c r="C24" s="7">
        <v>35046</v>
      </c>
      <c r="D24" s="7"/>
      <c r="E24" s="7">
        <v>35046</v>
      </c>
      <c r="F24" s="4" t="s">
        <v>75</v>
      </c>
      <c r="G24" s="6">
        <v>46071</v>
      </c>
      <c r="H24" s="6">
        <v>46075</v>
      </c>
      <c r="I24" s="4">
        <v>4</v>
      </c>
      <c r="J24" s="4" t="s">
        <v>7</v>
      </c>
      <c r="K24" s="6">
        <v>45989</v>
      </c>
      <c r="L24" s="35" t="s">
        <v>31</v>
      </c>
    </row>
    <row r="25" spans="1:12" x14ac:dyDescent="0.3">
      <c r="A25" s="34" t="s">
        <v>103</v>
      </c>
      <c r="B25" s="4" t="s">
        <v>77</v>
      </c>
      <c r="C25" s="5">
        <v>3900</v>
      </c>
      <c r="D25" s="5">
        <v>3900</v>
      </c>
      <c r="E25" s="5"/>
      <c r="F25" s="4" t="s">
        <v>70</v>
      </c>
      <c r="G25" s="6">
        <v>46072</v>
      </c>
      <c r="H25" s="6">
        <v>46073</v>
      </c>
      <c r="I25" s="4">
        <v>1</v>
      </c>
      <c r="J25" s="4" t="s">
        <v>0</v>
      </c>
      <c r="K25" s="6">
        <v>45883</v>
      </c>
      <c r="L25" s="35" t="s">
        <v>31</v>
      </c>
    </row>
    <row r="26" spans="1:12" x14ac:dyDescent="0.3">
      <c r="A26" s="34" t="s">
        <v>103</v>
      </c>
      <c r="B26" s="4" t="s">
        <v>77</v>
      </c>
      <c r="C26" s="7">
        <v>334000.03999999998</v>
      </c>
      <c r="D26" s="7">
        <v>334000.03999999998</v>
      </c>
      <c r="E26" s="5"/>
      <c r="F26" s="4" t="s">
        <v>70</v>
      </c>
      <c r="G26" s="6">
        <v>46077</v>
      </c>
      <c r="H26" s="6">
        <v>46091</v>
      </c>
      <c r="I26" s="4">
        <v>14</v>
      </c>
      <c r="J26" s="4" t="s">
        <v>0</v>
      </c>
      <c r="K26" s="6">
        <v>45939</v>
      </c>
      <c r="L26" s="35" t="s">
        <v>16</v>
      </c>
    </row>
    <row r="27" spans="1:12" x14ac:dyDescent="0.3">
      <c r="A27" s="34" t="s">
        <v>103</v>
      </c>
      <c r="B27" s="4" t="s">
        <v>77</v>
      </c>
      <c r="C27" s="7">
        <v>1150</v>
      </c>
      <c r="D27" s="7"/>
      <c r="E27" s="7">
        <v>1150</v>
      </c>
      <c r="F27" s="4" t="s">
        <v>75</v>
      </c>
      <c r="G27" s="6">
        <v>46086</v>
      </c>
      <c r="H27" s="6">
        <v>46087</v>
      </c>
      <c r="I27" s="4">
        <v>1</v>
      </c>
      <c r="J27" s="4" t="s">
        <v>7</v>
      </c>
      <c r="K27" s="6">
        <v>45717</v>
      </c>
      <c r="L27" s="35" t="s">
        <v>2</v>
      </c>
    </row>
    <row r="28" spans="1:12" x14ac:dyDescent="0.3">
      <c r="A28" s="34" t="s">
        <v>103</v>
      </c>
      <c r="B28" s="4" t="s">
        <v>77</v>
      </c>
      <c r="C28" s="7">
        <v>28270</v>
      </c>
      <c r="D28" s="7"/>
      <c r="E28" s="7">
        <v>28270</v>
      </c>
      <c r="F28" s="4" t="s">
        <v>75</v>
      </c>
      <c r="G28" s="6">
        <v>46087</v>
      </c>
      <c r="H28" s="6">
        <v>46092</v>
      </c>
      <c r="I28" s="4">
        <v>5</v>
      </c>
      <c r="J28" s="4" t="s">
        <v>7</v>
      </c>
      <c r="K28" s="6">
        <v>45877</v>
      </c>
      <c r="L28" s="35" t="s">
        <v>13</v>
      </c>
    </row>
    <row r="29" spans="1:12" x14ac:dyDescent="0.3">
      <c r="A29" s="34" t="s">
        <v>103</v>
      </c>
      <c r="B29" s="4" t="s">
        <v>77</v>
      </c>
      <c r="C29" s="7">
        <v>56549.5</v>
      </c>
      <c r="D29" s="5"/>
      <c r="E29" s="7">
        <v>56549.5</v>
      </c>
      <c r="F29" s="4" t="s">
        <v>75</v>
      </c>
      <c r="G29" s="6">
        <v>46089</v>
      </c>
      <c r="H29" s="6">
        <v>46096</v>
      </c>
      <c r="I29" s="4">
        <v>7</v>
      </c>
      <c r="J29" s="4" t="s">
        <v>0</v>
      </c>
      <c r="K29" s="6">
        <v>45987</v>
      </c>
      <c r="L29" s="35" t="s">
        <v>17</v>
      </c>
    </row>
    <row r="30" spans="1:12" x14ac:dyDescent="0.3">
      <c r="A30" s="34" t="s">
        <v>103</v>
      </c>
      <c r="B30" s="4" t="s">
        <v>77</v>
      </c>
      <c r="C30" s="7">
        <v>136903.07</v>
      </c>
      <c r="D30" s="7">
        <v>136903.07</v>
      </c>
      <c r="E30" s="5"/>
      <c r="F30" s="4" t="s">
        <v>70</v>
      </c>
      <c r="G30" s="6">
        <v>46096</v>
      </c>
      <c r="H30" s="6">
        <v>46110</v>
      </c>
      <c r="I30" s="4">
        <v>14</v>
      </c>
      <c r="J30" s="4" t="s">
        <v>0</v>
      </c>
      <c r="K30" s="6">
        <v>45761</v>
      </c>
      <c r="L30" s="35" t="s">
        <v>13</v>
      </c>
    </row>
    <row r="31" spans="1:12" x14ac:dyDescent="0.3">
      <c r="A31" s="34" t="s">
        <v>103</v>
      </c>
      <c r="B31" s="4" t="s">
        <v>77</v>
      </c>
      <c r="C31" s="7">
        <v>56091</v>
      </c>
      <c r="D31" s="7"/>
      <c r="E31" s="7">
        <v>56091</v>
      </c>
      <c r="F31" s="4" t="s">
        <v>75</v>
      </c>
      <c r="G31" s="6">
        <v>46097</v>
      </c>
      <c r="H31" s="6">
        <v>46106</v>
      </c>
      <c r="I31" s="4">
        <v>9</v>
      </c>
      <c r="J31" s="4" t="s">
        <v>7</v>
      </c>
      <c r="K31" s="6">
        <v>45828</v>
      </c>
      <c r="L31" s="35" t="s">
        <v>13</v>
      </c>
    </row>
    <row r="32" spans="1:12" x14ac:dyDescent="0.3">
      <c r="A32" s="34" t="s">
        <v>103</v>
      </c>
      <c r="B32" s="4" t="s">
        <v>77</v>
      </c>
      <c r="C32" s="5">
        <v>0</v>
      </c>
      <c r="D32" s="5"/>
      <c r="E32" s="5">
        <v>0</v>
      </c>
      <c r="F32" s="4" t="s">
        <v>73</v>
      </c>
      <c r="G32" s="6">
        <v>46098</v>
      </c>
      <c r="H32" s="6">
        <v>46100</v>
      </c>
      <c r="I32" s="4">
        <v>2</v>
      </c>
      <c r="J32" s="4" t="s">
        <v>11</v>
      </c>
      <c r="K32" s="6">
        <v>45799</v>
      </c>
      <c r="L32" s="35" t="s">
        <v>15</v>
      </c>
    </row>
    <row r="33" spans="1:12" x14ac:dyDescent="0.3">
      <c r="A33" s="34" t="s">
        <v>103</v>
      </c>
      <c r="B33" s="4" t="s">
        <v>77</v>
      </c>
      <c r="C33" s="5">
        <v>0</v>
      </c>
      <c r="D33" s="5"/>
      <c r="E33" s="5">
        <v>0</v>
      </c>
      <c r="F33" s="4" t="s">
        <v>73</v>
      </c>
      <c r="G33" s="6">
        <v>46098</v>
      </c>
      <c r="H33" s="6">
        <v>46100</v>
      </c>
      <c r="I33" s="4">
        <v>2</v>
      </c>
      <c r="J33" s="4" t="s">
        <v>11</v>
      </c>
      <c r="K33" s="6">
        <v>45989</v>
      </c>
      <c r="L33" s="35" t="s">
        <v>2</v>
      </c>
    </row>
    <row r="34" spans="1:12" x14ac:dyDescent="0.3">
      <c r="A34" s="34" t="s">
        <v>103</v>
      </c>
      <c r="B34" s="4" t="s">
        <v>77</v>
      </c>
      <c r="C34" s="5"/>
      <c r="D34" s="5"/>
      <c r="E34" s="5"/>
      <c r="F34" s="4"/>
      <c r="G34" s="6">
        <v>46099</v>
      </c>
      <c r="H34" s="6">
        <v>46104</v>
      </c>
      <c r="I34" s="4"/>
      <c r="J34" s="4" t="s">
        <v>4</v>
      </c>
      <c r="K34" s="6"/>
      <c r="L34" s="35"/>
    </row>
    <row r="35" spans="1:12" x14ac:dyDescent="0.3">
      <c r="A35" s="34" t="s">
        <v>103</v>
      </c>
      <c r="B35" s="4" t="s">
        <v>77</v>
      </c>
      <c r="C35" s="5"/>
      <c r="D35" s="5"/>
      <c r="E35" s="5"/>
      <c r="F35" s="4"/>
      <c r="G35" s="6">
        <v>46099</v>
      </c>
      <c r="H35" s="6">
        <v>46104</v>
      </c>
      <c r="I35" s="4"/>
      <c r="J35" s="4" t="s">
        <v>4</v>
      </c>
      <c r="K35" s="6"/>
      <c r="L35" s="35"/>
    </row>
    <row r="36" spans="1:12" x14ac:dyDescent="0.3">
      <c r="A36" s="34" t="s">
        <v>103</v>
      </c>
      <c r="B36" s="4" t="s">
        <v>77</v>
      </c>
      <c r="C36" s="7">
        <v>56981.2</v>
      </c>
      <c r="D36" s="7">
        <v>32227.01</v>
      </c>
      <c r="E36" s="7">
        <v>24754.19</v>
      </c>
      <c r="F36" s="4" t="s">
        <v>78</v>
      </c>
      <c r="G36" s="6">
        <v>46100</v>
      </c>
      <c r="H36" s="6">
        <v>46110</v>
      </c>
      <c r="I36" s="4">
        <v>10</v>
      </c>
      <c r="J36" s="4" t="s">
        <v>0</v>
      </c>
      <c r="K36" s="6">
        <v>45775</v>
      </c>
      <c r="L36" s="35" t="s">
        <v>42</v>
      </c>
    </row>
    <row r="37" spans="1:12" x14ac:dyDescent="0.3">
      <c r="A37" s="34" t="s">
        <v>103</v>
      </c>
      <c r="B37" s="4" t="s">
        <v>77</v>
      </c>
      <c r="C37" s="7">
        <v>91374</v>
      </c>
      <c r="D37" s="5"/>
      <c r="E37" s="7">
        <v>91374</v>
      </c>
      <c r="F37" s="4" t="s">
        <v>75</v>
      </c>
      <c r="G37" s="6">
        <v>46109</v>
      </c>
      <c r="H37" s="6">
        <v>46118</v>
      </c>
      <c r="I37" s="4">
        <v>9</v>
      </c>
      <c r="J37" s="4" t="s">
        <v>7</v>
      </c>
      <c r="K37" s="6">
        <v>45958</v>
      </c>
      <c r="L37" s="35" t="s">
        <v>27</v>
      </c>
    </row>
    <row r="38" spans="1:12" x14ac:dyDescent="0.3">
      <c r="A38" s="34" t="s">
        <v>103</v>
      </c>
      <c r="B38" s="4" t="s">
        <v>77</v>
      </c>
      <c r="C38" s="5">
        <v>75860</v>
      </c>
      <c r="D38" s="5"/>
      <c r="E38" s="5">
        <v>75860</v>
      </c>
      <c r="F38" s="4" t="s">
        <v>75</v>
      </c>
      <c r="G38" s="6">
        <v>46110</v>
      </c>
      <c r="H38" s="6">
        <v>46117</v>
      </c>
      <c r="I38" s="4">
        <v>7</v>
      </c>
      <c r="J38" s="4" t="s">
        <v>7</v>
      </c>
      <c r="K38" s="6">
        <v>45800</v>
      </c>
      <c r="L38" s="35" t="s">
        <v>2</v>
      </c>
    </row>
    <row r="39" spans="1:12" x14ac:dyDescent="0.3">
      <c r="A39" s="34" t="s">
        <v>103</v>
      </c>
      <c r="B39" s="4" t="s">
        <v>77</v>
      </c>
      <c r="C39" s="5">
        <v>86700</v>
      </c>
      <c r="D39" s="5"/>
      <c r="E39" s="5">
        <v>86700</v>
      </c>
      <c r="F39" s="4" t="s">
        <v>75</v>
      </c>
      <c r="G39" s="6">
        <v>46110</v>
      </c>
      <c r="H39" s="6">
        <v>46117</v>
      </c>
      <c r="I39" s="4">
        <v>7</v>
      </c>
      <c r="J39" s="4" t="s">
        <v>7</v>
      </c>
      <c r="K39" s="6">
        <v>45800</v>
      </c>
      <c r="L39" s="35" t="s">
        <v>2</v>
      </c>
    </row>
    <row r="40" spans="1:12" x14ac:dyDescent="0.3">
      <c r="A40" s="34" t="s">
        <v>103</v>
      </c>
      <c r="B40" s="4" t="s">
        <v>77</v>
      </c>
      <c r="C40" s="7">
        <v>51524.6</v>
      </c>
      <c r="D40" s="7">
        <v>14095.89</v>
      </c>
      <c r="E40" s="7">
        <v>37428.71</v>
      </c>
      <c r="F40" s="4" t="s">
        <v>78</v>
      </c>
      <c r="G40" s="6">
        <v>46112</v>
      </c>
      <c r="H40" s="6">
        <v>46117</v>
      </c>
      <c r="I40" s="4">
        <v>5</v>
      </c>
      <c r="J40" s="4" t="s">
        <v>0</v>
      </c>
      <c r="K40" s="6">
        <v>45833</v>
      </c>
      <c r="L40" s="35" t="s">
        <v>2</v>
      </c>
    </row>
    <row r="41" spans="1:12" x14ac:dyDescent="0.3">
      <c r="A41" s="34" t="s">
        <v>103</v>
      </c>
      <c r="B41" s="4" t="s">
        <v>77</v>
      </c>
      <c r="C41" s="7">
        <v>36312.18</v>
      </c>
      <c r="D41" s="7"/>
      <c r="E41" s="7">
        <v>36312.18</v>
      </c>
      <c r="F41" s="4" t="s">
        <v>75</v>
      </c>
      <c r="G41" s="6">
        <v>46115</v>
      </c>
      <c r="H41" s="6">
        <v>46118</v>
      </c>
      <c r="I41" s="4">
        <v>3</v>
      </c>
      <c r="J41" s="4" t="s">
        <v>7</v>
      </c>
      <c r="K41" s="6">
        <v>45786</v>
      </c>
      <c r="L41" s="35" t="s">
        <v>40</v>
      </c>
    </row>
    <row r="42" spans="1:12" x14ac:dyDescent="0.3">
      <c r="A42" s="34" t="s">
        <v>103</v>
      </c>
      <c r="B42" s="4" t="s">
        <v>77</v>
      </c>
      <c r="C42" s="7">
        <v>67386</v>
      </c>
      <c r="D42" s="7"/>
      <c r="E42" s="7">
        <v>67386</v>
      </c>
      <c r="F42" s="4" t="s">
        <v>75</v>
      </c>
      <c r="G42" s="6">
        <v>46124</v>
      </c>
      <c r="H42" s="6">
        <v>46131</v>
      </c>
      <c r="I42" s="4">
        <v>7</v>
      </c>
      <c r="J42" s="4" t="s">
        <v>3</v>
      </c>
      <c r="K42" s="6">
        <v>45905</v>
      </c>
      <c r="L42" s="35" t="s">
        <v>9</v>
      </c>
    </row>
    <row r="43" spans="1:12" x14ac:dyDescent="0.3">
      <c r="A43" s="34" t="s">
        <v>103</v>
      </c>
      <c r="B43" s="4" t="s">
        <v>77</v>
      </c>
      <c r="C43" s="7">
        <v>26248</v>
      </c>
      <c r="D43" s="7"/>
      <c r="E43" s="7">
        <v>26248</v>
      </c>
      <c r="F43" s="4" t="s">
        <v>75</v>
      </c>
      <c r="G43" s="6">
        <v>46134</v>
      </c>
      <c r="H43" s="6">
        <v>46137</v>
      </c>
      <c r="I43" s="4">
        <v>3</v>
      </c>
      <c r="J43" s="4" t="s">
        <v>7</v>
      </c>
      <c r="K43" s="6">
        <v>45927</v>
      </c>
      <c r="L43" s="35" t="s">
        <v>2</v>
      </c>
    </row>
    <row r="44" spans="1:12" x14ac:dyDescent="0.3">
      <c r="A44" s="34" t="s">
        <v>103</v>
      </c>
      <c r="B44" s="4" t="s">
        <v>77</v>
      </c>
      <c r="C44" s="7">
        <v>19186.22</v>
      </c>
      <c r="D44" s="7"/>
      <c r="E44" s="7">
        <v>19186.22</v>
      </c>
      <c r="F44" s="4" t="s">
        <v>75</v>
      </c>
      <c r="G44" s="6">
        <v>46134</v>
      </c>
      <c r="H44" s="6">
        <v>46137</v>
      </c>
      <c r="I44" s="4">
        <v>3</v>
      </c>
      <c r="J44" s="4" t="s">
        <v>7</v>
      </c>
      <c r="K44" s="6">
        <v>45715</v>
      </c>
      <c r="L44" s="35" t="s">
        <v>18</v>
      </c>
    </row>
    <row r="45" spans="1:12" x14ac:dyDescent="0.3">
      <c r="A45" s="34" t="s">
        <v>103</v>
      </c>
      <c r="B45" s="4" t="s">
        <v>77</v>
      </c>
      <c r="C45" s="5">
        <v>0</v>
      </c>
      <c r="D45" s="5"/>
      <c r="E45" s="5">
        <v>0</v>
      </c>
      <c r="F45" s="4" t="s">
        <v>73</v>
      </c>
      <c r="G45" s="6">
        <v>46140</v>
      </c>
      <c r="H45" s="6">
        <v>46143</v>
      </c>
      <c r="I45" s="4">
        <v>3</v>
      </c>
      <c r="J45" s="4" t="s">
        <v>7</v>
      </c>
      <c r="K45" s="6">
        <v>45834</v>
      </c>
      <c r="L45" s="35" t="s">
        <v>2</v>
      </c>
    </row>
    <row r="46" spans="1:12" x14ac:dyDescent="0.3">
      <c r="A46" s="34" t="s">
        <v>103</v>
      </c>
      <c r="B46" s="4" t="s">
        <v>77</v>
      </c>
      <c r="C46" s="5">
        <v>18996</v>
      </c>
      <c r="D46" s="5"/>
      <c r="E46" s="5">
        <v>18996</v>
      </c>
      <c r="F46" s="4" t="s">
        <v>75</v>
      </c>
      <c r="G46" s="6">
        <v>46146</v>
      </c>
      <c r="H46" s="6">
        <v>46150</v>
      </c>
      <c r="I46" s="4">
        <v>4</v>
      </c>
      <c r="J46" s="4" t="s">
        <v>3</v>
      </c>
      <c r="K46" s="6">
        <v>45999</v>
      </c>
      <c r="L46" s="35" t="s">
        <v>31</v>
      </c>
    </row>
    <row r="47" spans="1:12" x14ac:dyDescent="0.3">
      <c r="A47" s="34" t="s">
        <v>103</v>
      </c>
      <c r="B47" s="4" t="s">
        <v>77</v>
      </c>
      <c r="C47" s="5"/>
      <c r="D47" s="5"/>
      <c r="E47" s="5"/>
      <c r="F47" s="4" t="s">
        <v>74</v>
      </c>
      <c r="G47" s="6">
        <v>46147</v>
      </c>
      <c r="H47" s="6">
        <v>46151</v>
      </c>
      <c r="I47" s="4">
        <v>4</v>
      </c>
      <c r="J47" s="4" t="s">
        <v>3</v>
      </c>
      <c r="K47" s="6">
        <v>45999</v>
      </c>
      <c r="L47" s="35" t="s">
        <v>31</v>
      </c>
    </row>
    <row r="48" spans="1:12" x14ac:dyDescent="0.3">
      <c r="A48" s="34" t="s">
        <v>103</v>
      </c>
      <c r="B48" s="4" t="s">
        <v>77</v>
      </c>
      <c r="C48" s="5">
        <v>1075</v>
      </c>
      <c r="D48" s="5"/>
      <c r="E48" s="5">
        <v>1075</v>
      </c>
      <c r="F48" s="4" t="s">
        <v>75</v>
      </c>
      <c r="G48" s="6">
        <v>46149</v>
      </c>
      <c r="H48" s="6">
        <v>46151</v>
      </c>
      <c r="I48" s="4">
        <v>2</v>
      </c>
      <c r="J48" s="4" t="s">
        <v>11</v>
      </c>
      <c r="K48" s="6">
        <v>45911</v>
      </c>
      <c r="L48" s="35" t="s">
        <v>2</v>
      </c>
    </row>
    <row r="49" spans="1:12" x14ac:dyDescent="0.3">
      <c r="A49" s="34" t="s">
        <v>103</v>
      </c>
      <c r="B49" s="4" t="s">
        <v>77</v>
      </c>
      <c r="C49" s="7">
        <v>21017.97</v>
      </c>
      <c r="D49" s="7"/>
      <c r="E49" s="7">
        <v>21017.97</v>
      </c>
      <c r="F49" s="4" t="s">
        <v>75</v>
      </c>
      <c r="G49" s="6">
        <v>46151</v>
      </c>
      <c r="H49" s="6">
        <v>46155</v>
      </c>
      <c r="I49" s="4">
        <v>4</v>
      </c>
      <c r="J49" s="4" t="s">
        <v>7</v>
      </c>
      <c r="K49" s="6">
        <v>45815</v>
      </c>
      <c r="L49" s="35" t="s">
        <v>15</v>
      </c>
    </row>
    <row r="50" spans="1:12" x14ac:dyDescent="0.3">
      <c r="A50" s="34" t="s">
        <v>103</v>
      </c>
      <c r="B50" s="4" t="s">
        <v>77</v>
      </c>
      <c r="C50" s="7">
        <v>20914</v>
      </c>
      <c r="D50" s="7"/>
      <c r="E50" s="7">
        <v>20914</v>
      </c>
      <c r="F50" s="4" t="s">
        <v>75</v>
      </c>
      <c r="G50" s="6">
        <v>46151</v>
      </c>
      <c r="H50" s="6">
        <v>46155</v>
      </c>
      <c r="I50" s="4">
        <v>4</v>
      </c>
      <c r="J50" s="4" t="s">
        <v>7</v>
      </c>
      <c r="K50" s="6">
        <v>45835</v>
      </c>
      <c r="L50" s="35" t="s">
        <v>5</v>
      </c>
    </row>
    <row r="51" spans="1:12" x14ac:dyDescent="0.3">
      <c r="A51" s="34" t="s">
        <v>103</v>
      </c>
      <c r="B51" s="4" t="s">
        <v>77</v>
      </c>
      <c r="C51" s="5">
        <v>28817.97</v>
      </c>
      <c r="D51" s="5"/>
      <c r="E51" s="5">
        <v>28817.97</v>
      </c>
      <c r="F51" s="4" t="s">
        <v>75</v>
      </c>
      <c r="G51" s="6">
        <v>46164</v>
      </c>
      <c r="H51" s="6">
        <v>46171</v>
      </c>
      <c r="I51" s="4">
        <v>7</v>
      </c>
      <c r="J51" s="4" t="s">
        <v>7</v>
      </c>
      <c r="K51" s="6">
        <v>45998</v>
      </c>
      <c r="L51" s="35" t="s">
        <v>15</v>
      </c>
    </row>
    <row r="52" spans="1:12" x14ac:dyDescent="0.3">
      <c r="A52" s="34" t="s">
        <v>103</v>
      </c>
      <c r="B52" s="4" t="s">
        <v>77</v>
      </c>
      <c r="C52" s="7">
        <v>29074.85</v>
      </c>
      <c r="D52" s="7"/>
      <c r="E52" s="7">
        <v>29074.85</v>
      </c>
      <c r="F52" s="4" t="s">
        <v>75</v>
      </c>
      <c r="G52" s="6">
        <v>46166</v>
      </c>
      <c r="H52" s="6">
        <v>46171</v>
      </c>
      <c r="I52" s="4">
        <v>5</v>
      </c>
      <c r="J52" s="4" t="s">
        <v>7</v>
      </c>
      <c r="K52" s="6">
        <v>45968</v>
      </c>
      <c r="L52" s="35" t="s">
        <v>15</v>
      </c>
    </row>
    <row r="53" spans="1:12" x14ac:dyDescent="0.3">
      <c r="A53" s="34" t="s">
        <v>103</v>
      </c>
      <c r="B53" s="4" t="s">
        <v>77</v>
      </c>
      <c r="C53" s="5">
        <v>0</v>
      </c>
      <c r="D53" s="5"/>
      <c r="E53" s="5">
        <v>0</v>
      </c>
      <c r="F53" s="4" t="s">
        <v>73</v>
      </c>
      <c r="G53" s="6">
        <v>46179</v>
      </c>
      <c r="H53" s="6">
        <v>46180</v>
      </c>
      <c r="I53" s="4">
        <v>1</v>
      </c>
      <c r="J53" s="4" t="s">
        <v>7</v>
      </c>
      <c r="K53" s="6">
        <v>45999</v>
      </c>
      <c r="L53" s="35" t="s">
        <v>5</v>
      </c>
    </row>
    <row r="54" spans="1:12" x14ac:dyDescent="0.3">
      <c r="A54" s="34" t="s">
        <v>103</v>
      </c>
      <c r="B54" s="4" t="s">
        <v>77</v>
      </c>
      <c r="C54" s="5">
        <v>24842</v>
      </c>
      <c r="D54" s="5"/>
      <c r="E54" s="5">
        <v>24842</v>
      </c>
      <c r="F54" s="4" t="s">
        <v>75</v>
      </c>
      <c r="G54" s="6">
        <v>46242</v>
      </c>
      <c r="H54" s="6">
        <v>46244</v>
      </c>
      <c r="I54" s="4">
        <v>2</v>
      </c>
      <c r="J54" s="4" t="s">
        <v>7</v>
      </c>
      <c r="K54" s="6">
        <v>45983</v>
      </c>
      <c r="L54" s="35" t="s">
        <v>31</v>
      </c>
    </row>
    <row r="55" spans="1:12" x14ac:dyDescent="0.3">
      <c r="A55" s="34" t="s">
        <v>103</v>
      </c>
      <c r="B55" s="4" t="s">
        <v>77</v>
      </c>
      <c r="C55" s="5">
        <v>0</v>
      </c>
      <c r="D55" s="5"/>
      <c r="E55" s="5">
        <v>0</v>
      </c>
      <c r="F55" s="4" t="s">
        <v>73</v>
      </c>
      <c r="G55" s="6">
        <v>46262</v>
      </c>
      <c r="H55" s="6">
        <v>46264</v>
      </c>
      <c r="I55" s="4">
        <v>2</v>
      </c>
      <c r="J55" s="4" t="s">
        <v>11</v>
      </c>
      <c r="K55" s="6">
        <v>45961</v>
      </c>
      <c r="L55" s="35" t="s">
        <v>31</v>
      </c>
    </row>
    <row r="56" spans="1:12" x14ac:dyDescent="0.3">
      <c r="A56" s="34" t="s">
        <v>103</v>
      </c>
      <c r="B56" s="4" t="s">
        <v>77</v>
      </c>
      <c r="C56" s="7">
        <v>29522.66</v>
      </c>
      <c r="D56" s="7">
        <v>29522.66</v>
      </c>
      <c r="E56" s="5"/>
      <c r="F56" s="4" t="s">
        <v>70</v>
      </c>
      <c r="G56" s="6">
        <v>46352</v>
      </c>
      <c r="H56" s="6">
        <v>46356</v>
      </c>
      <c r="I56" s="4">
        <v>4</v>
      </c>
      <c r="J56" s="4" t="s">
        <v>0</v>
      </c>
      <c r="K56" s="6">
        <v>45854</v>
      </c>
      <c r="L56" s="35" t="s">
        <v>68</v>
      </c>
    </row>
    <row r="57" spans="1:12" x14ac:dyDescent="0.3">
      <c r="A57" s="34" t="s">
        <v>103</v>
      </c>
      <c r="B57" s="4" t="s">
        <v>77</v>
      </c>
      <c r="C57" s="7">
        <v>43700</v>
      </c>
      <c r="D57" s="7">
        <v>43700</v>
      </c>
      <c r="E57" s="5"/>
      <c r="F57" s="4" t="s">
        <v>70</v>
      </c>
      <c r="G57" s="6">
        <v>46361</v>
      </c>
      <c r="H57" s="6">
        <v>46368</v>
      </c>
      <c r="I57" s="4">
        <v>7</v>
      </c>
      <c r="J57" s="4" t="s">
        <v>0</v>
      </c>
      <c r="K57" s="6">
        <v>45931</v>
      </c>
      <c r="L57" s="35" t="s">
        <v>5</v>
      </c>
    </row>
    <row r="58" spans="1:12" s="17" customFormat="1" x14ac:dyDescent="0.3">
      <c r="A58" s="27"/>
      <c r="B58" s="14"/>
      <c r="C58" s="16"/>
      <c r="D58" s="16"/>
      <c r="E58" s="16"/>
      <c r="F58" s="14"/>
      <c r="G58" s="15"/>
      <c r="H58" s="15"/>
      <c r="I58" s="14"/>
      <c r="J58" s="14"/>
      <c r="K58" s="15"/>
      <c r="L58" s="28"/>
    </row>
    <row r="59" spans="1:12" s="17" customFormat="1" x14ac:dyDescent="0.3">
      <c r="A59" s="67"/>
      <c r="B59" s="68"/>
      <c r="C59" s="69"/>
      <c r="D59" s="69"/>
      <c r="E59" s="69"/>
      <c r="F59" s="69"/>
      <c r="G59" s="70"/>
      <c r="H59" s="70"/>
      <c r="I59" s="68"/>
      <c r="J59" s="68"/>
      <c r="K59" s="70"/>
      <c r="L59" s="72"/>
    </row>
    <row r="60" spans="1:12" s="17" customFormat="1" x14ac:dyDescent="0.3">
      <c r="A60" s="67"/>
      <c r="B60" s="68"/>
      <c r="C60" s="69"/>
      <c r="D60" s="69"/>
      <c r="E60" s="69"/>
      <c r="F60" s="69"/>
      <c r="G60" s="70"/>
      <c r="H60" s="70"/>
      <c r="I60" s="68"/>
      <c r="J60" s="68"/>
      <c r="K60" s="70"/>
      <c r="L60" s="72"/>
    </row>
    <row r="61" spans="1:12" s="17" customFormat="1" x14ac:dyDescent="0.3">
      <c r="A61" s="67"/>
      <c r="B61" s="68"/>
      <c r="C61" s="69"/>
      <c r="D61" s="69"/>
      <c r="E61" s="69"/>
      <c r="F61" s="69"/>
      <c r="G61" s="70"/>
      <c r="H61" s="70"/>
      <c r="I61" s="68"/>
      <c r="J61" s="68"/>
      <c r="K61" s="70"/>
      <c r="L61" s="72"/>
    </row>
    <row r="62" spans="1:12" s="17" customFormat="1" x14ac:dyDescent="0.3">
      <c r="A62" s="67"/>
      <c r="B62" s="68"/>
      <c r="C62" s="69"/>
      <c r="D62" s="69"/>
      <c r="E62" s="69"/>
      <c r="F62" s="69"/>
      <c r="G62" s="70"/>
      <c r="H62" s="70"/>
      <c r="I62" s="68"/>
      <c r="J62" s="68"/>
      <c r="K62" s="70"/>
      <c r="L62" s="72"/>
    </row>
    <row r="63" spans="1:12" s="17" customFormat="1" x14ac:dyDescent="0.3">
      <c r="A63" s="67"/>
      <c r="B63" s="68"/>
      <c r="C63" s="69"/>
      <c r="D63" s="69"/>
      <c r="E63" s="69"/>
      <c r="F63" s="69"/>
      <c r="G63" s="70"/>
      <c r="H63" s="70"/>
      <c r="I63" s="68"/>
      <c r="J63" s="68"/>
      <c r="K63" s="70"/>
      <c r="L63" s="72"/>
    </row>
    <row r="64" spans="1:12" s="17" customFormat="1" x14ac:dyDescent="0.3">
      <c r="A64" s="67"/>
      <c r="B64" s="68"/>
      <c r="C64" s="69"/>
      <c r="D64" s="69"/>
      <c r="E64" s="69"/>
      <c r="F64" s="69"/>
      <c r="G64" s="70"/>
      <c r="H64" s="70"/>
      <c r="I64" s="68"/>
      <c r="J64" s="68"/>
      <c r="K64" s="70"/>
      <c r="L64" s="72"/>
    </row>
    <row r="65" spans="1:12" s="17" customFormat="1" x14ac:dyDescent="0.3">
      <c r="A65" s="67"/>
      <c r="B65" s="68"/>
      <c r="C65" s="69"/>
      <c r="D65" s="69"/>
      <c r="E65" s="69"/>
      <c r="F65" s="69"/>
      <c r="G65" s="70"/>
      <c r="H65" s="70"/>
      <c r="I65" s="68"/>
      <c r="J65" s="68"/>
      <c r="K65" s="70"/>
      <c r="L65" s="72"/>
    </row>
    <row r="66" spans="1:12" s="17" customFormat="1" x14ac:dyDescent="0.3">
      <c r="A66" s="67"/>
      <c r="B66" s="68"/>
      <c r="C66" s="69"/>
      <c r="D66" s="69"/>
      <c r="E66" s="69"/>
      <c r="F66" s="69"/>
      <c r="G66" s="70"/>
      <c r="H66" s="70"/>
      <c r="I66" s="68"/>
      <c r="J66" s="68"/>
      <c r="K66" s="70"/>
      <c r="L66" s="72"/>
    </row>
    <row r="67" spans="1:12" s="17" customFormat="1" x14ac:dyDescent="0.3">
      <c r="A67" s="67"/>
      <c r="B67" s="68"/>
      <c r="C67" s="69"/>
      <c r="D67" s="69"/>
      <c r="E67" s="69"/>
      <c r="F67" s="69"/>
      <c r="G67" s="70"/>
      <c r="H67" s="70"/>
      <c r="I67" s="68"/>
      <c r="J67" s="68"/>
      <c r="K67" s="70"/>
      <c r="L67" s="72"/>
    </row>
    <row r="68" spans="1:12" s="17" customFormat="1" x14ac:dyDescent="0.3">
      <c r="A68" s="67"/>
      <c r="B68" s="68"/>
      <c r="C68" s="69"/>
      <c r="D68" s="69"/>
      <c r="E68" s="69"/>
      <c r="F68" s="69"/>
      <c r="G68" s="70"/>
      <c r="H68" s="70"/>
      <c r="I68" s="68"/>
      <c r="J68" s="68"/>
      <c r="K68" s="70"/>
      <c r="L68" s="72"/>
    </row>
    <row r="69" spans="1:12" s="17" customFormat="1" x14ac:dyDescent="0.3">
      <c r="A69" s="67"/>
      <c r="B69" s="68"/>
      <c r="C69" s="69"/>
      <c r="D69" s="69"/>
      <c r="E69" s="69"/>
      <c r="F69" s="69"/>
      <c r="G69" s="70"/>
      <c r="H69" s="70"/>
      <c r="I69" s="68"/>
      <c r="J69" s="68"/>
      <c r="K69" s="70"/>
      <c r="L69" s="72"/>
    </row>
    <row r="70" spans="1:12" s="17" customFormat="1" x14ac:dyDescent="0.3">
      <c r="A70" s="67"/>
      <c r="B70" s="68"/>
      <c r="C70" s="69"/>
      <c r="D70" s="69"/>
      <c r="E70" s="69"/>
      <c r="F70" s="69"/>
      <c r="G70" s="70"/>
      <c r="H70" s="70"/>
      <c r="I70" s="68"/>
      <c r="J70" s="68"/>
      <c r="K70" s="70"/>
      <c r="L70" s="72"/>
    </row>
    <row r="71" spans="1:12" s="17" customFormat="1" x14ac:dyDescent="0.3">
      <c r="A71" s="67"/>
      <c r="B71" s="68"/>
      <c r="C71" s="69"/>
      <c r="D71" s="69"/>
      <c r="E71" s="69"/>
      <c r="F71" s="69"/>
      <c r="G71" s="70"/>
      <c r="H71" s="70"/>
      <c r="I71" s="68"/>
      <c r="J71" s="68"/>
      <c r="K71" s="70"/>
      <c r="L71" s="72"/>
    </row>
    <row r="72" spans="1:12" s="17" customFormat="1" x14ac:dyDescent="0.3">
      <c r="A72" s="67"/>
      <c r="B72" s="68"/>
      <c r="C72" s="69"/>
      <c r="D72" s="69"/>
      <c r="E72" s="69"/>
      <c r="F72" s="69"/>
      <c r="G72" s="70"/>
      <c r="H72" s="70"/>
      <c r="I72" s="68"/>
      <c r="J72" s="68"/>
      <c r="K72" s="70"/>
      <c r="L72" s="72"/>
    </row>
    <row r="73" spans="1:12" s="17" customFormat="1" x14ac:dyDescent="0.3">
      <c r="A73" s="67"/>
      <c r="B73" s="68"/>
      <c r="C73" s="69"/>
      <c r="D73" s="69"/>
      <c r="E73" s="69"/>
      <c r="F73" s="69"/>
      <c r="G73" s="70"/>
      <c r="H73" s="70"/>
      <c r="I73" s="68"/>
      <c r="J73" s="68"/>
      <c r="K73" s="70"/>
      <c r="L73" s="72"/>
    </row>
    <row r="74" spans="1:12" s="17" customFormat="1" x14ac:dyDescent="0.3">
      <c r="A74" s="67"/>
      <c r="B74" s="68"/>
      <c r="C74" s="69"/>
      <c r="D74" s="69"/>
      <c r="E74" s="69"/>
      <c r="F74" s="69"/>
      <c r="G74" s="70"/>
      <c r="H74" s="70"/>
      <c r="I74" s="68"/>
      <c r="J74" s="68"/>
      <c r="K74" s="70"/>
      <c r="L74" s="72"/>
    </row>
    <row r="75" spans="1:12" s="17" customFormat="1" x14ac:dyDescent="0.3">
      <c r="A75" s="67"/>
      <c r="B75" s="68"/>
      <c r="C75" s="69"/>
      <c r="D75" s="69"/>
      <c r="E75" s="69"/>
      <c r="F75" s="69"/>
      <c r="G75" s="70"/>
      <c r="H75" s="70"/>
      <c r="I75" s="68"/>
      <c r="J75" s="68"/>
      <c r="K75" s="70"/>
      <c r="L75" s="72"/>
    </row>
    <row r="76" spans="1:12" s="17" customFormat="1" x14ac:dyDescent="0.3">
      <c r="A76" s="67"/>
      <c r="B76" s="68"/>
      <c r="C76" s="69"/>
      <c r="D76" s="69"/>
      <c r="E76" s="69"/>
      <c r="F76" s="69"/>
      <c r="G76" s="70"/>
      <c r="H76" s="70"/>
      <c r="I76" s="68"/>
      <c r="J76" s="68"/>
      <c r="K76" s="70"/>
      <c r="L76" s="72"/>
    </row>
    <row r="77" spans="1:12" s="17" customFormat="1" x14ac:dyDescent="0.3">
      <c r="A77" s="67"/>
      <c r="B77" s="68"/>
      <c r="C77" s="69"/>
      <c r="D77" s="69"/>
      <c r="E77" s="69"/>
      <c r="F77" s="69"/>
      <c r="G77" s="70"/>
      <c r="H77" s="70"/>
      <c r="I77" s="68"/>
      <c r="J77" s="68"/>
      <c r="K77" s="70"/>
      <c r="L77" s="72"/>
    </row>
    <row r="78" spans="1:12" s="17" customFormat="1" x14ac:dyDescent="0.3">
      <c r="A78" s="67"/>
      <c r="B78" s="68"/>
      <c r="C78" s="69"/>
      <c r="D78" s="69"/>
      <c r="E78" s="69"/>
      <c r="F78" s="69"/>
      <c r="G78" s="70"/>
      <c r="H78" s="70"/>
      <c r="I78" s="68"/>
      <c r="J78" s="68"/>
      <c r="K78" s="70"/>
      <c r="L78" s="72"/>
    </row>
    <row r="79" spans="1:12" s="17" customFormat="1" x14ac:dyDescent="0.3">
      <c r="A79" s="67"/>
      <c r="B79" s="68"/>
      <c r="C79" s="69"/>
      <c r="D79" s="69"/>
      <c r="E79" s="69"/>
      <c r="F79" s="69"/>
      <c r="G79" s="70"/>
      <c r="H79" s="70"/>
      <c r="I79" s="68"/>
      <c r="J79" s="68"/>
      <c r="K79" s="70"/>
      <c r="L79" s="72"/>
    </row>
    <row r="80" spans="1:12" s="17" customFormat="1" x14ac:dyDescent="0.3">
      <c r="A80" s="67"/>
      <c r="B80" s="68"/>
      <c r="C80" s="69"/>
      <c r="D80" s="69"/>
      <c r="E80" s="69"/>
      <c r="F80" s="69"/>
      <c r="G80" s="70"/>
      <c r="H80" s="70"/>
      <c r="I80" s="68"/>
      <c r="J80" s="68"/>
      <c r="K80" s="70"/>
      <c r="L80" s="72"/>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9DAEBE-9BA9-4EFF-B271-7377F2AC66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2026 Payment Summary</vt:lpstr>
      <vt:lpstr>Pivots_Backend</vt:lpstr>
      <vt:lpstr>Dashboard_Data</vt:lpstr>
      <vt:lpstr>Data_Consolidated</vt:lpstr>
      <vt:lpstr>Resort 1</vt:lpstr>
      <vt:lpstr>Resort 2</vt:lpstr>
      <vt:lpstr>Resort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Reservations Soneva Resorts</dc:creator>
  <cp:lastModifiedBy>Ralph Dave Rubin</cp:lastModifiedBy>
  <dcterms:created xsi:type="dcterms:W3CDTF">2025-12-10T15:11:04Z</dcterms:created>
  <dcterms:modified xsi:type="dcterms:W3CDTF">2026-01-04T20:01:36Z</dcterms:modified>
</cp:coreProperties>
</file>